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Forecast" r:id="rId1" sheetId="1"/>
    <sheet name="Planned order" r:id="rId2" sheetId="2"/>
    <sheet name="MOQ" r:id="rId3" sheetId="3"/>
    <sheet name="PO" r:id="rId4" sheetId="4"/>
    <sheet name="unit value" r:id="rId5" sheetId="5"/>
  </sheets>
  <definedNames>
    <definedName name="MOQ">'MOQ'!$A:$C</definedName>
    <definedName name="UNITVALUE">'unit value'!$B:$E</definedName>
    <definedName name="FEB23SOH">'unit value'!$B:$C</definedName>
    <definedName name="ETAMAR7">'PO'!$F$2:$G$81</definedName>
    <definedName name="AFTERCNY">'PO'!$F$82:$G$96</definedName>
  </definedNames>
  <extLst/>
</workbook>
</file>

<file path=xl/sharedStrings.xml><?xml version="1.0" encoding="utf-8"?>
<sst xmlns="http://schemas.openxmlformats.org/spreadsheetml/2006/main" count="6724" uniqueCount="6724">
  <si>
    <t>DC</t>
  </si>
  <si>
    <t>1 YEAR</t>
  </si>
  <si>
    <t>FEB - JULY</t>
  </si>
  <si>
    <t>TOTAL</t>
  </si>
  <si>
    <t>FEB</t>
  </si>
  <si>
    <t>MARCH</t>
  </si>
  <si>
    <t>APRIL</t>
  </si>
  <si>
    <t>MAY</t>
  </si>
  <si>
    <t>JUNE</t>
  </si>
  <si>
    <t>JULY</t>
  </si>
  <si>
    <t>AUGUST</t>
  </si>
  <si>
    <t>Planning Group</t>
  </si>
  <si>
    <t>Product Category</t>
  </si>
  <si>
    <t>item_name</t>
  </si>
  <si>
    <t>sku</t>
  </si>
  <si>
    <t>sales</t>
  </si>
  <si>
    <t>ACTUAL + 10%</t>
  </si>
  <si>
    <t>FCST</t>
  </si>
  <si>
    <t>SOH FEB 23</t>
  </si>
  <si>
    <t>Value per unit</t>
  </si>
  <si>
    <t>Stock Value</t>
  </si>
  <si>
    <t>PENDING PO - MAR</t>
  </si>
  <si>
    <t>PENDING PO -ETA TBA</t>
  </si>
  <si>
    <t>BALANCE</t>
  </si>
  <si>
    <t>MOQ</t>
  </si>
  <si>
    <t>ORDER</t>
  </si>
  <si>
    <t>Stock out month</t>
  </si>
  <si>
    <t>SOH</t>
  </si>
  <si>
    <t>PO</t>
  </si>
  <si>
    <t>STOCK</t>
  </si>
  <si>
    <t>2 China Standard</t>
  </si>
  <si>
    <t>Baby Blanket</t>
  </si>
  <si>
    <t>Sleepy Friends - Unicorn</t>
  </si>
  <si>
    <t>SF01</t>
  </si>
  <si>
    <t>Sleepy Friends - Koala</t>
  </si>
  <si>
    <t>SF02</t>
  </si>
  <si>
    <t>Sleepy Friends - Dog</t>
  </si>
  <si>
    <t>SF03</t>
  </si>
  <si>
    <t>Sleepy Friends - Rabbit</t>
  </si>
  <si>
    <t>SF04</t>
  </si>
  <si>
    <t>Sleepy Friends - Fox</t>
  </si>
  <si>
    <t>SF05</t>
  </si>
  <si>
    <t>Sleepy Friends - Dinosaur</t>
  </si>
  <si>
    <t>SF06</t>
  </si>
  <si>
    <t>Sleepy Friends Starter Pack</t>
  </si>
  <si>
    <t>SFSP</t>
  </si>
  <si>
    <t>Baby Rattle</t>
  </si>
  <si>
    <t>Rattling Friends - Unicorn</t>
  </si>
  <si>
    <t>RTF01</t>
  </si>
  <si>
    <t>Rattling Friends - Koala</t>
  </si>
  <si>
    <t>RTF02</t>
  </si>
  <si>
    <t>Rattling Friends - Dog</t>
  </si>
  <si>
    <t>RTF03</t>
  </si>
  <si>
    <t>Rattling Friends - Rabbit</t>
  </si>
  <si>
    <t>RTF04</t>
  </si>
  <si>
    <t>Rattling Friends - Fox</t>
  </si>
  <si>
    <t>RTF05</t>
  </si>
  <si>
    <t>Rattling Friends - Dinosaur</t>
  </si>
  <si>
    <t>RTF06</t>
  </si>
  <si>
    <t>Rattling Friends Starter Pack</t>
  </si>
  <si>
    <t>RTFSP</t>
  </si>
  <si>
    <t>Rattling Friends Set Up</t>
  </si>
  <si>
    <t>RTFSU</t>
  </si>
  <si>
    <t>Bamboo Fan</t>
  </si>
  <si>
    <t>Bamboo Fan - Fruit</t>
  </si>
  <si>
    <t>BF04</t>
  </si>
  <si>
    <t>Bamboo Fan - Strawberry Thief Blue</t>
  </si>
  <si>
    <t>BF05</t>
  </si>
  <si>
    <t>NO STOCK</t>
  </si>
  <si>
    <t>Bamboo Fan - Strawberry Thief Red</t>
  </si>
  <si>
    <t>BF06</t>
  </si>
  <si>
    <t>Bamboo Fan - Van Gogh Sunflowers</t>
  </si>
  <si>
    <t>BF09</t>
  </si>
  <si>
    <t>Bamboo Fan - Monet Water Lilies</t>
  </si>
  <si>
    <t>BF10</t>
  </si>
  <si>
    <t>Bamboo Fans CDU</t>
  </si>
  <si>
    <t>BFCDU</t>
  </si>
  <si>
    <t>Bamboo Fan Set Up</t>
  </si>
  <si>
    <t>BFSU</t>
  </si>
  <si>
    <t>Bamboo Fan Bluhen Set Up</t>
  </si>
  <si>
    <t>BFSUBH</t>
  </si>
  <si>
    <t>Bamboo Fan Set Up William Morris</t>
  </si>
  <si>
    <t>BFSUWM</t>
  </si>
  <si>
    <t>Bookmarks</t>
  </si>
  <si>
    <t>3D Bkmk - Giraffe</t>
  </si>
  <si>
    <t>3D013</t>
  </si>
  <si>
    <t>3D Bkmk - Black Lab</t>
  </si>
  <si>
    <t>3D014</t>
  </si>
  <si>
    <t>3D Bkmk - Owl</t>
  </si>
  <si>
    <t>3D015</t>
  </si>
  <si>
    <t>3D Bkmk - Kangaroo</t>
  </si>
  <si>
    <t>3D016</t>
  </si>
  <si>
    <t>3D Bkmk - Beagle</t>
  </si>
  <si>
    <t>3D018</t>
  </si>
  <si>
    <t>3D Bkmk - Grey Kitten</t>
  </si>
  <si>
    <t>3D019</t>
  </si>
  <si>
    <t>3D Bkmk - Leopard</t>
  </si>
  <si>
    <t>3D020</t>
  </si>
  <si>
    <t>3D Bkmk - Lorikeet</t>
  </si>
  <si>
    <t>3D021</t>
  </si>
  <si>
    <t>3D Bkmk - Koala</t>
  </si>
  <si>
    <t>3D022</t>
  </si>
  <si>
    <t>3D Bkmk - Cocker Spaniel</t>
  </si>
  <si>
    <t>3D023</t>
  </si>
  <si>
    <t>3D Bkmk - Meerkat</t>
  </si>
  <si>
    <t>3D024</t>
  </si>
  <si>
    <t>3D Bkmk - Foxes</t>
  </si>
  <si>
    <t>3D025</t>
  </si>
  <si>
    <t>3D Bkmk - Artic Wolf</t>
  </si>
  <si>
    <t>3D026</t>
  </si>
  <si>
    <t>3D Bkmk - Panda</t>
  </si>
  <si>
    <t>3D027</t>
  </si>
  <si>
    <t>3D Bkmk - Elephant</t>
  </si>
  <si>
    <t>3D028</t>
  </si>
  <si>
    <t>3D Bkmk - Tiger</t>
  </si>
  <si>
    <t>3D029</t>
  </si>
  <si>
    <t>3D Bkmk - Diplodocus</t>
  </si>
  <si>
    <t>3D030</t>
  </si>
  <si>
    <t>3D Bkmk - T-Rex</t>
  </si>
  <si>
    <t>3D031</t>
  </si>
  <si>
    <t>3D Bkmk - Dolphin</t>
  </si>
  <si>
    <t>3D032</t>
  </si>
  <si>
    <t>3D Bkmk - White Stallion</t>
  </si>
  <si>
    <t>3D033</t>
  </si>
  <si>
    <t>3D Bkmk - Ginger Cat</t>
  </si>
  <si>
    <t>3D034</t>
  </si>
  <si>
    <t>3D Bkmk - Brown Mare</t>
  </si>
  <si>
    <t>3D035</t>
  </si>
  <si>
    <t>3D Bkmk - Tree Frog</t>
  </si>
  <si>
    <t>3D036</t>
  </si>
  <si>
    <t>3D Bkmk - Lion</t>
  </si>
  <si>
    <t>3D037</t>
  </si>
  <si>
    <t>3D Bkmk - Pug</t>
  </si>
  <si>
    <t>3D038</t>
  </si>
  <si>
    <t>3D Bkmk - Kittens</t>
  </si>
  <si>
    <t>3D039</t>
  </si>
  <si>
    <t>3D Animal Bookmarks Set Up 72 Units</t>
  </si>
  <si>
    <t>SP301</t>
  </si>
  <si>
    <t>Creams</t>
  </si>
  <si>
    <t>Hand Cream - Strawberry Thief William Morris</t>
  </si>
  <si>
    <t>CR001</t>
  </si>
  <si>
    <t>Hand Cream - Fruit William Morris</t>
  </si>
  <si>
    <t>CR002</t>
  </si>
  <si>
    <t>Foot Care Set - Strawberry Thief William Morris</t>
  </si>
  <si>
    <t>CR003</t>
  </si>
  <si>
    <t>Foot Care Set - Fruit William Morris</t>
  </si>
  <si>
    <t>CR004</t>
  </si>
  <si>
    <t>Bath Bomb - Strawberry Thief William Morris</t>
  </si>
  <si>
    <t>CR005</t>
  </si>
  <si>
    <t>Bath Bomb - Fruit William Morris</t>
  </si>
  <si>
    <t>CR006</t>
  </si>
  <si>
    <t>Hand Cream - Van Gogh Sunflower</t>
  </si>
  <si>
    <t>CR007</t>
  </si>
  <si>
    <t>Hand Cream - Monet's Water Lilies</t>
  </si>
  <si>
    <t>CR008</t>
  </si>
  <si>
    <t>Sugar Scrub Set - Strawberry Thief</t>
  </si>
  <si>
    <t>CR015</t>
  </si>
  <si>
    <t>Sugar Scrub Set - Fruit</t>
  </si>
  <si>
    <t>CR016</t>
  </si>
  <si>
    <t>Sugar Scrub Set - Van Gogh Sunflowers</t>
  </si>
  <si>
    <t>CR017</t>
  </si>
  <si>
    <t>Sugar Scrub Set - Monet Water Lilies</t>
  </si>
  <si>
    <t>CR018</t>
  </si>
  <si>
    <t>Large Hand Cream - Strawberry Thief</t>
  </si>
  <si>
    <t>CR019</t>
  </si>
  <si>
    <t>Large Hand Cream - Fruit</t>
  </si>
  <si>
    <t>CR020</t>
  </si>
  <si>
    <t>Large Hand Cream - Van Gogh Sunflowers</t>
  </si>
  <si>
    <t>CR021</t>
  </si>
  <si>
    <t>Large Hand Cream - Monet Water Lilies</t>
  </si>
  <si>
    <t>CR022</t>
  </si>
  <si>
    <t>Bath Tea Bags - Strawberry Thief</t>
  </si>
  <si>
    <t>CR023</t>
  </si>
  <si>
    <t>Bath Tea Bags - Fruit</t>
  </si>
  <si>
    <t>CR024</t>
  </si>
  <si>
    <t>Bath Tea Bags - Van Gogh Sunflowers</t>
  </si>
  <si>
    <t>CR025</t>
  </si>
  <si>
    <t>Bath Tea Bags - Monet Water Lilies</t>
  </si>
  <si>
    <t>CR026</t>
  </si>
  <si>
    <t>Sleep Spray - Strawberry Thief</t>
  </si>
  <si>
    <t>CR027</t>
  </si>
  <si>
    <t>Sleep Spray - Fruit</t>
  </si>
  <si>
    <t>CR028</t>
  </si>
  <si>
    <t>Sleep Spray - Van Gogh Sunflowers</t>
  </si>
  <si>
    <t>CR029</t>
  </si>
  <si>
    <t>Sleep Spray - Monet Water Lilies</t>
  </si>
  <si>
    <t>CR030</t>
  </si>
  <si>
    <t>Hydrate, Bath &amp; Beauty Set Up Strawberry Thief</t>
  </si>
  <si>
    <t>HBB01</t>
  </si>
  <si>
    <t>Hydrate, Bath &amp; Beauty Set Up Fruit</t>
  </si>
  <si>
    <t>HBB02</t>
  </si>
  <si>
    <t>Hydrate, Bath &amp; Beauty Set Up Water Lilies &amp; Sunflower</t>
  </si>
  <si>
    <t>HBB03</t>
  </si>
  <si>
    <t>Hydrate, Bath &amp; Beauty Set Up Fruit &amp; Strawberry Thief</t>
  </si>
  <si>
    <t>HBB04</t>
  </si>
  <si>
    <t>Large Hand Cream Set Up</t>
  </si>
  <si>
    <t>LHCSU</t>
  </si>
  <si>
    <t>Display</t>
  </si>
  <si>
    <t>Azzurri Reading Glasses Display</t>
  </si>
  <si>
    <t>AZD</t>
  </si>
  <si>
    <t>Bluhen Display</t>
  </si>
  <si>
    <t>BHD</t>
  </si>
  <si>
    <t>WIRE BOOKMARK STAND - New</t>
  </si>
  <si>
    <t>BMWS2</t>
  </si>
  <si>
    <t>Eye Mask</t>
  </si>
  <si>
    <t>Eye Mask Set Up</t>
  </si>
  <si>
    <t>SPEM</t>
  </si>
  <si>
    <t>Eyemask</t>
  </si>
  <si>
    <t>Lavender Scented Eyemask - Bluhen Hampton Stripe</t>
  </si>
  <si>
    <t>BH060</t>
  </si>
  <si>
    <t>Lavender Scented Eyemask - Bluhen Kilburn</t>
  </si>
  <si>
    <t>BH061</t>
  </si>
  <si>
    <t>Lavender Scented Eyemask - William Morris Fruit</t>
  </si>
  <si>
    <t>EM02</t>
  </si>
  <si>
    <t>Lavender Scented Eyemask - William Morris Strawberry Thief</t>
  </si>
  <si>
    <t>EM03</t>
  </si>
  <si>
    <t>Lavender Scented Eyemask William Morris Strawberry Thief Red</t>
  </si>
  <si>
    <t>EM04</t>
  </si>
  <si>
    <t>Lavender Scented Eyemask - William Morris Wild Tulip</t>
  </si>
  <si>
    <t>EM05</t>
  </si>
  <si>
    <t>Lavender Scented Eyemask - Van Gogh's Sunflowers</t>
  </si>
  <si>
    <t>EM06</t>
  </si>
  <si>
    <t>Lavender Scented Eyemask - Monet's Water Lilies</t>
  </si>
  <si>
    <t>EM07</t>
  </si>
  <si>
    <t>Lavender Scented Eyemask - Blush</t>
  </si>
  <si>
    <t>EM08</t>
  </si>
  <si>
    <t>Lavender Scented Eyemask - Black</t>
  </si>
  <si>
    <t>EM09</t>
  </si>
  <si>
    <t>Games</t>
  </si>
  <si>
    <t>Harlequin Games Dice Cup Dice &amp; Playing Cards</t>
  </si>
  <si>
    <t>HQ001</t>
  </si>
  <si>
    <t>Harlequin Games Chess Checkers &amp; Backgammon</t>
  </si>
  <si>
    <t>HQ002</t>
  </si>
  <si>
    <t>Harlequin Games Dominoes</t>
  </si>
  <si>
    <t>HQ003</t>
  </si>
  <si>
    <t>Harlequin Games Pick Up Sticks</t>
  </si>
  <si>
    <t>HQ004</t>
  </si>
  <si>
    <t>Harlequin Games Noughts &amp; Crosses</t>
  </si>
  <si>
    <t>HQ005</t>
  </si>
  <si>
    <t>Harlequin Games Croquet Set</t>
  </si>
  <si>
    <t>HQ006</t>
  </si>
  <si>
    <t>Harlequin Games Ring Toss</t>
  </si>
  <si>
    <t>HQ007</t>
  </si>
  <si>
    <t>Harlequin Games Magnetic Dart Board</t>
  </si>
  <si>
    <t>HQ012</t>
  </si>
  <si>
    <t>Harlequin Games Marbles</t>
  </si>
  <si>
    <t>HQ014</t>
  </si>
  <si>
    <t>Harlequin Games Kite</t>
  </si>
  <si>
    <t>HQ015</t>
  </si>
  <si>
    <t>Harlequin Games Yoyo</t>
  </si>
  <si>
    <t>HQ016</t>
  </si>
  <si>
    <t>Harlequin Games Airplane</t>
  </si>
  <si>
    <t>HQ017</t>
  </si>
  <si>
    <t>Harlequin Games Magic Spring</t>
  </si>
  <si>
    <t>HQ018</t>
  </si>
  <si>
    <t>Harlequin Games Magic Floating Ball</t>
  </si>
  <si>
    <t>HQ020</t>
  </si>
  <si>
    <t>Harlequin Games Balloon Modelling Kit</t>
  </si>
  <si>
    <t>HQ021</t>
  </si>
  <si>
    <t>Harlequin Games Jacks</t>
  </si>
  <si>
    <t>HQ022</t>
  </si>
  <si>
    <t>Harlequin Games Lawn Darts</t>
  </si>
  <si>
    <t>HQ024</t>
  </si>
  <si>
    <t>Harlequin Games Juggling Set</t>
  </si>
  <si>
    <t>HQ025</t>
  </si>
  <si>
    <t>Harlequin Games Dice &amp; Playing Cards</t>
  </si>
  <si>
    <t>HQ027</t>
  </si>
  <si>
    <t>Harlequin Games Self Inflating Whoopee Cushion</t>
  </si>
  <si>
    <t>HQ028</t>
  </si>
  <si>
    <t>Harlequin Games</t>
  </si>
  <si>
    <t>Harlequin Games Rocket Ship Set Up</t>
  </si>
  <si>
    <t>HQRS</t>
  </si>
  <si>
    <t>Glasses Case</t>
  </si>
  <si>
    <t>Glasses Case - Fruit William Morris</t>
  </si>
  <si>
    <t>GC002</t>
  </si>
  <si>
    <t>Glasses Case - Strawberry Thief William Morris</t>
  </si>
  <si>
    <t>GC003</t>
  </si>
  <si>
    <t>Glasses Case - Peonie Rose Bluhen</t>
  </si>
  <si>
    <t>GC005</t>
  </si>
  <si>
    <t>Glasses Case - Gingham Blue Bluhen</t>
  </si>
  <si>
    <t>GC008</t>
  </si>
  <si>
    <t>Glasses Case - Hampton Stripe</t>
  </si>
  <si>
    <t>GC010</t>
  </si>
  <si>
    <t>Glasses Case - Van Gogh Sunflowers</t>
  </si>
  <si>
    <t>GC012</t>
  </si>
  <si>
    <t>Glasses Case - Monet Water Lilies</t>
  </si>
  <si>
    <t>GC013</t>
  </si>
  <si>
    <t>GLASSES CASES STARTER PACK</t>
  </si>
  <si>
    <t>GCSP</t>
  </si>
  <si>
    <t>Greeting Cards</t>
  </si>
  <si>
    <t>Loudmouth - Dame Edna</t>
  </si>
  <si>
    <t>LM003</t>
  </si>
  <si>
    <t>Loudmouth - David Attenborough</t>
  </si>
  <si>
    <t>LM004</t>
  </si>
  <si>
    <t>Loudmouth - Donald Trump</t>
  </si>
  <si>
    <t>LM005</t>
  </si>
  <si>
    <t>Loudmouth - Ed Sheeran</t>
  </si>
  <si>
    <t>LM006</t>
  </si>
  <si>
    <t>Loudmouth - The Godfather</t>
  </si>
  <si>
    <t>LM008</t>
  </si>
  <si>
    <t>Loudmouth - Marilyn Monroe</t>
  </si>
  <si>
    <t>LM012</t>
  </si>
  <si>
    <t>Loudmouth - Professor Snape</t>
  </si>
  <si>
    <t>LM018</t>
  </si>
  <si>
    <t>Loudmouth - Taylor Swift</t>
  </si>
  <si>
    <t>LM019</t>
  </si>
  <si>
    <t>Loudmouth - Thor</t>
  </si>
  <si>
    <t>LM020</t>
  </si>
  <si>
    <t>Loudmouth - The Queen</t>
  </si>
  <si>
    <t>LM021</t>
  </si>
  <si>
    <t>Loudmouth - Darth Vadar</t>
  </si>
  <si>
    <t>LM022</t>
  </si>
  <si>
    <t>Loudmouth - The Terminator</t>
  </si>
  <si>
    <t>LM023</t>
  </si>
  <si>
    <t>Loudmouth - Elvis</t>
  </si>
  <si>
    <t>LM027</t>
  </si>
  <si>
    <t>Loudmouth - Boris</t>
  </si>
  <si>
    <t>LM028</t>
  </si>
  <si>
    <t>Loudmouth - Voldemort</t>
  </si>
  <si>
    <t>LM030</t>
  </si>
  <si>
    <t>Loudmouth - Batman</t>
  </si>
  <si>
    <t>LM031</t>
  </si>
  <si>
    <t>Loudmouth - Spiderman</t>
  </si>
  <si>
    <t>LM032</t>
  </si>
  <si>
    <t>Loudmouth - Yoda</t>
  </si>
  <si>
    <t>LM033</t>
  </si>
  <si>
    <t>Loudmouth - Gandalf</t>
  </si>
  <si>
    <t>LM034</t>
  </si>
  <si>
    <t>Loudmouth - Kim Kardashian</t>
  </si>
  <si>
    <t>LM035</t>
  </si>
  <si>
    <t>Loudmouth - King Charles</t>
  </si>
  <si>
    <t>LM036</t>
  </si>
  <si>
    <t>Loudmouth - Justin Bieber</t>
  </si>
  <si>
    <t>LM037</t>
  </si>
  <si>
    <t>Loudmouth - Dwayne Johnson</t>
  </si>
  <si>
    <t>LM039</t>
  </si>
  <si>
    <t>Loudmouth - Ryan Gosling</t>
  </si>
  <si>
    <t>LM040</t>
  </si>
  <si>
    <t>Loudmouth - Elon Musk</t>
  </si>
  <si>
    <t>LM041</t>
  </si>
  <si>
    <t>Loudmouth Sounds Cards Set Up</t>
  </si>
  <si>
    <t>LMSU</t>
  </si>
  <si>
    <t>Loudmouth Wire Spinner</t>
  </si>
  <si>
    <t>LMWS</t>
  </si>
  <si>
    <t>Hair Wrap</t>
  </si>
  <si>
    <t>Bluhen - Hampton Stripe Hair Wrap</t>
  </si>
  <si>
    <t>BH056</t>
  </si>
  <si>
    <t>Bluhen - Kilburn Hair Wrap</t>
  </si>
  <si>
    <t>BH057</t>
  </si>
  <si>
    <t>Hair Wrap - William Morris Blue Larkspur</t>
  </si>
  <si>
    <t>HW01</t>
  </si>
  <si>
    <t>Hair Wrap - William Morris Fruit</t>
  </si>
  <si>
    <t>HW02</t>
  </si>
  <si>
    <t>Hair Wrap - William Morris Strawberry Thief</t>
  </si>
  <si>
    <t>HW03</t>
  </si>
  <si>
    <t>Hair Wrap - William Morris Wild Tulip</t>
  </si>
  <si>
    <t>HW04</t>
  </si>
  <si>
    <t>Hair Wrap - William Morris Strawberry Thief Red</t>
  </si>
  <si>
    <t>HW05</t>
  </si>
  <si>
    <t>Hair Wrap - Van Gogh's Sunflowers</t>
  </si>
  <si>
    <t>HW06</t>
  </si>
  <si>
    <t>Hair Wrap - Monet's Water Lilies</t>
  </si>
  <si>
    <t>HW07</t>
  </si>
  <si>
    <t>Hair Wrap - Blush</t>
  </si>
  <si>
    <t>HW08</t>
  </si>
  <si>
    <t>Hair Wrap - Black</t>
  </si>
  <si>
    <t>HW09</t>
  </si>
  <si>
    <t>Microfibre Hair Wraps Set Up</t>
  </si>
  <si>
    <t>HWSU</t>
  </si>
  <si>
    <t>Manicure Set</t>
  </si>
  <si>
    <t>Bluhen 10pc Manicure Set - Black Floral</t>
  </si>
  <si>
    <t>BH047</t>
  </si>
  <si>
    <t>Bluhen 10pc Manicure Set - Peonie Rose</t>
  </si>
  <si>
    <t>BH048</t>
  </si>
  <si>
    <t>Manicure CDU</t>
  </si>
  <si>
    <t>MCDU</t>
  </si>
  <si>
    <t>DISPLAY</t>
  </si>
  <si>
    <t>Manicure Set - Leopard</t>
  </si>
  <si>
    <t>MCS001</t>
  </si>
  <si>
    <t>Manicure Set - Pink Polka Dots</t>
  </si>
  <si>
    <t>MCS002</t>
  </si>
  <si>
    <t>Manicure Set - Wild Tulip William Morris</t>
  </si>
  <si>
    <t>MCS003</t>
  </si>
  <si>
    <t>Manicure Set - Strawberry Thief William Morris</t>
  </si>
  <si>
    <t>MCS004</t>
  </si>
  <si>
    <t>Manicure Set - Fruit William Morris</t>
  </si>
  <si>
    <t>MCS005</t>
  </si>
  <si>
    <t>Manicure Set - William Morris Mint Larkspur</t>
  </si>
  <si>
    <t>MCS006</t>
  </si>
  <si>
    <t>Manicure Set - Strawberry Thief Red</t>
  </si>
  <si>
    <t>MCS007</t>
  </si>
  <si>
    <t>Manicure Set - Sunflowers</t>
  </si>
  <si>
    <t>MCS008</t>
  </si>
  <si>
    <t>Manicure Set - Water Lilies</t>
  </si>
  <si>
    <t>MCS009</t>
  </si>
  <si>
    <t>Manicure Set - Black</t>
  </si>
  <si>
    <t>MCS010</t>
  </si>
  <si>
    <t>Manicure Set - Blush</t>
  </si>
  <si>
    <t>MCS011</t>
  </si>
  <si>
    <t>Manicure Set Up Bluhen</t>
  </si>
  <si>
    <t>MSU1</t>
  </si>
  <si>
    <t>Mens Gifts</t>
  </si>
  <si>
    <t>Krafftman - Camping Utensils Multi Tool 7 in 1</t>
  </si>
  <si>
    <t>MT01</t>
  </si>
  <si>
    <t>Krafftman - Swiss Pocket Knife 28 in 1</t>
  </si>
  <si>
    <t>MT03</t>
  </si>
  <si>
    <t>Krafftman - Pliers Multi Tool 12 in 1</t>
  </si>
  <si>
    <t>MT04</t>
  </si>
  <si>
    <t>Krafftman - BBQ Multi Tool 5 in 1</t>
  </si>
  <si>
    <t>MT06</t>
  </si>
  <si>
    <t>Krafftman - Card Multi Tool 10 in 1</t>
  </si>
  <si>
    <t>MT07</t>
  </si>
  <si>
    <t>Krafftman - Poker Set</t>
  </si>
  <si>
    <t>MT08</t>
  </si>
  <si>
    <t>Krafftman - 6-in-1 Pen</t>
  </si>
  <si>
    <t>MT09</t>
  </si>
  <si>
    <t>Krafftman - Enamel Mug - Adventure Fills The Soul</t>
  </si>
  <si>
    <t>MT10</t>
  </si>
  <si>
    <t>Krafftman - Enamel Mug - The Journeyman</t>
  </si>
  <si>
    <t>MT11</t>
  </si>
  <si>
    <t>Krafftman - Enamel Mug - Trip Stumble Fall</t>
  </si>
  <si>
    <t>MT12</t>
  </si>
  <si>
    <t>Krafftman - Carabiner Mug - Escape The Ordinary</t>
  </si>
  <si>
    <t>MT13</t>
  </si>
  <si>
    <t>Krafftman - Carabiner Mug - Not All Who Wander</t>
  </si>
  <si>
    <t>MT14</t>
  </si>
  <si>
    <t>Krafftman - Carabiner Mug - The Adventure Awaits</t>
  </si>
  <si>
    <t>MT15</t>
  </si>
  <si>
    <t>Craftsman - Sneaker Cleaning Kit</t>
  </si>
  <si>
    <t>TC001</t>
  </si>
  <si>
    <t>Craftsman - Leather Shoe Cleaning Kit</t>
  </si>
  <si>
    <t>TC002</t>
  </si>
  <si>
    <t>Craftsman - Docking Station</t>
  </si>
  <si>
    <t>TC003</t>
  </si>
  <si>
    <t>Craftsman - Large Valet Tray</t>
  </si>
  <si>
    <t>TC004</t>
  </si>
  <si>
    <t>Krafftman - Grooming Set</t>
  </si>
  <si>
    <t>TC005</t>
  </si>
  <si>
    <t>Craftsman - BBQ Master Set</t>
  </si>
  <si>
    <t>TC007</t>
  </si>
  <si>
    <t>Craftsman - Twin Hip Flask</t>
  </si>
  <si>
    <t>TC008</t>
  </si>
  <si>
    <t>Krafftman - Hammer Multi Tool 14 in 1</t>
  </si>
  <si>
    <t>TC009</t>
  </si>
  <si>
    <t>Krafftman- Swiss Pocket Knife 15 in 1</t>
  </si>
  <si>
    <t>TC010</t>
  </si>
  <si>
    <t>Craftsman - Toiletry Bag</t>
  </si>
  <si>
    <t>TC011</t>
  </si>
  <si>
    <t>Craftsman - Watch Roll</t>
  </si>
  <si>
    <t>TC012</t>
  </si>
  <si>
    <t>Name A Star</t>
  </si>
  <si>
    <t>NAME A STAR</t>
  </si>
  <si>
    <t>NS001</t>
  </si>
  <si>
    <t>Notebooks</t>
  </si>
  <si>
    <t>A5 FABRIC JOURNALS STARTER PACK</t>
  </si>
  <si>
    <t>SPFJ</t>
  </si>
  <si>
    <t>A5 BLANK FABRIC JOURNALS STARTER PACK 8 pcs</t>
  </si>
  <si>
    <t>SPFJB</t>
  </si>
  <si>
    <t>Journal - A5 Strawberry Thief Lined</t>
  </si>
  <si>
    <t>J01</t>
  </si>
  <si>
    <t>Journal - A5 Fruit Lined</t>
  </si>
  <si>
    <t>J03</t>
  </si>
  <si>
    <t>Journal - A5 Wild Tulip Lined</t>
  </si>
  <si>
    <t>J04</t>
  </si>
  <si>
    <t>Journal - A5 Peonie Rose Lined</t>
  </si>
  <si>
    <t>J05</t>
  </si>
  <si>
    <t>Journal - A5 Kilburn Lined</t>
  </si>
  <si>
    <t>J06</t>
  </si>
  <si>
    <t>Journal - A5 Leopard Print Lined</t>
  </si>
  <si>
    <t>J07</t>
  </si>
  <si>
    <t>Journal - A5 Hampton Stripe Lined</t>
  </si>
  <si>
    <t>J08</t>
  </si>
  <si>
    <t>Journal - A5 Strawberry Thief Red Lined</t>
  </si>
  <si>
    <t>J13</t>
  </si>
  <si>
    <t>Journal - A5 Sunflower Lined</t>
  </si>
  <si>
    <t>J14</t>
  </si>
  <si>
    <t>Journal - A5 Water Lilies Lined</t>
  </si>
  <si>
    <t>J15</t>
  </si>
  <si>
    <t>Journal - A5 Black Lined</t>
  </si>
  <si>
    <t>J16</t>
  </si>
  <si>
    <t>Journal - A5 Navy Lined</t>
  </si>
  <si>
    <t>J17</t>
  </si>
  <si>
    <t>Journal - A5 Blush Lined</t>
  </si>
  <si>
    <t>J18</t>
  </si>
  <si>
    <t>Journal - A5 Emerald Lined</t>
  </si>
  <si>
    <t>J19</t>
  </si>
  <si>
    <t>A6 FABRIC JOURNALS STARTER PACK</t>
  </si>
  <si>
    <t>SPA6FJ</t>
  </si>
  <si>
    <t>Journal - A6 Strawberry Thief</t>
  </si>
  <si>
    <t>JA601</t>
  </si>
  <si>
    <t>Journal - A6 Fruit</t>
  </si>
  <si>
    <t>JA602</t>
  </si>
  <si>
    <t>Journal - A6 Peonie Rose</t>
  </si>
  <si>
    <t>JA603</t>
  </si>
  <si>
    <t>Journal - A6 Kilburn</t>
  </si>
  <si>
    <t>JA604</t>
  </si>
  <si>
    <t>Journal - A6 Sunflowers</t>
  </si>
  <si>
    <t>JA605</t>
  </si>
  <si>
    <t>Journal - A6 Water Lilies</t>
  </si>
  <si>
    <t>JA606</t>
  </si>
  <si>
    <t>Journal - A6 Strawberry Thief Red</t>
  </si>
  <si>
    <t>JA607</t>
  </si>
  <si>
    <t>Pillow Cases</t>
  </si>
  <si>
    <t>Bluhen - Hampton Stripe Satin Pillow Case</t>
  </si>
  <si>
    <t>SPC01</t>
  </si>
  <si>
    <t>Bluhen - Kilburn Satin Pillow Case</t>
  </si>
  <si>
    <t>SPC02</t>
  </si>
  <si>
    <t>Satin Pillow Case - Strawberry Thief</t>
  </si>
  <si>
    <t>SPC03</t>
  </si>
  <si>
    <t>HOLD</t>
  </si>
  <si>
    <t>Satin Pillow Case - Blue Larkspur</t>
  </si>
  <si>
    <t>SPC04</t>
  </si>
  <si>
    <t>Satin Pillow Case - Fruit</t>
  </si>
  <si>
    <t>SPC05</t>
  </si>
  <si>
    <t>Satin Pillow Case - Wild Tulip</t>
  </si>
  <si>
    <t>SPC06</t>
  </si>
  <si>
    <t>Satin Pillow Case - Strawberry Thief Red</t>
  </si>
  <si>
    <t>SPC07</t>
  </si>
  <si>
    <t>Satin Pillowcases Set Up</t>
  </si>
  <si>
    <t>SPSP</t>
  </si>
  <si>
    <t>Reading Glasses</t>
  </si>
  <si>
    <t>Azzurri Reading Glasses Bari 1 L0</t>
  </si>
  <si>
    <t>AZB01</t>
  </si>
  <si>
    <t>Azzurri Reading Glasses Bari 1 L1</t>
  </si>
  <si>
    <t>AZB01L1</t>
  </si>
  <si>
    <t>Azzurri Reading Glasses Bari 1 L1.5</t>
  </si>
  <si>
    <t>AZB01L1.5</t>
  </si>
  <si>
    <t>Azzurri Reading Glasses Bari 1 L2</t>
  </si>
  <si>
    <t>AZB01L2</t>
  </si>
  <si>
    <t>Azzurri Reading Glasses Bari 1 L2.5</t>
  </si>
  <si>
    <t>AZB01L2.5</t>
  </si>
  <si>
    <t>Azzurri Reading Glasses Bari 1 L3</t>
  </si>
  <si>
    <t>AZB01L3</t>
  </si>
  <si>
    <t>Azzurri Reading Glasses Bari 2 L0</t>
  </si>
  <si>
    <t>AZB02</t>
  </si>
  <si>
    <t>Azzurri Reading Glasses Bari 2 L1</t>
  </si>
  <si>
    <t>AZB02L1</t>
  </si>
  <si>
    <t>Azzurri Reading Glasses Bari 2 L1.5</t>
  </si>
  <si>
    <t>AZB02L1.5</t>
  </si>
  <si>
    <t>Azzurri Reading Glasses Bari 2 L2</t>
  </si>
  <si>
    <t>AZB02L2</t>
  </si>
  <si>
    <t>Azzurri Reading Glasses Bari 2 L2.5</t>
  </si>
  <si>
    <t>AZB02L2.5</t>
  </si>
  <si>
    <t>Azzurri Reading Glasses Bari 2 L3</t>
  </si>
  <si>
    <t>AZB02L3</t>
  </si>
  <si>
    <t>Azzurri Reading Glasses Como 1 L0</t>
  </si>
  <si>
    <t>AZC01</t>
  </si>
  <si>
    <t>Azzurri Reading Glasses Como 1 L1</t>
  </si>
  <si>
    <t>AZC01L1</t>
  </si>
  <si>
    <t>Azzurri Reading Glasses Como 1 L1.5</t>
  </si>
  <si>
    <t>AZC01L1.5</t>
  </si>
  <si>
    <t>Azzurri Reading Glasses Como 1 L2</t>
  </si>
  <si>
    <t>AZC01L2</t>
  </si>
  <si>
    <t>Azzurri Reading Glasses Como 1 L2.5</t>
  </si>
  <si>
    <t>AZC01L2.5</t>
  </si>
  <si>
    <t>Azzurri Reading Glasses Como 1 L3</t>
  </si>
  <si>
    <t>AZC01L3</t>
  </si>
  <si>
    <t>Azzurri Reading Glasses Como 2 L0</t>
  </si>
  <si>
    <t>AZC02</t>
  </si>
  <si>
    <t>Azzurri Reading Glasses Como 2 L1</t>
  </si>
  <si>
    <t>AZC02L1</t>
  </si>
  <si>
    <t>Azzurri Reading Glasses Como 2 L1.5</t>
  </si>
  <si>
    <t>AZC02L1.5</t>
  </si>
  <si>
    <t>Azzurri Reading Glasses Como 2 L2</t>
  </si>
  <si>
    <t>AZC02L2</t>
  </si>
  <si>
    <t>Azzurri Reading Glasses Como 2 L2.5</t>
  </si>
  <si>
    <t>AZC02L2.5</t>
  </si>
  <si>
    <t>Azzurri Reading Glasses Como 2 L3</t>
  </si>
  <si>
    <t>AZC02L3</t>
  </si>
  <si>
    <t>Azzurri Reading Glasses Lucca 1 L0</t>
  </si>
  <si>
    <t>AZL01</t>
  </si>
  <si>
    <t>Azzurri Reading Glasses Lucca 1 L1</t>
  </si>
  <si>
    <t>AZL01L1</t>
  </si>
  <si>
    <t>Azzurri Reading Glasses Lucca 1 L1.5</t>
  </si>
  <si>
    <t>AZL01L1.5</t>
  </si>
  <si>
    <t>Azzurri Reading Glasses Lucca 1 L2</t>
  </si>
  <si>
    <t>AZL01L2</t>
  </si>
  <si>
    <t>Azzurri Reading Glasses Lucca 1 L2.5</t>
  </si>
  <si>
    <t>AZL01L2.5</t>
  </si>
  <si>
    <t>Azzurri Reading Glasses Lucca 1 L3</t>
  </si>
  <si>
    <t>AZL01L3</t>
  </si>
  <si>
    <t>Azzurri Reading Glasses Lucca 2 L0</t>
  </si>
  <si>
    <t>AZL02</t>
  </si>
  <si>
    <t>Azzurri Reading Glasses Lucca 2 L1</t>
  </si>
  <si>
    <t>AZL02L1</t>
  </si>
  <si>
    <t>Azzurri Reading Glasses Lucca 2 L1.5</t>
  </si>
  <si>
    <t>AZL02L1.5</t>
  </si>
  <si>
    <t>Azzurri Reading Glasses Lucca 2 L2</t>
  </si>
  <si>
    <t>AZL02L2</t>
  </si>
  <si>
    <t>Azzurri Reading Glasses Lucca 2 L2.5</t>
  </si>
  <si>
    <t>AZL02L2.5</t>
  </si>
  <si>
    <t>Azzurri Reading Glasses Lucca 2 L3</t>
  </si>
  <si>
    <t>AZL02L3</t>
  </si>
  <si>
    <t>Azzurri Blue Light Reading Glasses Setup 26D x 20W x 57Hcm</t>
  </si>
  <si>
    <t>AZLSP</t>
  </si>
  <si>
    <t>Azzurri Blue Light Reading Glasses Back Up 1 of each SKU</t>
  </si>
  <si>
    <t>AZLSS</t>
  </si>
  <si>
    <t>Scarf</t>
  </si>
  <si>
    <t>Scarf - Peonie Rose</t>
  </si>
  <si>
    <t>BH54</t>
  </si>
  <si>
    <t>Scarf - Fruit</t>
  </si>
  <si>
    <t>SCA001</t>
  </si>
  <si>
    <t>Scarf - Leopard</t>
  </si>
  <si>
    <t>SCA002</t>
  </si>
  <si>
    <t>Scarf - Wild Tulip</t>
  </si>
  <si>
    <t>SCA003</t>
  </si>
  <si>
    <t>Scarf - Strawberry Thief Original</t>
  </si>
  <si>
    <t>SCA004</t>
  </si>
  <si>
    <t>Scarf - Kilburn</t>
  </si>
  <si>
    <t>SCA005</t>
  </si>
  <si>
    <t>Scarf - Hampton Stripe</t>
  </si>
  <si>
    <t>SCA006</t>
  </si>
  <si>
    <t>Scarf - Strawberry Thief Red</t>
  </si>
  <si>
    <t>SCA007</t>
  </si>
  <si>
    <t>Scarf - Van Gogh Sunflowers</t>
  </si>
  <si>
    <t>SCA008</t>
  </si>
  <si>
    <t>Scarf - Monet Water Lilies</t>
  </si>
  <si>
    <t>SCA009</t>
  </si>
  <si>
    <t>Scarf - Black</t>
  </si>
  <si>
    <t>SCA011</t>
  </si>
  <si>
    <t>Scarf Set Up 30cmD x 50cmW x 165cmH</t>
  </si>
  <si>
    <t>SCASU</t>
  </si>
  <si>
    <t>Slippers</t>
  </si>
  <si>
    <t>Plush slippers 8-10 Size- Peonie Rose</t>
  </si>
  <si>
    <t>BH036</t>
  </si>
  <si>
    <t>Plush Slippers 6-8 Size - Peonie Rose</t>
  </si>
  <si>
    <t>BH052</t>
  </si>
  <si>
    <t>Plush Slippers 8-10 Size - Kilburn</t>
  </si>
  <si>
    <t>PS01</t>
  </si>
  <si>
    <t>Plush Slippers 6-8 Size - Kilburn</t>
  </si>
  <si>
    <t>PS02</t>
  </si>
  <si>
    <t>Plush Slippers 8-10 Size - Strawberry Thief</t>
  </si>
  <si>
    <t>PS03</t>
  </si>
  <si>
    <t>Plush Slippers 6-8 Size - Strawberry Thief</t>
  </si>
  <si>
    <t>PS04</t>
  </si>
  <si>
    <t>Plush Slippers 8-10 Size - Fruit</t>
  </si>
  <si>
    <t>PS05</t>
  </si>
  <si>
    <t>Plush Slippers 6-8 Size - Fruit</t>
  </si>
  <si>
    <t>PS06</t>
  </si>
  <si>
    <t>Plush Slippers 8-10 Size - Van Gogh Sunflowers</t>
  </si>
  <si>
    <t>PS07</t>
  </si>
  <si>
    <t>Plush Slippers 6-8 Size - Van Gogh Sunflowers</t>
  </si>
  <si>
    <t>PS08</t>
  </si>
  <si>
    <t>Plush Slippers 8-10 Size - Monet Water Lilies</t>
  </si>
  <si>
    <t>PS09</t>
  </si>
  <si>
    <t>Plush Slippers 6-8 Size - Monet Water Lilies</t>
  </si>
  <si>
    <t>PS10</t>
  </si>
  <si>
    <t>Socks</t>
  </si>
  <si>
    <t>Cupcake Socks - Hundreds and Thousands</t>
  </si>
  <si>
    <t>CS001</t>
  </si>
  <si>
    <t>Cupcake Socks - Blue Frosted</t>
  </si>
  <si>
    <t>CS002</t>
  </si>
  <si>
    <t>Cupcake Socks - Berry Bang</t>
  </si>
  <si>
    <t>CS003</t>
  </si>
  <si>
    <t>Cupcake Socks - Rasberry Swirl</t>
  </si>
  <si>
    <t>CS004</t>
  </si>
  <si>
    <t>Cupcake Socks - Dark Infusion</t>
  </si>
  <si>
    <t>CS005</t>
  </si>
  <si>
    <t>Cupcake Socks - Strawberry Love</t>
  </si>
  <si>
    <t>CS006</t>
  </si>
  <si>
    <t>Food Socks - Sushi Avo</t>
  </si>
  <si>
    <t>CS007</t>
  </si>
  <si>
    <t>Food Socks - Sushi Salmon</t>
  </si>
  <si>
    <t>CS008</t>
  </si>
  <si>
    <t>Food Socks - Burger</t>
  </si>
  <si>
    <t>CS009</t>
  </si>
  <si>
    <t>Food Socks - Pizza Square</t>
  </si>
  <si>
    <t>CS010</t>
  </si>
  <si>
    <t>Food Socks - Pizza Triangle</t>
  </si>
  <si>
    <t>CS011</t>
  </si>
  <si>
    <t>Food Socks - Dark Chocolate</t>
  </si>
  <si>
    <t>CS012</t>
  </si>
  <si>
    <t>Food Socks - White Chocolate</t>
  </si>
  <si>
    <t>CS013</t>
  </si>
  <si>
    <t>Food Socks - Pink Donut</t>
  </si>
  <si>
    <t>CS014</t>
  </si>
  <si>
    <t>Food Socks - Fries</t>
  </si>
  <si>
    <t>CS015</t>
  </si>
  <si>
    <t>Cupcake Socks Set Up</t>
  </si>
  <si>
    <t>CSSU</t>
  </si>
  <si>
    <t>Food Cart Set Up</t>
  </si>
  <si>
    <t>FCSU</t>
  </si>
  <si>
    <t>Tote Bags</t>
  </si>
  <si>
    <t>Tote Bag - I Love Books</t>
  </si>
  <si>
    <t>TB002</t>
  </si>
  <si>
    <t>Tote Bag - Its Not Hoarding</t>
  </si>
  <si>
    <t>TB003</t>
  </si>
  <si>
    <t>Tote Bag - I Like To Party</t>
  </si>
  <si>
    <t>TB007</t>
  </si>
  <si>
    <t>Tote Bag - William Morris Strawberry Thief</t>
  </si>
  <si>
    <t>TB014</t>
  </si>
  <si>
    <t>Tote Bag - William Morris Fruit</t>
  </si>
  <si>
    <t>TB015</t>
  </si>
  <si>
    <t>Tote Bag - William Morris Wild Tulip</t>
  </si>
  <si>
    <t>TB016</t>
  </si>
  <si>
    <t>Tote Bag - Bluhen Peonie Rose</t>
  </si>
  <si>
    <t>TB017</t>
  </si>
  <si>
    <t>Tote Bag - William Morris Strawberry Thief Red</t>
  </si>
  <si>
    <t>TB021</t>
  </si>
  <si>
    <t>Umbrellas</t>
  </si>
  <si>
    <t>Umbrella - BluHen - Peonie Rose</t>
  </si>
  <si>
    <t>BH46</t>
  </si>
  <si>
    <t>Umbrella - BluHen - Pink Polka Dot</t>
  </si>
  <si>
    <t>BH53</t>
  </si>
  <si>
    <t>Umbrella - Bluhen (Van Gogh Sunflowers)</t>
  </si>
  <si>
    <t>BH56</t>
  </si>
  <si>
    <t>Umbrella - Bluhen (Monet's Water Lilies)</t>
  </si>
  <si>
    <t>BH57</t>
  </si>
  <si>
    <t>Umbrella Full Set Up 30cmD x 50cmW x 165cmH</t>
  </si>
  <si>
    <t>UBFSU</t>
  </si>
  <si>
    <t>Umbrella Set Up - BluHen 30cmD x 50cmW x 165cmH</t>
  </si>
  <si>
    <t>UBSUBH</t>
  </si>
  <si>
    <t>Umbrella Set Up - William Morris 30cmD x 50cmW x 165cmH</t>
  </si>
  <si>
    <t>UBSUWM</t>
  </si>
  <si>
    <t>Ladder Stand Display 30cmD x 50cmW x 165cmH</t>
  </si>
  <si>
    <t>LSD</t>
  </si>
  <si>
    <t>Umbrella - Black</t>
  </si>
  <si>
    <t>UMB001</t>
  </si>
  <si>
    <t>Umbrella - Navy</t>
  </si>
  <si>
    <t>UMB002</t>
  </si>
  <si>
    <t>Umbrella - Green</t>
  </si>
  <si>
    <t>UMB003</t>
  </si>
  <si>
    <t>Umbrella - Red</t>
  </si>
  <si>
    <t>UMB004</t>
  </si>
  <si>
    <t>Umbrella Set Up- Colored 30cmD x 50cmW x 165cmH</t>
  </si>
  <si>
    <t>UMBSU</t>
  </si>
  <si>
    <t>Umbrella - William Morris (Blue Larkspur)</t>
  </si>
  <si>
    <t>WM034</t>
  </si>
  <si>
    <t>Umbrella - William Morris (Sweet Briar)</t>
  </si>
  <si>
    <t>WM035</t>
  </si>
  <si>
    <t>Umbrella - William Morris (Wild Tulip)</t>
  </si>
  <si>
    <t>WM039</t>
  </si>
  <si>
    <t>Umbrella - William Morris (Fruit)</t>
  </si>
  <si>
    <t>WM043</t>
  </si>
  <si>
    <t>Umbrella - William Morris (Strawberry Thief Original)</t>
  </si>
  <si>
    <t>WM044</t>
  </si>
  <si>
    <t>Umbrella - William Morris (Strawberry Thief Red)</t>
  </si>
  <si>
    <t>WM045</t>
  </si>
  <si>
    <t>Umbrella - Bluhen - Leopard</t>
  </si>
  <si>
    <t>BH52</t>
  </si>
  <si>
    <t>Tote Bag - Bluhen Kilburn</t>
  </si>
  <si>
    <t>TB019</t>
  </si>
  <si>
    <t>Tote Bag - Bluhen Hampton Stripe</t>
  </si>
  <si>
    <t>TB020</t>
  </si>
  <si>
    <t>Hydrate, Bath &amp; Beauty Set Up Australian Natives &amp; Golden Wattle</t>
  </si>
  <si>
    <t>HBB05</t>
  </si>
  <si>
    <t>Hand Cream Tester - Strawberry Thief</t>
  </si>
  <si>
    <t>CRT01</t>
  </si>
  <si>
    <t>Hand Cream Tester - Monet Water Lilies</t>
  </si>
  <si>
    <t>CRT03</t>
  </si>
  <si>
    <t>Hand Cream Tester - Fruit</t>
  </si>
  <si>
    <t>CRT04</t>
  </si>
  <si>
    <t>Hand Cream Tester - Australian Natives</t>
  </si>
  <si>
    <t>CRT05</t>
  </si>
  <si>
    <t>Hand Cream Tester - Golden Wattle</t>
  </si>
  <si>
    <t>CRT06</t>
  </si>
  <si>
    <t>Hand Cream Tester - Tropical Koala</t>
  </si>
  <si>
    <t>CRT07</t>
  </si>
  <si>
    <t>Gift sets</t>
  </si>
  <si>
    <t>FOR MUM GIFT SET UP STRAWBERRY THIEF</t>
  </si>
  <si>
    <t>MUMST</t>
  </si>
  <si>
    <t>FOR HER GIFT SET UP STRAWBERRY THIEF</t>
  </si>
  <si>
    <t>HERST</t>
  </si>
  <si>
    <t>FOR HER GIFT SET UP AUSTRALIAN NATIVES</t>
  </si>
  <si>
    <t>HERAU</t>
  </si>
  <si>
    <t>Father's Day Mug Set Deal 1</t>
  </si>
  <si>
    <t>FDMSD1</t>
  </si>
  <si>
    <t>Father's Day Multi Tool Set Deal 2</t>
  </si>
  <si>
    <t>FDMTS Deal 2</t>
  </si>
  <si>
    <t>Father's Day Life Style Deal 3</t>
  </si>
  <si>
    <t>FDLS Deal 3</t>
  </si>
  <si>
    <t>Compact Mirror</t>
  </si>
  <si>
    <t>Compact Mirror - Strawberry Thief</t>
  </si>
  <si>
    <t>CM02</t>
  </si>
  <si>
    <t>Compact Mirror CDU</t>
  </si>
  <si>
    <t>CMCDU</t>
  </si>
  <si>
    <t>BOOKLOVERS DISPLAY 2</t>
  </si>
  <si>
    <t>BLD2</t>
  </si>
  <si>
    <t>Azzurri Sample Set</t>
  </si>
  <si>
    <t>AZS</t>
  </si>
  <si>
    <t>Pen Pouch</t>
  </si>
  <si>
    <t>Pen Pouch - Sunflowers</t>
  </si>
  <si>
    <t>PP02</t>
  </si>
  <si>
    <t>Pen Pouch - Strawberry Thief</t>
  </si>
  <si>
    <t>PP01</t>
  </si>
  <si>
    <t>Pen Pouch - Monet's Water Lilies</t>
  </si>
  <si>
    <t>PP03</t>
  </si>
  <si>
    <t>Pen Pouch - Australian Natives</t>
  </si>
  <si>
    <t>PP04</t>
  </si>
  <si>
    <t>Pen Pouch - Golden Wattle</t>
  </si>
  <si>
    <t>PP05</t>
  </si>
  <si>
    <t>Pen Pouch - Tropical Koala</t>
  </si>
  <si>
    <t>PP06</t>
  </si>
  <si>
    <t>FOR HER GIFT SET UP WATER LILLIES</t>
  </si>
  <si>
    <t>HERWL</t>
  </si>
  <si>
    <t>FOR HER GIFT SET UP SUNFLOWERS</t>
  </si>
  <si>
    <t>HERSF</t>
  </si>
  <si>
    <t>Fabric Plain Journal Set Up A5</t>
  </si>
  <si>
    <t>FPJSP</t>
  </si>
  <si>
    <t>Mugs</t>
  </si>
  <si>
    <t>Tea Infuser Mug Set Up</t>
  </si>
  <si>
    <t>TIMSU</t>
  </si>
  <si>
    <t>Pill Box</t>
  </si>
  <si>
    <t>Pill Box CDU</t>
  </si>
  <si>
    <t>PBCDU</t>
  </si>
  <si>
    <t>Loudmouth - Donald Trump 80th</t>
  </si>
  <si>
    <t>LM049</t>
  </si>
  <si>
    <t>Loudmouth - Donald Trump 70th</t>
  </si>
  <si>
    <t>LM048</t>
  </si>
  <si>
    <t>Loudmouth - Donald Trump 60th</t>
  </si>
  <si>
    <t>LM047</t>
  </si>
  <si>
    <t>Loudmouth - Donald Trump 50th</t>
  </si>
  <si>
    <t>LM046</t>
  </si>
  <si>
    <t>Loudmouth - Donald Trump 40th</t>
  </si>
  <si>
    <t>LM045</t>
  </si>
  <si>
    <t>Loudmouth - Donald Trump 30th</t>
  </si>
  <si>
    <t>LM044</t>
  </si>
  <si>
    <t>Loudmouth - Donald Trump 21st</t>
  </si>
  <si>
    <t>LM043</t>
  </si>
  <si>
    <t>Loudmouth - Donald Trump 18th</t>
  </si>
  <si>
    <t>LM042</t>
  </si>
  <si>
    <t>FOR MUM GIFT SET UP AUSTRALIAN NATIVES</t>
  </si>
  <si>
    <t>MUMAU</t>
  </si>
  <si>
    <t>ITEM NAME</t>
  </si>
  <si>
    <t>SKU</t>
  </si>
  <si>
    <t>FORECAST UNTIL AUG</t>
  </si>
  <si>
    <t>SOH  as of FEB 23</t>
  </si>
  <si>
    <t>Stockout Month of current SOH</t>
  </si>
  <si>
    <t>PENDING PO -ETA MAR</t>
  </si>
  <si>
    <t>Stockout Month after PO</t>
  </si>
  <si>
    <t>BALANCE UNTIL AUG</t>
  </si>
  <si>
    <t xml:space="preserve">QTY TO ORDER </t>
  </si>
  <si>
    <t>REMARKS</t>
  </si>
  <si>
    <t>PO Value</t>
  </si>
  <si>
    <t>wait/ continue?</t>
  </si>
  <si>
    <t>FOR DC</t>
  </si>
  <si>
    <t>$ -</t>
  </si>
  <si>
    <t>order now?</t>
  </si>
  <si>
    <t>PO-00766</t>
  </si>
  <si>
    <t>wait</t>
  </si>
  <si>
    <t>WAIT?</t>
  </si>
  <si>
    <t>DISCONTINUED ITEMS</t>
  </si>
  <si>
    <t>Item Name</t>
  </si>
  <si>
    <t>CONTINUE /
DISCONTINUE</t>
  </si>
  <si>
    <t>1000 Puzzle Cinque Terre</t>
  </si>
  <si>
    <t>PZT005</t>
  </si>
  <si>
    <t>1000 Puzzle Florence</t>
  </si>
  <si>
    <t>PZT002</t>
  </si>
  <si>
    <t>1000 Puzzle Roman Forum</t>
  </si>
  <si>
    <t>PZT004</t>
  </si>
  <si>
    <t>1000 Puzzle St Peter's</t>
  </si>
  <si>
    <t>PZT003</t>
  </si>
  <si>
    <t>1000 Puzzle Umbria</t>
  </si>
  <si>
    <t>PZT006</t>
  </si>
  <si>
    <t>1000 Puzzle Venice</t>
  </si>
  <si>
    <t>PZT001</t>
  </si>
  <si>
    <t>101 Books Scratch Poster</t>
  </si>
  <si>
    <t>SM007</t>
  </si>
  <si>
    <t>2 DRAWER BABY KEEPSAKE BOX - PETER RABBIT ADVENTURES</t>
  </si>
  <si>
    <t>RFS11413</t>
  </si>
  <si>
    <t>3D AG Brush Tailed Possum</t>
  </si>
  <si>
    <t>3DAG012</t>
  </si>
  <si>
    <t>3D AG Butterfly</t>
  </si>
  <si>
    <t>3DAG007</t>
  </si>
  <si>
    <t>3D AG Clown Fish</t>
  </si>
  <si>
    <t>3DAG010</t>
  </si>
  <si>
    <t>3D AG Common Wombat in Snow</t>
  </si>
  <si>
    <t>3DAG002</t>
  </si>
  <si>
    <t>3D AG Kangaroo</t>
  </si>
  <si>
    <t>3DAG014</t>
  </si>
  <si>
    <t>3D AG Koala</t>
  </si>
  <si>
    <t>3DAG013</t>
  </si>
  <si>
    <t>3D AG Mainland Masked Owl</t>
  </si>
  <si>
    <t>3DAG004</t>
  </si>
  <si>
    <t>3D AG Milky Way Pilbara Tent</t>
  </si>
  <si>
    <t>3DAG001</t>
  </si>
  <si>
    <t>3D AG Rainbow Lorikeet</t>
  </si>
  <si>
    <t>3DAG008</t>
  </si>
  <si>
    <t>3D AG Saltwater Crocodile</t>
  </si>
  <si>
    <t>3DAG005</t>
  </si>
  <si>
    <t>3D AG Waterfall Pilbara</t>
  </si>
  <si>
    <t>3DAG003</t>
  </si>
  <si>
    <t>3D AG Yellow-Top Daisy</t>
  </si>
  <si>
    <t>3DAG006</t>
  </si>
  <si>
    <t>3D Australian Geographic Bookmark Set Up</t>
  </si>
  <si>
    <t>3DAGSP</t>
  </si>
  <si>
    <t>3D Bkmk - Balloons</t>
  </si>
  <si>
    <t>3D008</t>
  </si>
  <si>
    <t>3D Bkmk - Be. Here. Now</t>
  </si>
  <si>
    <t>3D003</t>
  </si>
  <si>
    <t>3D Bkmk - Chimpanzee</t>
  </si>
  <si>
    <t>3D005</t>
  </si>
  <si>
    <t>3D Bkmk - Dream with out fear</t>
  </si>
  <si>
    <t>3D002</t>
  </si>
  <si>
    <t>3D Bkmk - English Bulldog Puppy</t>
  </si>
  <si>
    <t>3D009</t>
  </si>
  <si>
    <t>3D Bkmk - I love you to the moon and back</t>
  </si>
  <si>
    <t>3D001</t>
  </si>
  <si>
    <t>3D Bkmk - Kitten and Puppies</t>
  </si>
  <si>
    <t>3D011</t>
  </si>
  <si>
    <t>3D Bkmk - Live. Love. Sparkle</t>
  </si>
  <si>
    <t>3D007</t>
  </si>
  <si>
    <t>3D Bkmk - Smile and the world smiles back</t>
  </si>
  <si>
    <t>3D004</t>
  </si>
  <si>
    <t>3D Bkmk - Solar System</t>
  </si>
  <si>
    <t>3D006</t>
  </si>
  <si>
    <t>C</t>
  </si>
  <si>
    <t>3D Bkmk - Squirrel</t>
  </si>
  <si>
    <t>3D017</t>
  </si>
  <si>
    <t>3D Bookmarks Set Up 72 Units</t>
  </si>
  <si>
    <t>3DBKMSP</t>
  </si>
  <si>
    <t>A Tale for a Sleepy Bunny</t>
  </si>
  <si>
    <t>T4A</t>
  </si>
  <si>
    <t>A4 WEEKLY PLANNER - PETER RABBIT ADVENTURES</t>
  </si>
  <si>
    <t>RFS11210</t>
  </si>
  <si>
    <t>A5 FABRIC JOURNALS CDU</t>
  </si>
  <si>
    <t>CDUA5FJ</t>
  </si>
  <si>
    <t>A5 FABRIC JOURNALS STARTER PACK 18 pcs</t>
  </si>
  <si>
    <t>A6 Really Useful Journal Black</t>
  </si>
  <si>
    <t>A6RFSBLACK</t>
  </si>
  <si>
    <t>A6 Really Useful Journal Green</t>
  </si>
  <si>
    <t>A6RFSGREEN</t>
  </si>
  <si>
    <t>A6 Really Useful Journal Orange</t>
  </si>
  <si>
    <t>A6RFSORANGE</t>
  </si>
  <si>
    <t>A6 Really Useful Journal Pink</t>
  </si>
  <si>
    <t>A6RFSPINK</t>
  </si>
  <si>
    <t>A6 Really Useful Journal Purple</t>
  </si>
  <si>
    <t>A6RFSPURPLE</t>
  </si>
  <si>
    <t>A6 Really Useful Journal Red</t>
  </si>
  <si>
    <t>A6RFSRED</t>
  </si>
  <si>
    <t>A6 Really Useful Journal Yellow</t>
  </si>
  <si>
    <t>A6RFSYELLOW</t>
  </si>
  <si>
    <t>ACRYLIC CDU</t>
  </si>
  <si>
    <t>ACDU</t>
  </si>
  <si>
    <t>AG Australia Scratch Map</t>
  </si>
  <si>
    <t>SM003</t>
  </si>
  <si>
    <t>AG Bkmk Emu</t>
  </si>
  <si>
    <t>AGB013</t>
  </si>
  <si>
    <t>AG Bkmk Kookaburra</t>
  </si>
  <si>
    <t>AGB006</t>
  </si>
  <si>
    <t>AG Bkmk World Map</t>
  </si>
  <si>
    <t>AGB007</t>
  </si>
  <si>
    <t>AG Cards Australian Butterflies</t>
  </si>
  <si>
    <t>AGGC014</t>
  </si>
  <si>
    <t>AG Cards Little Penguins</t>
  </si>
  <si>
    <t>AGGC010</t>
  </si>
  <si>
    <t>AG Cards Milky Way Pilbura</t>
  </si>
  <si>
    <t>AGGC004</t>
  </si>
  <si>
    <t>AG Cards Rainbow Lorikeet</t>
  </si>
  <si>
    <t>AGGC008</t>
  </si>
  <si>
    <t>AG Cards Uluru</t>
  </si>
  <si>
    <t>AGGC003</t>
  </si>
  <si>
    <t>AG Cards Waterfall Pilbura</t>
  </si>
  <si>
    <t>AGGC006</t>
  </si>
  <si>
    <t>AG Cards Weddell Seal</t>
  </si>
  <si>
    <t>AGGC012</t>
  </si>
  <si>
    <t>AG Cards Wombat Snow</t>
  </si>
  <si>
    <t>AGGC005</t>
  </si>
  <si>
    <t>AG Cards World Map</t>
  </si>
  <si>
    <t>AGGC002</t>
  </si>
  <si>
    <t>AG Coasters Australia Map</t>
  </si>
  <si>
    <t>AGC006</t>
  </si>
  <si>
    <t>AG Coasters Australian Butterflies</t>
  </si>
  <si>
    <t>AGC016</t>
  </si>
  <si>
    <t>AG Coasters Brumby</t>
  </si>
  <si>
    <t>AGC010</t>
  </si>
  <si>
    <t>AG Coasters Kangaroo</t>
  </si>
  <si>
    <t>AGC011</t>
  </si>
  <si>
    <t>AG Coasters Koala</t>
  </si>
  <si>
    <t>AGC005</t>
  </si>
  <si>
    <t>AG Coasters Little Penguins</t>
  </si>
  <si>
    <t>AGC009</t>
  </si>
  <si>
    <t>AG Coasters Milky Way Pilbura</t>
  </si>
  <si>
    <t>AGC014</t>
  </si>
  <si>
    <t>AG Coasters Saltwater Crocodile</t>
  </si>
  <si>
    <t>AGC008</t>
  </si>
  <si>
    <t>AG Coasters Shingleback Lizard</t>
  </si>
  <si>
    <t>AGC004</t>
  </si>
  <si>
    <t>AG Coasters Southern Cassowary</t>
  </si>
  <si>
    <t>AGC012</t>
  </si>
  <si>
    <t>AG Coasters Uluru</t>
  </si>
  <si>
    <t>AGC015</t>
  </si>
  <si>
    <t>AG Coasters Waterfall Pilbura</t>
  </si>
  <si>
    <t>AGC002</t>
  </si>
  <si>
    <t>AG Coasters Weddell Seal</t>
  </si>
  <si>
    <t>AGC007</t>
  </si>
  <si>
    <t>AG Coasters Wombat Snow</t>
  </si>
  <si>
    <t>AGC013</t>
  </si>
  <si>
    <t>AG Coasters World Map</t>
  </si>
  <si>
    <t>AGC001</t>
  </si>
  <si>
    <t>AG World Scratch Map</t>
  </si>
  <si>
    <t>SM002</t>
  </si>
  <si>
    <t>AlLPHABOOKS DISPLAY LARGE - HOLDS 78 PIECES</t>
  </si>
  <si>
    <t>CDU37300D</t>
  </si>
  <si>
    <t>ALPHABOOKS - A</t>
  </si>
  <si>
    <t>ALPHABOOKS - AMPERSAND &amp;</t>
  </si>
  <si>
    <t>ALPHABOOKS - B</t>
  </si>
  <si>
    <t>ALPHABOOKS - C</t>
  </si>
  <si>
    <t>ALPHABOOKS - D</t>
  </si>
  <si>
    <t>ALPHABOOKS - E</t>
  </si>
  <si>
    <t>ALPHABOOKS - G</t>
  </si>
  <si>
    <t>ALPHABOOKS - H</t>
  </si>
  <si>
    <t>ALPHABOOKS - J</t>
  </si>
  <si>
    <t>ALPHABOOKS - K</t>
  </si>
  <si>
    <t>ALPHABOOKS - L</t>
  </si>
  <si>
    <t>ALPHABOOKS - M</t>
  </si>
  <si>
    <t>ALPHABOOKS - N</t>
  </si>
  <si>
    <t>ALPHABOOKS - O</t>
  </si>
  <si>
    <t>ALPHABOOKS - Q</t>
  </si>
  <si>
    <t>ALPHABOOKS - R</t>
  </si>
  <si>
    <t>ALPHABOOKS - S</t>
  </si>
  <si>
    <t>ALPHABOOKS - U</t>
  </si>
  <si>
    <t>Amber Book Light Rechargeable - Black</t>
  </si>
  <si>
    <t>ABL001</t>
  </si>
  <si>
    <t>Amber Book Light Rechargeable - White</t>
  </si>
  <si>
    <t>ABL009</t>
  </si>
  <si>
    <t>Amber Halo Lamp Rechargeable</t>
  </si>
  <si>
    <t>ABL006</t>
  </si>
  <si>
    <t>Amber Motion Sensor Light Rechargeable</t>
  </si>
  <si>
    <t>ABL008</t>
  </si>
  <si>
    <t>Amber Smart Light - Black</t>
  </si>
  <si>
    <t>SL007</t>
  </si>
  <si>
    <t>Amber Smart Light - Blue</t>
  </si>
  <si>
    <t>SL011</t>
  </si>
  <si>
    <t>Amber Smart Light - Green</t>
  </si>
  <si>
    <t>SL009</t>
  </si>
  <si>
    <t>Amber Smart Light - Pink</t>
  </si>
  <si>
    <t>SL010</t>
  </si>
  <si>
    <t>Amber Smart Light - Red</t>
  </si>
  <si>
    <t>SL012</t>
  </si>
  <si>
    <t>Amber Smart Light - White</t>
  </si>
  <si>
    <t>SL008</t>
  </si>
  <si>
    <t>Amber Smart Light Set Up</t>
  </si>
  <si>
    <t>SPASL</t>
  </si>
  <si>
    <t>Animal Book Light CDU</t>
  </si>
  <si>
    <t>ABLCDU</t>
  </si>
  <si>
    <t>Animal Book Light Rechargeable - Bear</t>
  </si>
  <si>
    <t>ABL005</t>
  </si>
  <si>
    <t>Animal Book Light Rechargeable - Cat</t>
  </si>
  <si>
    <t>ABL017</t>
  </si>
  <si>
    <t>Animal Book Light Rechargeable - Cat (New)</t>
  </si>
  <si>
    <t>ABL018</t>
  </si>
  <si>
    <t>Animal Book Light Rechargeable - Dinosaur (New)</t>
  </si>
  <si>
    <t>ABL019</t>
  </si>
  <si>
    <t>Animal Book Light Rechargeable - Dog</t>
  </si>
  <si>
    <t>ABL004</t>
  </si>
  <si>
    <t>Animal Book Light Rechargeable - Dog (New)</t>
  </si>
  <si>
    <t>ABL020</t>
  </si>
  <si>
    <t>Animal Book Light Rechargeable - Rabbit (New)</t>
  </si>
  <si>
    <t>ABL021</t>
  </si>
  <si>
    <t>Animal Book Light Rechargeable - Tiger</t>
  </si>
  <si>
    <t>ABL016</t>
  </si>
  <si>
    <t>Animal Book Light Rechargeable - T-Rex</t>
  </si>
  <si>
    <t>ABL003</t>
  </si>
  <si>
    <t>Animal Book Light Rechargeable - Unicorn</t>
  </si>
  <si>
    <t>ABL002</t>
  </si>
  <si>
    <t>Animal Book Light Rechargeable - Unicorn (New)</t>
  </si>
  <si>
    <t>ABL023</t>
  </si>
  <si>
    <t>Animal Book Light Rechargeable Set Up</t>
  </si>
  <si>
    <t>ABLSP</t>
  </si>
  <si>
    <t>APRON - HOORAY</t>
  </si>
  <si>
    <t>APRON6017</t>
  </si>
  <si>
    <t>APRON - I DON'T DO HOUSEWORK</t>
  </si>
  <si>
    <t>APRON3030</t>
  </si>
  <si>
    <t>APRON - I ONLY HAVE A KITCHEN</t>
  </si>
  <si>
    <t>APRON6016</t>
  </si>
  <si>
    <t>Apron - Planet Cat (Life Is Simple)</t>
  </si>
  <si>
    <t>APRNPC01</t>
  </si>
  <si>
    <t>Art Deco Bookmark Black Notebook</t>
  </si>
  <si>
    <t>ADB002</t>
  </si>
  <si>
    <t>Art Deco Bookmark Copper Flower</t>
  </si>
  <si>
    <t>ADB004</t>
  </si>
  <si>
    <t>Art Deco Bookmark Gold World</t>
  </si>
  <si>
    <t>ADB003</t>
  </si>
  <si>
    <t>Art Deco Bookmark Red Scallop</t>
  </si>
  <si>
    <t>ADB001</t>
  </si>
  <si>
    <t>Art Deco Bookmark Silver Frame</t>
  </si>
  <si>
    <t>ADB006</t>
  </si>
  <si>
    <t>Art Deco Bookmark Silver House</t>
  </si>
  <si>
    <t>ADB005</t>
  </si>
  <si>
    <t>Artico Ceramic Coaster Counter Display</t>
  </si>
  <si>
    <t>ACD001</t>
  </si>
  <si>
    <t>Australian Geographic Bookmarks Starter Pack</t>
  </si>
  <si>
    <t>AGBSP</t>
  </si>
  <si>
    <t>BABY BOOKS STARTER PACK</t>
  </si>
  <si>
    <t>BBSP</t>
  </si>
  <si>
    <t>Baby Talk BIBS - 50% Mum 50% Dad</t>
  </si>
  <si>
    <t>BTB006</t>
  </si>
  <si>
    <t>Baby Talk BIBS - 9 Months Inside</t>
  </si>
  <si>
    <t>BTB005</t>
  </si>
  <si>
    <t>Baby Talk BIBS - Am I on Social Media?</t>
  </si>
  <si>
    <t>BTB007</t>
  </si>
  <si>
    <t>Baby Talk BIBS - Bring Me Milk</t>
  </si>
  <si>
    <t>BTB004</t>
  </si>
  <si>
    <t>Baby Talk BIBS - Cape Backwards</t>
  </si>
  <si>
    <t>BTB003</t>
  </si>
  <si>
    <t>Baby Talk BIBS - Grandma Loves Me</t>
  </si>
  <si>
    <t>BTB009</t>
  </si>
  <si>
    <t>Baby Talk BIBS - I Drink Until</t>
  </si>
  <si>
    <t>BTB001</t>
  </si>
  <si>
    <t>Baby Talk BIBS - I'm not crying</t>
  </si>
  <si>
    <t>BTB008</t>
  </si>
  <si>
    <t>Baby Talk BIBS - Party At My Crib</t>
  </si>
  <si>
    <t>BTB002</t>
  </si>
  <si>
    <t>BABY TALK BIBS DISPLAY</t>
  </si>
  <si>
    <t>BTBD</t>
  </si>
  <si>
    <t>BABY TALK BIBS SETUP</t>
  </si>
  <si>
    <t>BTBSP</t>
  </si>
  <si>
    <t>Baby Talk Onesies - 50% Mum 50% Dad</t>
  </si>
  <si>
    <t>BTO001</t>
  </si>
  <si>
    <t>Baby Talk Onesies - Get Milk</t>
  </si>
  <si>
    <t>BTO002</t>
  </si>
  <si>
    <t>Baby Talk Onesies - If you can read this</t>
  </si>
  <si>
    <t>BTO006</t>
  </si>
  <si>
    <t>Baby Talk Onesies - Its 5 O'Clock</t>
  </si>
  <si>
    <t>BTO003</t>
  </si>
  <si>
    <t>Baby Talk Onesies - Party at my Crib</t>
  </si>
  <si>
    <t>BTO005</t>
  </si>
  <si>
    <t>Baby Talk Onesies - That Smell</t>
  </si>
  <si>
    <t>BTO004</t>
  </si>
  <si>
    <t>Baby Talk Socks - 50% Mum 50% Dad</t>
  </si>
  <si>
    <t>BTS002</t>
  </si>
  <si>
    <t>Baby Talk Socks - Am I on Social Media Yet</t>
  </si>
  <si>
    <t>BTS005</t>
  </si>
  <si>
    <t>Baby Talk Socks - Bring Me Some Milk</t>
  </si>
  <si>
    <t>BTS004</t>
  </si>
  <si>
    <t>Baby Talk Socks - I Drink Until</t>
  </si>
  <si>
    <t>BTS008</t>
  </si>
  <si>
    <t>Baby Talk Socks - I'm Not Crying</t>
  </si>
  <si>
    <t>BTS006</t>
  </si>
  <si>
    <t>Baby Talk Socks - My Grandma Loves Me</t>
  </si>
  <si>
    <t>BTS001</t>
  </si>
  <si>
    <t>Baby Talk Socks - Of Course I'm Cute</t>
  </si>
  <si>
    <t>BTS003</t>
  </si>
  <si>
    <t>Baby Talk Socks - Party At My Crib</t>
  </si>
  <si>
    <t>BTS007</t>
  </si>
  <si>
    <t>BABY TALK SOCKS DISPLAY</t>
  </si>
  <si>
    <t>BTSD</t>
  </si>
  <si>
    <t>BABY TALK SOCKS SETUP</t>
  </si>
  <si>
    <t>SPBTS</t>
  </si>
  <si>
    <t>Bamboo Fan - Blue Larkspur</t>
  </si>
  <si>
    <t>BF08</t>
  </si>
  <si>
    <t>Bamboo Fan - Hampton Stripe</t>
  </si>
  <si>
    <t>BF01</t>
  </si>
  <si>
    <t>Bamboo Fan - Kilburn</t>
  </si>
  <si>
    <t>BF03</t>
  </si>
  <si>
    <t>Bamboo Fan - Leopard Print</t>
  </si>
  <si>
    <t>BF02</t>
  </si>
  <si>
    <t>Bamboo Fan - Peonie Rose</t>
  </si>
  <si>
    <t>BH040</t>
  </si>
  <si>
    <t>Bamboo Fan - Wild Tulip</t>
  </si>
  <si>
    <t>BF07</t>
  </si>
  <si>
    <t>Bamboo Fan - William Morris Lavendar Strawberry Thief</t>
  </si>
  <si>
    <t>WM027</t>
  </si>
  <si>
    <t>Bamboo Fan - William Morris Mint Larkspur</t>
  </si>
  <si>
    <t>WM009</t>
  </si>
  <si>
    <t>Bamboo Fan - William Morris Sweet Briar</t>
  </si>
  <si>
    <t>WM028</t>
  </si>
  <si>
    <t>Bamboo Fan CDU</t>
  </si>
  <si>
    <t>Bamboo Fans Wooden CDU</t>
  </si>
  <si>
    <t>CDUBF</t>
  </si>
  <si>
    <t>Bamboo Reading Rest</t>
  </si>
  <si>
    <t>BRR01</t>
  </si>
  <si>
    <t>Bean Bag Book Holder North Sea Green</t>
  </si>
  <si>
    <t>BBBH3</t>
  </si>
  <si>
    <t>Bean Bag Book Holder Raspberry Blush</t>
  </si>
  <si>
    <t>BBBH1</t>
  </si>
  <si>
    <t>Bean Bag Book Holder Set Up</t>
  </si>
  <si>
    <t>BBBHSU</t>
  </si>
  <si>
    <t>Bean Bag Book Holder Tropical Blue</t>
  </si>
  <si>
    <t>BBBH2</t>
  </si>
  <si>
    <t>BLACK MESH COUNTER DISPLAY</t>
  </si>
  <si>
    <t>BMCD</t>
  </si>
  <si>
    <t>Bluhen - Black Floral Hair Wrap</t>
  </si>
  <si>
    <t>BH007</t>
  </si>
  <si>
    <t>Bluhen - Black Floral Head Band</t>
  </si>
  <si>
    <t>BH015</t>
  </si>
  <si>
    <t>Bluhen - Black Floral Satin Eyemask and Scrunchie</t>
  </si>
  <si>
    <t>BH035</t>
  </si>
  <si>
    <t>Bluhen - Black Floral Satin Pillow Case</t>
  </si>
  <si>
    <t>BH031</t>
  </si>
  <si>
    <t>Bluhen - Black Floral Satin Sleep Bonnet</t>
  </si>
  <si>
    <t>BH027</t>
  </si>
  <si>
    <t>Bluhen - Black Floral Shower Cap</t>
  </si>
  <si>
    <t>BH003</t>
  </si>
  <si>
    <t>Bluhen - Black Floral Slippers</t>
  </si>
  <si>
    <t>Bluhen - Black Floral Towelling Scrunchie</t>
  </si>
  <si>
    <t>BH011</t>
  </si>
  <si>
    <t>Bluhen - Derma Roller</t>
  </si>
  <si>
    <t>BH018</t>
  </si>
  <si>
    <t>Bluhen - Ice Roller</t>
  </si>
  <si>
    <t>BH017</t>
  </si>
  <si>
    <t>Bluhen - Jade Roller</t>
  </si>
  <si>
    <t>BH019</t>
  </si>
  <si>
    <t>Bluhen - Lavender Scented Satin Eyemask Peonie Rose</t>
  </si>
  <si>
    <t>BH024</t>
  </si>
  <si>
    <t>Bluhen - Leopard Print Hair Wrap</t>
  </si>
  <si>
    <t>BH005</t>
  </si>
  <si>
    <t>Bluhen - Leopard Print Head Band</t>
  </si>
  <si>
    <t>BH013</t>
  </si>
  <si>
    <t>Bluhen - Leopard Print Satin Eyemask and Scrunchie</t>
  </si>
  <si>
    <t>BH021</t>
  </si>
  <si>
    <t>Bluhen - Leopard Print Satin Pillow Case</t>
  </si>
  <si>
    <t>BH029</t>
  </si>
  <si>
    <t>Bluhen - Leopard Print Satin Sleep Bonnet</t>
  </si>
  <si>
    <t>BH025</t>
  </si>
  <si>
    <t>Bluhen - Leopard Print Shower Cap</t>
  </si>
  <si>
    <t>BH001</t>
  </si>
  <si>
    <t>Bluhen - Leopard Print Slippers</t>
  </si>
  <si>
    <t>BH033</t>
  </si>
  <si>
    <t>Bluhen - Leopard Print Towelling Scrunchie</t>
  </si>
  <si>
    <t>BH009</t>
  </si>
  <si>
    <t>Bluhen - Peonie Rose Hair Wrap</t>
  </si>
  <si>
    <t>BH008</t>
  </si>
  <si>
    <t>Bluhen - Peonie Rose Head Band</t>
  </si>
  <si>
    <t>BH016</t>
  </si>
  <si>
    <t>Bluhen - Peonie Rose Satin Pillow Case</t>
  </si>
  <si>
    <t>BH032</t>
  </si>
  <si>
    <t>Bluhen - Peonie Rose Satin Sleep Bonnet</t>
  </si>
  <si>
    <t>BH028</t>
  </si>
  <si>
    <t>Bluhen - Peonie Rose Shower Cap</t>
  </si>
  <si>
    <t>BH004</t>
  </si>
  <si>
    <t>Bluhen - Peonie Rose Slippers</t>
  </si>
  <si>
    <t>Bluhen - Peonie Rose Towelling Scrunchie</t>
  </si>
  <si>
    <t>BH012</t>
  </si>
  <si>
    <t>Bluhen - Pink Polka Dot Hair Wrap</t>
  </si>
  <si>
    <t>BH006</t>
  </si>
  <si>
    <t>Bluhen - Pink Polka Dot Head Band</t>
  </si>
  <si>
    <t>BH014</t>
  </si>
  <si>
    <t>Bluhen - Pink Polka Dot Satin Eyemask and Scrunchie</t>
  </si>
  <si>
    <t>BH022</t>
  </si>
  <si>
    <t>Bluhen - Pink Polka Dot Satin Pillow Case</t>
  </si>
  <si>
    <t>BH030</t>
  </si>
  <si>
    <t>Bluhen - Pink Polka Dot Satin Sleep Bonnet</t>
  </si>
  <si>
    <t>BH026</t>
  </si>
  <si>
    <t>Bluhen - Pink Polka Dot Shower Cap</t>
  </si>
  <si>
    <t>BH002</t>
  </si>
  <si>
    <t>Bluhen - Pink Polka Dot Slippers</t>
  </si>
  <si>
    <t>BH034</t>
  </si>
  <si>
    <t>Bluhen - Pink Polka Dot Towelling Scrunchie</t>
  </si>
  <si>
    <t>BH010</t>
  </si>
  <si>
    <t>Bluhen - Rose Quartz Roller</t>
  </si>
  <si>
    <t>BH020</t>
  </si>
  <si>
    <t>Bluhen - Shower Hub Set Up</t>
  </si>
  <si>
    <t>BHSHSU</t>
  </si>
  <si>
    <t>Bluhen - Sleep Center Set Up with 10Pct Discount</t>
  </si>
  <si>
    <t>BHSCSU</t>
  </si>
  <si>
    <t>Bluhen Bamboo Fan - Black Floral</t>
  </si>
  <si>
    <t>BH039</t>
  </si>
  <si>
    <t>Bluhen Coin Pouch - Black Floral</t>
  </si>
  <si>
    <t>BH41</t>
  </si>
  <si>
    <t>Bluhen Coin Pouch - Peonie Rose</t>
  </si>
  <si>
    <t>BH44</t>
  </si>
  <si>
    <t>Bluhen Cosmetics Bag - Black Floral</t>
  </si>
  <si>
    <t>BH037</t>
  </si>
  <si>
    <t>Bluhen Cosmetics Bag - Peonie Rose</t>
  </si>
  <si>
    <t>BH038</t>
  </si>
  <si>
    <t>Bluhen Lunch Bag - Black Floral</t>
  </si>
  <si>
    <t>BH045</t>
  </si>
  <si>
    <t>Bluhen Lunch Bag - Peonie Rose</t>
  </si>
  <si>
    <t>BH046</t>
  </si>
  <si>
    <t>BLUHEN Mothers Day Offer</t>
  </si>
  <si>
    <t>BHMDO</t>
  </si>
  <si>
    <t>Bluhen Mug Boxed - Black Floral</t>
  </si>
  <si>
    <t>BH50</t>
  </si>
  <si>
    <t>Bluhen Mug Boxed - Peonie Rose</t>
  </si>
  <si>
    <t>BH51</t>
  </si>
  <si>
    <t>Scarf - Black Floral</t>
  </si>
  <si>
    <t>BH55</t>
  </si>
  <si>
    <t>Bluhen Toiletry Bag - Black Floral</t>
  </si>
  <si>
    <t>BH042</t>
  </si>
  <si>
    <t>Bluhen Toiletry Bag - Peonie Rose</t>
  </si>
  <si>
    <t>BH043</t>
  </si>
  <si>
    <t>Bluhen Umbrella - Peonie Rose ( Auto)</t>
  </si>
  <si>
    <t>BH46A</t>
  </si>
  <si>
    <t>BOOK FAN - BLUE</t>
  </si>
  <si>
    <t>BOOK FAN - GREEN</t>
  </si>
  <si>
    <t>BOOK FAN - PURPLE</t>
  </si>
  <si>
    <t>BOOK FAN - RED</t>
  </si>
  <si>
    <t>BOOK FANS CDU</t>
  </si>
  <si>
    <t>CDU348</t>
  </si>
  <si>
    <t>Book Keepers Bookmarks - Letter A</t>
  </si>
  <si>
    <t>Book Keepers Bookmarks - Letter B</t>
  </si>
  <si>
    <t>Book Keepers Bookmarks - Letter C</t>
  </si>
  <si>
    <t>Book Keepers Bookmarks - Letter D</t>
  </si>
  <si>
    <t>Book Keepers Bookmarks - Letter E</t>
  </si>
  <si>
    <t>Book Keepers Bookmarks - Letter F</t>
  </si>
  <si>
    <t>Book Keepers Bookmarks - Letter H</t>
  </si>
  <si>
    <t>Book Keepers Bookmarks - Letter J</t>
  </si>
  <si>
    <t>Book Keepers Bookmarks - Letter K</t>
  </si>
  <si>
    <t>Book Keepers Bookmarks - Letter L</t>
  </si>
  <si>
    <t>Book Keepers Bookmarks - Letter M</t>
  </si>
  <si>
    <t>Book Keepers Bookmarks - Letter R</t>
  </si>
  <si>
    <t>Book Keepers Bookmarks - Letter S</t>
  </si>
  <si>
    <t>Book Keepers Bookmarks Starter Pack 33 Bookmarks</t>
  </si>
  <si>
    <t>92600P</t>
  </si>
  <si>
    <t>Book Lover Bookmarks - Book by its Movie</t>
  </si>
  <si>
    <t>BLB011</t>
  </si>
  <si>
    <t>Book Lover Bookmarks - Book Hangover</t>
  </si>
  <si>
    <t>BLB003</t>
  </si>
  <si>
    <t>Book Lover Bookmarks - Books Need Me Too</t>
  </si>
  <si>
    <t>BLB009</t>
  </si>
  <si>
    <t>Book Lover Bookmarks - I Like To Party</t>
  </si>
  <si>
    <t>BLB005</t>
  </si>
  <si>
    <t>Book Lover Bookmarks - I Love Books</t>
  </si>
  <si>
    <t>BLB002</t>
  </si>
  <si>
    <t>Book Lover Bookmarks - Its Not Hoarding</t>
  </si>
  <si>
    <t>BLB001</t>
  </si>
  <si>
    <t>Book Lover Bookmarks - Just One More Chapter</t>
  </si>
  <si>
    <t>BLB004</t>
  </si>
  <si>
    <t>Book Lover Bookmarks - Man of My Dreams</t>
  </si>
  <si>
    <t>BLB007</t>
  </si>
  <si>
    <t>Book Lover Bookmarks - My Personality</t>
  </si>
  <si>
    <t>BLB012</t>
  </si>
  <si>
    <t>Book Lover Bookmarks - Read Books, Drink Tea</t>
  </si>
  <si>
    <t>BLB008</t>
  </si>
  <si>
    <t>Book Lover Bookmarks - Romantic Walks</t>
  </si>
  <si>
    <t>BLB010</t>
  </si>
  <si>
    <t>Book Lover Bookmarks - Too Many Books</t>
  </si>
  <si>
    <t>BLB006</t>
  </si>
  <si>
    <t>Book Lovers Bookmark Set Up 72 units Do not use</t>
  </si>
  <si>
    <t>BLBMSP</t>
  </si>
  <si>
    <t>BOOKAROO A5 NOTEBOOK SET UP 12 units</t>
  </si>
  <si>
    <t>SP432</t>
  </si>
  <si>
    <t>BOOKAROO BOOK &amp; STUFF POUCH SET UP 4 PCS</t>
  </si>
  <si>
    <t>SP433</t>
  </si>
  <si>
    <t>BOOKAROO BOOKS &amp; STUFF POUCH - BLUSH</t>
  </si>
  <si>
    <t>BOOKAROO BOOKS &amp; STUFF POUCH - BROWN</t>
  </si>
  <si>
    <t>BOOKAROO BOOKS &amp; STUFF POUCH - CHARTREUSE</t>
  </si>
  <si>
    <t>BOOKAROO BOOKS &amp; STUFF POUCH - PALE PINK</t>
  </si>
  <si>
    <t>BOOKAROO BOOKS &amp; STUFF POUCH - TURQUOISE</t>
  </si>
  <si>
    <t>BOOKAROO DISPLAY - 12 CM</t>
  </si>
  <si>
    <t>BOOKAROO GLASSES CASE - BLACK</t>
  </si>
  <si>
    <t>BOOKAROO GLASSES CASE - BROWN</t>
  </si>
  <si>
    <t>BOOKAROO GLASSES CASE - CHARCOAL</t>
  </si>
  <si>
    <t>BOOKAROO GLASSES CASE - CREAM</t>
  </si>
  <si>
    <t>BOOKAROO GLASSES CASE - GOLD</t>
  </si>
  <si>
    <t>BOOKAROO GLASSES CASE - PURPLE</t>
  </si>
  <si>
    <t>BOOKAROO GLASSES CASE - TURQUOISE</t>
  </si>
  <si>
    <t>BOOKAROO GLASSES CASE CDU</t>
  </si>
  <si>
    <t>CDU412</t>
  </si>
  <si>
    <t>BOOKAROO GLASSES CASE SET UP SET UP 15 pcs</t>
  </si>
  <si>
    <t>SP412</t>
  </si>
  <si>
    <t>Bookaroo Graphite Pencils - Blues</t>
  </si>
  <si>
    <t>Bookaroo Graphite Pencils - Gold</t>
  </si>
  <si>
    <t>Bookaroo Graphite Pencils - Greens</t>
  </si>
  <si>
    <t>Bookaroo Graphite Pencils - Mono</t>
  </si>
  <si>
    <t>Bookaroo Graphite Pencils - Pastels</t>
  </si>
  <si>
    <t>Bookaroo Graphite Pencils - Pinks</t>
  </si>
  <si>
    <t>BOOKAROO GRAPHITE PENCILS Starter Pack</t>
  </si>
  <si>
    <t>SP796</t>
  </si>
  <si>
    <t>BOOKAROO HANDY SPECS - BLACK</t>
  </si>
  <si>
    <t>BOOKAROO HANDY SPECS - BROWN</t>
  </si>
  <si>
    <t>BOOKAROO HANDY SPECS - GOLD</t>
  </si>
  <si>
    <t>BOOKAROO HANDY SPECS - RED</t>
  </si>
  <si>
    <t>BOOKAROO HANDY SPECS CDU</t>
  </si>
  <si>
    <t>CDU406</t>
  </si>
  <si>
    <t>BOOKAROO HANDY SPECS SET UP 11 PCS</t>
  </si>
  <si>
    <t>SP406</t>
  </si>
  <si>
    <t>BOOKAROO NOTEBOOK ( A5) - BLACK</t>
  </si>
  <si>
    <t>BOOKAROO NOTEBOOK ( A5) - BLUSH</t>
  </si>
  <si>
    <t>BOOKAROO NOTEBOOK ( A5) - BROWN</t>
  </si>
  <si>
    <t>BOOKAROO NOTEBOOK ( A5) - FOREST GREEN</t>
  </si>
  <si>
    <t>BOOKAROO NOTEBOOK ( A5) - LILAC</t>
  </si>
  <si>
    <t>BOOKAROO NOTEBOOK ( A5) - NAVY</t>
  </si>
  <si>
    <t>BOOKAROO NOTEBOOK ( A5) - NAVY NEW 2023</t>
  </si>
  <si>
    <t>BOOKAROO NOTEBOOK ( A5) - PINK</t>
  </si>
  <si>
    <t>BOOKAROO NOTEBOOK ( A5) - PURPLE</t>
  </si>
  <si>
    <t>BOOKAROO NOTEBOOK ( A5) - TURQUOISE</t>
  </si>
  <si>
    <t>BOOKAROO NOTEBOOK ( A5) CDU</t>
  </si>
  <si>
    <t>CDU432</t>
  </si>
  <si>
    <t>BOOKAROO NOTEBOOK TIDY - CHARCOAL</t>
  </si>
  <si>
    <t>BOOKAROO NOTEBOOK TIDY - PURPLE</t>
  </si>
  <si>
    <t>BOOKAROO NOTEBOOK TIDY - RED</t>
  </si>
  <si>
    <t>BOOKAROO NOTEBOOK TIDY - ROSE GOLD</t>
  </si>
  <si>
    <t>BOOKAROO NOTEBOOK TIDY - TURQUOISE</t>
  </si>
  <si>
    <t>BOOKAROO NOTEBOOK TIDY CDU</t>
  </si>
  <si>
    <t>CDU409</t>
  </si>
  <si>
    <t>BOOKAROO NOTEBOOK TIDY SET UP 12 units</t>
  </si>
  <si>
    <t>SP409</t>
  </si>
  <si>
    <t>BOOKAROO PEN - BLACK</t>
  </si>
  <si>
    <t>BOOKAROO PEN - CHARCOAL</t>
  </si>
  <si>
    <t>BOOKAROO PEN - CHARTREUSE</t>
  </si>
  <si>
    <t>BOOKAROO PEN - CREAM</t>
  </si>
  <si>
    <t>BOOKAROO PEN - DARK RED</t>
  </si>
  <si>
    <t>BOOKAROO PEN - FOREST GREEN</t>
  </si>
  <si>
    <t>BOOKAROO PEN - GOLD</t>
  </si>
  <si>
    <t>BOOKAROO PEN - HOT PINK</t>
  </si>
  <si>
    <t>BOOKAROO PEN - LILAC</t>
  </si>
  <si>
    <t>BOOKAROO PEN - NAVY</t>
  </si>
  <si>
    <t>BOOKAROO PEN - ORANGE</t>
  </si>
  <si>
    <t>BOOKAROO PEN - PURPLE</t>
  </si>
  <si>
    <t>BOOKAROO PEN - TURQUOISE</t>
  </si>
  <si>
    <t>BOOKAROO PEN - YELLOW</t>
  </si>
  <si>
    <t>BOOKAROO PEN DISPLAY CDU</t>
  </si>
  <si>
    <t>CDU431</t>
  </si>
  <si>
    <t>BOOKAROO PEN POUCH - BLACK</t>
  </si>
  <si>
    <t>BOOKAROO PEN POUCH - BLUSH</t>
  </si>
  <si>
    <t>BOOKAROO PEN POUCH - BROWN</t>
  </si>
  <si>
    <t>BOOKAROO PEN POUCH - CREAM</t>
  </si>
  <si>
    <t>BOOKAROO PEN POUCH - FERN</t>
  </si>
  <si>
    <t>BOOKAROO PEN POUCH - NAVY</t>
  </si>
  <si>
    <t>BOOKAROO PEN POUCH - PINK</t>
  </si>
  <si>
    <t>BOOKAROO PEN POUCH - PURPLE</t>
  </si>
  <si>
    <t>BOOKAROO PEN POUCH - TURQUOISE</t>
  </si>
  <si>
    <t>BOOKAROO PEN POUCH CDU</t>
  </si>
  <si>
    <t>CDU407</t>
  </si>
  <si>
    <t>BOOKAROO PEN POUCH SET UP SET UP</t>
  </si>
  <si>
    <t>SP407</t>
  </si>
  <si>
    <t>BOOKAROO PEN REFILLS - BLACK INK</t>
  </si>
  <si>
    <t>BOOKAROO PEN SET UP 24 PCS</t>
  </si>
  <si>
    <t>SP431</t>
  </si>
  <si>
    <t>BOOKAROO PHONE HOLDER - BROWN</t>
  </si>
  <si>
    <t>BOOKAROO PHONE HOLDER - CHARCOAL</t>
  </si>
  <si>
    <t>BOOKAROO PHONE HOLDER - CREAM</t>
  </si>
  <si>
    <t>BOOKAROO PHONE HOLDER - DARK RED</t>
  </si>
  <si>
    <t>BOOKAROO PHONE HOLDER - TEAL</t>
  </si>
  <si>
    <t>BOOKAROO PHONE HOLDER SET UP 15 units</t>
  </si>
  <si>
    <t>SP538</t>
  </si>
  <si>
    <t>BOOKAROO PHONE POCKET - BLACK</t>
  </si>
  <si>
    <t>BOOKAROO PHONE POCKET - BROWN</t>
  </si>
  <si>
    <t>BOOKAROO PHONE POCKET - CHARCOAL</t>
  </si>
  <si>
    <t>BOOKAROO PHONE POCKET - CREAM</t>
  </si>
  <si>
    <t>BOOKAROO PHONE POCKET - GOLD</t>
  </si>
  <si>
    <t>BOOKAROO PHONE POCKET - ROSE GOLD</t>
  </si>
  <si>
    <t>BOOKAROO PHONE POCKET - TURQUOISE</t>
  </si>
  <si>
    <t>BOOKAROO PHONE POCKET CDU</t>
  </si>
  <si>
    <t>CDU405</t>
  </si>
  <si>
    <t>BOOKAROO PHONE POCKET SET UP 15 PCS</t>
  </si>
  <si>
    <t>SP405</t>
  </si>
  <si>
    <t>BOOKAROO POCKET NOTEBOOK ( A6) - BLACK</t>
  </si>
  <si>
    <t>BOOKAROO POCKET NOTEBOOK ( A6) - BROWN</t>
  </si>
  <si>
    <t>BOOKAROO POCKET NOTEBOOK ( A6) - FOREST GREEN</t>
  </si>
  <si>
    <t>BOOKAROO POCKET NOTEBOOK ( A6) - HOT PINK</t>
  </si>
  <si>
    <t>BOOKAROO POCKET NOTEBOOK ( A6) - LILAC</t>
  </si>
  <si>
    <t>BOOKAROO POCKET NOTEBOOK ( A6) - NAVY</t>
  </si>
  <si>
    <t>BOOKAROO POCKET NOTEBOOK ( A6) - PURPLE</t>
  </si>
  <si>
    <t>BOOKAROO POCKET NOTEBOOK ( A6) - TURQUOISE</t>
  </si>
  <si>
    <t>BOOKAROO POCKET NOTEBOOK ( A6) CDU</t>
  </si>
  <si>
    <t>CDU430</t>
  </si>
  <si>
    <t>BOOKAROO POCKET NOTEBOOK (A6) - SET UP 12 units</t>
  </si>
  <si>
    <t>SP430</t>
  </si>
  <si>
    <t>BOOKAROO TOOL BELT - CHARCOAL</t>
  </si>
  <si>
    <t>BOOKAROO TOOL BELT - PURPLE</t>
  </si>
  <si>
    <t>BOOKAROO TOOL BELT - RED</t>
  </si>
  <si>
    <t>BOOKAROO TOOL BELT - TURQUOISE</t>
  </si>
  <si>
    <t>BOOKAROO TOOL BELT CDU</t>
  </si>
  <si>
    <t>CDU411</t>
  </si>
  <si>
    <t>BOOKAROO TOOL BELT SET UP 24 PCS</t>
  </si>
  <si>
    <t>SP411</t>
  </si>
  <si>
    <t>BOOKAROO TRAVEL TECH TIDY - BLACK</t>
  </si>
  <si>
    <t>BOOKAROO TRAVEL TECH TIDY - BROWN</t>
  </si>
  <si>
    <t>BOOKAROO TRAVEL TECH TIDY - COPPER</t>
  </si>
  <si>
    <t>BOOKAROO TRAVEL TECH TIDY - CREAM</t>
  </si>
  <si>
    <t>BOOKAROO TRAVEL TECH TIDY - GOLD</t>
  </si>
  <si>
    <t>BOOKAROO TRAVEL TECH TIDY - MINT</t>
  </si>
  <si>
    <t>BOOKAROO TRAVEL TECH TIDY - PINK</t>
  </si>
  <si>
    <t>BOOKEND GIFT SET - VINTAGE MAP</t>
  </si>
  <si>
    <t>RFS10501</t>
  </si>
  <si>
    <t>Booklovers Bookmarks Starter Pack</t>
  </si>
  <si>
    <t>BLSP</t>
  </si>
  <si>
    <t>BOOKLOVERS CORNER PACK AUSTRALIA</t>
  </si>
  <si>
    <t>BLCAU</t>
  </si>
  <si>
    <t>BOOKLOVERS DISPLAY</t>
  </si>
  <si>
    <t>BLD</t>
  </si>
  <si>
    <t>BUMP TO BIRTHDAY</t>
  </si>
  <si>
    <t>BTB</t>
  </si>
  <si>
    <t>BUMP TO BIRTHDAY FABRIC</t>
  </si>
  <si>
    <t>F3A</t>
  </si>
  <si>
    <t>Candle Matches Black/Black</t>
  </si>
  <si>
    <t>CM004</t>
  </si>
  <si>
    <t>Candle Matches Black/Blue</t>
  </si>
  <si>
    <t>CM002</t>
  </si>
  <si>
    <t>Candle Matches Black/Pink</t>
  </si>
  <si>
    <t>CM001</t>
  </si>
  <si>
    <t>Candle Matches Black/White</t>
  </si>
  <si>
    <t>CM003</t>
  </si>
  <si>
    <t>Card Game Pack IHB (A Lesson In Life &amp; Death)</t>
  </si>
  <si>
    <t>CARDIH02</t>
  </si>
  <si>
    <t>Card Game Pack IHB (Fake News: World History)</t>
  </si>
  <si>
    <t>CARDIH03</t>
  </si>
  <si>
    <t>CD/DVD TOWER NEW</t>
  </si>
  <si>
    <t>CDTN</t>
  </si>
  <si>
    <t>CDCARD 1931</t>
  </si>
  <si>
    <t>A31</t>
  </si>
  <si>
    <t>CDCARD 1932</t>
  </si>
  <si>
    <t>A32</t>
  </si>
  <si>
    <t>CDCARD 1933</t>
  </si>
  <si>
    <t>A33</t>
  </si>
  <si>
    <t>CDCARD 1934</t>
  </si>
  <si>
    <t>A34</t>
  </si>
  <si>
    <t>CDCARD 1935</t>
  </si>
  <si>
    <t>A35</t>
  </si>
  <si>
    <t>CDCARD 1937</t>
  </si>
  <si>
    <t>A37</t>
  </si>
  <si>
    <t>CDCARD 1940</t>
  </si>
  <si>
    <t>A40</t>
  </si>
  <si>
    <t>CDCARD 1941</t>
  </si>
  <si>
    <t>A41</t>
  </si>
  <si>
    <t>CDCARD 1942</t>
  </si>
  <si>
    <t>A42</t>
  </si>
  <si>
    <t>CDCARD 1943</t>
  </si>
  <si>
    <t>A43</t>
  </si>
  <si>
    <t>CDCARD 1944</t>
  </si>
  <si>
    <t>A44</t>
  </si>
  <si>
    <t>CDCARD 1945</t>
  </si>
  <si>
    <t>A45</t>
  </si>
  <si>
    <t>CDCARD 1946</t>
  </si>
  <si>
    <t>A46</t>
  </si>
  <si>
    <t>CDCARD 1947</t>
  </si>
  <si>
    <t>A47</t>
  </si>
  <si>
    <t>CDCARD 1948</t>
  </si>
  <si>
    <t>A48</t>
  </si>
  <si>
    <t>CDCARD 1949</t>
  </si>
  <si>
    <t>A49</t>
  </si>
  <si>
    <t>CDCARD 1950</t>
  </si>
  <si>
    <t>A50</t>
  </si>
  <si>
    <t>CDCARD 1951</t>
  </si>
  <si>
    <t>A51</t>
  </si>
  <si>
    <t>CDCARD 1952</t>
  </si>
  <si>
    <t>A52</t>
  </si>
  <si>
    <t>CDCARD 1953</t>
  </si>
  <si>
    <t>A53</t>
  </si>
  <si>
    <t>CDCARD 1954</t>
  </si>
  <si>
    <t>A54</t>
  </si>
  <si>
    <t>CDCARD 1955</t>
  </si>
  <si>
    <t>A55</t>
  </si>
  <si>
    <t>CDCARD 1956</t>
  </si>
  <si>
    <t>A56</t>
  </si>
  <si>
    <t>CDCARD 1957</t>
  </si>
  <si>
    <t>A57</t>
  </si>
  <si>
    <t>CDCARD 1958</t>
  </si>
  <si>
    <t>A58</t>
  </si>
  <si>
    <t>CDCARD 1959</t>
  </si>
  <si>
    <t>A59</t>
  </si>
  <si>
    <t>CDCARD 1960</t>
  </si>
  <si>
    <t>A60</t>
  </si>
  <si>
    <t>CDCARD 1961</t>
  </si>
  <si>
    <t>A61</t>
  </si>
  <si>
    <t>CDCARD 1962</t>
  </si>
  <si>
    <t>A62</t>
  </si>
  <si>
    <t>CDCARD 1963</t>
  </si>
  <si>
    <t>A63</t>
  </si>
  <si>
    <t>CDCARD 1964</t>
  </si>
  <si>
    <t>A64</t>
  </si>
  <si>
    <t>CDCARD 1965</t>
  </si>
  <si>
    <t>A65</t>
  </si>
  <si>
    <t>CDCARD 1966</t>
  </si>
  <si>
    <t>A66</t>
  </si>
  <si>
    <t>CDCARD 1967</t>
  </si>
  <si>
    <t>A67</t>
  </si>
  <si>
    <t>CDCARD 1968</t>
  </si>
  <si>
    <t>A68</t>
  </si>
  <si>
    <t>CDCARD 1969</t>
  </si>
  <si>
    <t>A69</t>
  </si>
  <si>
    <t>CDCARD 1970</t>
  </si>
  <si>
    <t>A70</t>
  </si>
  <si>
    <t>CDCARD 1971</t>
  </si>
  <si>
    <t>A71</t>
  </si>
  <si>
    <t>CDCARD 1972</t>
  </si>
  <si>
    <t>A72</t>
  </si>
  <si>
    <t>CDCARD 1973</t>
  </si>
  <si>
    <t>A73</t>
  </si>
  <si>
    <t>CDCARD 1974</t>
  </si>
  <si>
    <t>A74</t>
  </si>
  <si>
    <t>CDCARD 1975</t>
  </si>
  <si>
    <t>A75</t>
  </si>
  <si>
    <t>CDCARD 1976</t>
  </si>
  <si>
    <t>A76</t>
  </si>
  <si>
    <t>CDCARD 1977</t>
  </si>
  <si>
    <t>A77</t>
  </si>
  <si>
    <t>CDCARD 1978</t>
  </si>
  <si>
    <t>A78</t>
  </si>
  <si>
    <t>CDCARD 1979</t>
  </si>
  <si>
    <t>A79</t>
  </si>
  <si>
    <t>CDCARD 1980</t>
  </si>
  <si>
    <t>A80</t>
  </si>
  <si>
    <t>CDCARD 1981</t>
  </si>
  <si>
    <t>A81</t>
  </si>
  <si>
    <t>CDCARD 1982</t>
  </si>
  <si>
    <t>A82</t>
  </si>
  <si>
    <t>CDCARD 1983</t>
  </si>
  <si>
    <t>A83</t>
  </si>
  <si>
    <t>CDCARD 1984</t>
  </si>
  <si>
    <t>A84</t>
  </si>
  <si>
    <t>CDCARD 1985</t>
  </si>
  <si>
    <t>A85</t>
  </si>
  <si>
    <t>CDCARD 1986</t>
  </si>
  <si>
    <t>A86</t>
  </si>
  <si>
    <t>CDCARD 1987</t>
  </si>
  <si>
    <t>A87</t>
  </si>
  <si>
    <t>CDCARD 1988</t>
  </si>
  <si>
    <t>A88</t>
  </si>
  <si>
    <t>CDCARD 1989</t>
  </si>
  <si>
    <t>A89</t>
  </si>
  <si>
    <t>CDCARD 1990</t>
  </si>
  <si>
    <t>A90</t>
  </si>
  <si>
    <t>CDCARD 1991</t>
  </si>
  <si>
    <t>A91</t>
  </si>
  <si>
    <t>CDCARD 1992</t>
  </si>
  <si>
    <t>A92</t>
  </si>
  <si>
    <t>CDCARD 1993</t>
  </si>
  <si>
    <t>A93</t>
  </si>
  <si>
    <t>CDCARD 1994</t>
  </si>
  <si>
    <t>A94</t>
  </si>
  <si>
    <t>CDCARD 1995</t>
  </si>
  <si>
    <t>A95</t>
  </si>
  <si>
    <t>CDCARD 1996</t>
  </si>
  <si>
    <t>A96</t>
  </si>
  <si>
    <t>CDCARD 1997</t>
  </si>
  <si>
    <t>A97</t>
  </si>
  <si>
    <t>CDCARD 1998</t>
  </si>
  <si>
    <t>A98</t>
  </si>
  <si>
    <t>CDCARD 1999</t>
  </si>
  <si>
    <t>A99</t>
  </si>
  <si>
    <t>CDCARD 2000</t>
  </si>
  <si>
    <t>A00</t>
  </si>
  <si>
    <t>CDCARD 2001</t>
  </si>
  <si>
    <t>A01</t>
  </si>
  <si>
    <t>CDCARD 2002</t>
  </si>
  <si>
    <t>A02</t>
  </si>
  <si>
    <t>CDCARD 2003</t>
  </si>
  <si>
    <t>A03</t>
  </si>
  <si>
    <t>CDCARD 2004</t>
  </si>
  <si>
    <t>A04</t>
  </si>
  <si>
    <t>CDCARD 2005</t>
  </si>
  <si>
    <t>A05</t>
  </si>
  <si>
    <t>CDU 28 Units A6 ASSORTED ELASTIC LEATHERETTE NOTEBOOKS</t>
  </si>
  <si>
    <t>RFS10813</t>
  </si>
  <si>
    <t>CDU CUP CAKE SOCKS</t>
  </si>
  <si>
    <t>CDUCCS</t>
  </si>
  <si>
    <t>Ceramic Coaster - Adulting infused with wine and cake</t>
  </si>
  <si>
    <t>CST011</t>
  </si>
  <si>
    <t>Ceramic Coaster - Boss Lady</t>
  </si>
  <si>
    <t>CST012</t>
  </si>
  <si>
    <t>Ceramic Coaster - Drink wine and judge</t>
  </si>
  <si>
    <t>CST014</t>
  </si>
  <si>
    <t>Ceramic Coaster - I enjoy being used</t>
  </si>
  <si>
    <t>CST013</t>
  </si>
  <si>
    <t>Ceramic Coaster - I think you are really funny - Vodka</t>
  </si>
  <si>
    <t>CST016</t>
  </si>
  <si>
    <t>Ceramic Coaster - I'm here for the wine</t>
  </si>
  <si>
    <t>CST010</t>
  </si>
  <si>
    <t>Ceramic Coaster - Please leave by 9</t>
  </si>
  <si>
    <t>CST018</t>
  </si>
  <si>
    <t>Ceramic Coaster - They are definitely into you - Rum</t>
  </si>
  <si>
    <t>CST017</t>
  </si>
  <si>
    <t>Ceramic Coaster - Trust me you can dance - Gin</t>
  </si>
  <si>
    <t>CST015</t>
  </si>
  <si>
    <t>Ceramic Coaster Fruit William Morris</t>
  </si>
  <si>
    <t>CST005</t>
  </si>
  <si>
    <t>Ceramic Coaster Jasmine William Morris</t>
  </si>
  <si>
    <t>CST003</t>
  </si>
  <si>
    <t>Ceramic Coaster Larkspur Mint William Morris</t>
  </si>
  <si>
    <t>CST007</t>
  </si>
  <si>
    <t>Ceramic Coaster Marigold William Morris</t>
  </si>
  <si>
    <t>CST001</t>
  </si>
  <si>
    <t>Ceramic Coaster Strawberry Thief William Morris</t>
  </si>
  <si>
    <t>CST006</t>
  </si>
  <si>
    <t>Ceramic Coaster Sweet Briar William Morris</t>
  </si>
  <si>
    <t>CST009</t>
  </si>
  <si>
    <t>Ceramic Coaster Vintage Blume William Morris</t>
  </si>
  <si>
    <t>CST008</t>
  </si>
  <si>
    <t>Ceramic Coaster Wild Tulip William Morris</t>
  </si>
  <si>
    <t>CST004</t>
  </si>
  <si>
    <t>Ceramic Coaster Willow Bough William Morris</t>
  </si>
  <si>
    <t>CST002</t>
  </si>
  <si>
    <t>Ceramic Coasters Funny Quotes Set Up 48 pieces w Display</t>
  </si>
  <si>
    <t>CCFQ</t>
  </si>
  <si>
    <t>Ceramic Coasters William Morris Set Up 48 pieces w Display</t>
  </si>
  <si>
    <t>CCWM</t>
  </si>
  <si>
    <t>Classic DVD Setup</t>
  </si>
  <si>
    <t>DVDSP</t>
  </si>
  <si>
    <t>Classic World Scratch Map</t>
  </si>
  <si>
    <t>SM009</t>
  </si>
  <si>
    <t>Coin Pouch - William Morris (Grey Larkspur)</t>
  </si>
  <si>
    <t>WM016</t>
  </si>
  <si>
    <t>Coin Pouch - William Morris (Mint Larkspur)</t>
  </si>
  <si>
    <t>WM006</t>
  </si>
  <si>
    <t>Coin Pouch - William Morris Lavender Strawberry Thief</t>
  </si>
  <si>
    <t>WM029</t>
  </si>
  <si>
    <t>Coin Pouch - William Morris Sweet Briar</t>
  </si>
  <si>
    <t>WM030</t>
  </si>
  <si>
    <t>Coin Purse - RHS (PVC Coral)</t>
  </si>
  <si>
    <t>PURSRHS02</t>
  </si>
  <si>
    <t>Compact Mirrors - William Morris 24 Units</t>
  </si>
  <si>
    <t>CM01</t>
  </si>
  <si>
    <t>Compact Mirrors &amp; Pill Boxes - Fruit &amp; Strawberry Thief 24 Units</t>
  </si>
  <si>
    <t>PB02</t>
  </si>
  <si>
    <t>Compact Mirrors &amp; Pill Boxes - Peonie Rose &amp; Kilburn 24 Units</t>
  </si>
  <si>
    <t>PB03</t>
  </si>
  <si>
    <t>Compact Mirrors &amp; Pill Boxes - Sunflowers and Water Lilies 24 Units</t>
  </si>
  <si>
    <t>PB04</t>
  </si>
  <si>
    <t>Cosmetic Bag - Planet Cat (Simple Life)</t>
  </si>
  <si>
    <t>MAKEPC01</t>
  </si>
  <si>
    <t>Cosmetic Bag - RHS (Oilcloth Irises &amp; Hellebores)</t>
  </si>
  <si>
    <t>MAKERHS01</t>
  </si>
  <si>
    <t>Cosmetics Bag - William Morris Lavender Strawberry Thief</t>
  </si>
  <si>
    <t>WM020</t>
  </si>
  <si>
    <t>Cosmetics Bag - William Morris Mint Larkspur</t>
  </si>
  <si>
    <t>WM019</t>
  </si>
  <si>
    <t>Cosmetics Bag - William Morris Sweet Briar</t>
  </si>
  <si>
    <t>WM021</t>
  </si>
  <si>
    <t>Cup Cake Socks CDU</t>
  </si>
  <si>
    <t>CCSCDU</t>
  </si>
  <si>
    <t>Cushion - William Morris (Rose Gold Larkspur)</t>
  </si>
  <si>
    <t>WM003</t>
  </si>
  <si>
    <t>DEAR DAD - FYTM CONTEMPORAY</t>
  </si>
  <si>
    <t>DDC</t>
  </si>
  <si>
    <t>Dear Daddy Love from Me</t>
  </si>
  <si>
    <t>T2L</t>
  </si>
  <si>
    <t>Dear Daddy Love from Us</t>
  </si>
  <si>
    <t>T2N</t>
  </si>
  <si>
    <t>DEAR GRANDAD FYTM CONTEMPORAY</t>
  </si>
  <si>
    <t>DGDC</t>
  </si>
  <si>
    <t>DEAR GRANDMA FYTM CONTEMPORAY</t>
  </si>
  <si>
    <t>DGMC</t>
  </si>
  <si>
    <t>DEAR MUM - FYTM CONTEMPORARY</t>
  </si>
  <si>
    <t>DMC</t>
  </si>
  <si>
    <t>Dear Mummy Love From Me</t>
  </si>
  <si>
    <t>T2K</t>
  </si>
  <si>
    <t>Dear Mummy Love From Us</t>
  </si>
  <si>
    <t>T2M</t>
  </si>
  <si>
    <t>Tote Bag  - William Morris Blue Larkspur</t>
  </si>
  <si>
    <t>TB013</t>
  </si>
  <si>
    <t>Tote Bag  - William Morris Fruit</t>
  </si>
  <si>
    <t>Tote Bag  - William Morris Strawberry Thief</t>
  </si>
  <si>
    <t>Tote Bag  - William Morris Wild Tulip</t>
  </si>
  <si>
    <t>Tote Bag - Bluhen Leopard Print</t>
  </si>
  <si>
    <t>TB018</t>
  </si>
  <si>
    <t>DVDCARD 1931</t>
  </si>
  <si>
    <t>D31</t>
  </si>
  <si>
    <t>DVDCARD 1932</t>
  </si>
  <si>
    <t>D32</t>
  </si>
  <si>
    <t>DVDCARD 1933</t>
  </si>
  <si>
    <t>D33</t>
  </si>
  <si>
    <t>DVDCARD 1934</t>
  </si>
  <si>
    <t>D34</t>
  </si>
  <si>
    <t>DVDCARD 1935</t>
  </si>
  <si>
    <t>D35</t>
  </si>
  <si>
    <t>DVDCARD 1938</t>
  </si>
  <si>
    <t>D38</t>
  </si>
  <si>
    <t>DVDCARD 1939</t>
  </si>
  <si>
    <t>D39</t>
  </si>
  <si>
    <t>DVDCARD 1940</t>
  </si>
  <si>
    <t>D40</t>
  </si>
  <si>
    <t>DVDCARD 1941</t>
  </si>
  <si>
    <t>D41</t>
  </si>
  <si>
    <t>DVDCARD 1942</t>
  </si>
  <si>
    <t>D42</t>
  </si>
  <si>
    <t>DVDCARD 1943</t>
  </si>
  <si>
    <t>D43</t>
  </si>
  <si>
    <t>DVDCARD 1944</t>
  </si>
  <si>
    <t>D44</t>
  </si>
  <si>
    <t>DVDCARD 1945</t>
  </si>
  <si>
    <t>D45</t>
  </si>
  <si>
    <t>DVDCARD 1946</t>
  </si>
  <si>
    <t>D46</t>
  </si>
  <si>
    <t>DVDCARD 1947</t>
  </si>
  <si>
    <t>D47</t>
  </si>
  <si>
    <t>DVDCARD 1948</t>
  </si>
  <si>
    <t>D48</t>
  </si>
  <si>
    <t>DVDCARD 1949</t>
  </si>
  <si>
    <t>D49</t>
  </si>
  <si>
    <t>DVDCARD 1950</t>
  </si>
  <si>
    <t>D50</t>
  </si>
  <si>
    <t>DVDCARD 1951</t>
  </si>
  <si>
    <t>D51</t>
  </si>
  <si>
    <t>DVDCARD 1952</t>
  </si>
  <si>
    <t>D52</t>
  </si>
  <si>
    <t>DVDCARD 1953</t>
  </si>
  <si>
    <t>D53</t>
  </si>
  <si>
    <t>DVDCARD 1954</t>
  </si>
  <si>
    <t>D54</t>
  </si>
  <si>
    <t>DVDCARD 1955</t>
  </si>
  <si>
    <t>D55</t>
  </si>
  <si>
    <t>DVDCARD 1956</t>
  </si>
  <si>
    <t>D56</t>
  </si>
  <si>
    <t>DVDCARD 1957</t>
  </si>
  <si>
    <t>D57</t>
  </si>
  <si>
    <t>DVDCARD 1958</t>
  </si>
  <si>
    <t>D58</t>
  </si>
  <si>
    <t>DVDCARD 1959</t>
  </si>
  <si>
    <t>D59</t>
  </si>
  <si>
    <t>DVDCARD 1960</t>
  </si>
  <si>
    <t>D60</t>
  </si>
  <si>
    <t>DVDCARD 1961</t>
  </si>
  <si>
    <t>D61</t>
  </si>
  <si>
    <t>DVDCARD 1962</t>
  </si>
  <si>
    <t>D62</t>
  </si>
  <si>
    <t>DVDCARD 1963</t>
  </si>
  <si>
    <t>D63</t>
  </si>
  <si>
    <t>DVDCARD 1964</t>
  </si>
  <si>
    <t>D64</t>
  </si>
  <si>
    <t>DVDCARD 1965</t>
  </si>
  <si>
    <t>D65</t>
  </si>
  <si>
    <t>DVDCARD 1966</t>
  </si>
  <si>
    <t>D66</t>
  </si>
  <si>
    <t>DVDCARD 1967</t>
  </si>
  <si>
    <t>D67</t>
  </si>
  <si>
    <t>DVDCARD 1968</t>
  </si>
  <si>
    <t>D68</t>
  </si>
  <si>
    <t>DVDCARD 1969</t>
  </si>
  <si>
    <t>D69</t>
  </si>
  <si>
    <t>DVDCARD 1970</t>
  </si>
  <si>
    <t>D70</t>
  </si>
  <si>
    <t>DVDCARD 1971</t>
  </si>
  <si>
    <t>D71</t>
  </si>
  <si>
    <t>DVDCARD 1972</t>
  </si>
  <si>
    <t>D72</t>
  </si>
  <si>
    <t>DVDCARD 1973</t>
  </si>
  <si>
    <t>D73</t>
  </si>
  <si>
    <t>DVDCARD 1974</t>
  </si>
  <si>
    <t>D74</t>
  </si>
  <si>
    <t>DVDCARD 1975</t>
  </si>
  <si>
    <t>D75</t>
  </si>
  <si>
    <t>DVDCARD 1976</t>
  </si>
  <si>
    <t>D76</t>
  </si>
  <si>
    <t>DVDCARD 1977</t>
  </si>
  <si>
    <t>D77</t>
  </si>
  <si>
    <t>DVDCARD 1978</t>
  </si>
  <si>
    <t>D78</t>
  </si>
  <si>
    <t>DVDCARD 1979</t>
  </si>
  <si>
    <t>D79</t>
  </si>
  <si>
    <t>DVDCARD 1980</t>
  </si>
  <si>
    <t>D80</t>
  </si>
  <si>
    <t>DVDCARD 1981</t>
  </si>
  <si>
    <t>D81</t>
  </si>
  <si>
    <t>DVDCARD 1982</t>
  </si>
  <si>
    <t>D82</t>
  </si>
  <si>
    <t>DVDCARD 1983</t>
  </si>
  <si>
    <t>D83</t>
  </si>
  <si>
    <t>DVDCARD 1984</t>
  </si>
  <si>
    <t>D84</t>
  </si>
  <si>
    <t>DVDCARD 1985</t>
  </si>
  <si>
    <t>D85</t>
  </si>
  <si>
    <t>DVDCARD 1986</t>
  </si>
  <si>
    <t>D86</t>
  </si>
  <si>
    <t>DVDCARD 1987</t>
  </si>
  <si>
    <t>D87</t>
  </si>
  <si>
    <t>DVDCARD 1988</t>
  </si>
  <si>
    <t>D88</t>
  </si>
  <si>
    <t>DVDCARD 1989</t>
  </si>
  <si>
    <t>D89</t>
  </si>
  <si>
    <t>DVDCARD 1990</t>
  </si>
  <si>
    <t>D90</t>
  </si>
  <si>
    <t>DVDCARD 1991</t>
  </si>
  <si>
    <t>D91</t>
  </si>
  <si>
    <t>DVDCARD 1992</t>
  </si>
  <si>
    <t>D92</t>
  </si>
  <si>
    <t>DVDCARD 1993</t>
  </si>
  <si>
    <t>D93</t>
  </si>
  <si>
    <t>DVDCARD 1994</t>
  </si>
  <si>
    <t>D94</t>
  </si>
  <si>
    <t>DVDCARD 1995</t>
  </si>
  <si>
    <t>D95</t>
  </si>
  <si>
    <t>EARLY YEARS GREY</t>
  </si>
  <si>
    <t>EYG</t>
  </si>
  <si>
    <t>ELECTRONIC DICTIONARY B'MK 2019 - GREY</t>
  </si>
  <si>
    <t>ELECTRONIC DICTIONARY B'MK 2019 - PINK</t>
  </si>
  <si>
    <t>ELECTRONIC DICTIONARY B'MK 2019 - WHITE</t>
  </si>
  <si>
    <t>Everything is Better Because Of You</t>
  </si>
  <si>
    <t>T8B</t>
  </si>
  <si>
    <t>Eye Masks CDU</t>
  </si>
  <si>
    <t>CDUEM</t>
  </si>
  <si>
    <t>FAB FLAT PEN DISPLAY</t>
  </si>
  <si>
    <t>90400D</t>
  </si>
  <si>
    <t>FABULOUSLY FLAT PAPER PENS</t>
  </si>
  <si>
    <t>FABULOUSLY FLAT PENS STARTER PACK</t>
  </si>
  <si>
    <t>SP341</t>
  </si>
  <si>
    <t>Flexi Book Light Battery Set Up 24 units</t>
  </si>
  <si>
    <t>FBSP</t>
  </si>
  <si>
    <t>FLEXIBLE BOOKLIGHT DISPLAY</t>
  </si>
  <si>
    <t>CDUFB</t>
  </si>
  <si>
    <t>Fold Away Book Holder - A Room Without A Book</t>
  </si>
  <si>
    <t>FABH1</t>
  </si>
  <si>
    <t>Fold Away Book Holder - It's Not Hoarding</t>
  </si>
  <si>
    <t>FABH3</t>
  </si>
  <si>
    <t>Fold Away Book Holder - You Only Live Once</t>
  </si>
  <si>
    <t>FABH2</t>
  </si>
  <si>
    <t>Fold Away Book Holder CDU Set Up</t>
  </si>
  <si>
    <t>FABHSP</t>
  </si>
  <si>
    <t>Giftbook Square 64pp IHB (Potent Potions)</t>
  </si>
  <si>
    <t>BOOKIH01</t>
  </si>
  <si>
    <t>Giftbook Square 64pp IHB (Spell: icious)</t>
  </si>
  <si>
    <t>BOOKIH02</t>
  </si>
  <si>
    <t>Giftbook Square 64pp Thunderbirds (Classic Hero Handbook)</t>
  </si>
  <si>
    <t>BOOKTB02</t>
  </si>
  <si>
    <t>Giftbook Square 64pp: Jolly Awesome (Tastes Like Magic)</t>
  </si>
  <si>
    <t>BOOKJA01</t>
  </si>
  <si>
    <t>Giftset Mug &amp; Book IHB (Classic Moments Pride &amp; Prejudice)</t>
  </si>
  <si>
    <t>BKMGIH09</t>
  </si>
  <si>
    <t>Giftset Mug &amp; Book Thunderbirds (Classic Hero)</t>
  </si>
  <si>
    <t>BKMGTB02</t>
  </si>
  <si>
    <t>Giftset Mug &amp; Book Wallace &amp; Gromit (The Wrong Trousers)</t>
  </si>
  <si>
    <t>BKMGAA05</t>
  </si>
  <si>
    <t>Giftset Mug &amp; Book: IHB (Classic Moments Alice Wonderland)</t>
  </si>
  <si>
    <t>BKMGIH10</t>
  </si>
  <si>
    <t>GIMBLE - BLUE</t>
  </si>
  <si>
    <t>GIMBLE - GREY</t>
  </si>
  <si>
    <t>GIMBLE - MINT</t>
  </si>
  <si>
    <t>GIMBLE - PINK</t>
  </si>
  <si>
    <t>GIMBLE - PURPLE</t>
  </si>
  <si>
    <t>GIMBLE DISPLAY STAND</t>
  </si>
  <si>
    <t>CDU368</t>
  </si>
  <si>
    <t>GIMBLE STARTER PACK</t>
  </si>
  <si>
    <t>SP368</t>
  </si>
  <si>
    <t>Glasses Case - Houndtooth Bluhen</t>
  </si>
  <si>
    <t>GC006</t>
  </si>
  <si>
    <t>Glasses Case - Kilburn Bluhen</t>
  </si>
  <si>
    <t>GC009</t>
  </si>
  <si>
    <t>Glasses Case - Larkspur William Morris</t>
  </si>
  <si>
    <t>GC004</t>
  </si>
  <si>
    <t>Glasses Case - Leopard Print Bluhen</t>
  </si>
  <si>
    <t>GC007</t>
  </si>
  <si>
    <t>Glasses Case - Wild Tulip William Morris</t>
  </si>
  <si>
    <t>GC001</t>
  </si>
  <si>
    <t>Glasses Cases CDU</t>
  </si>
  <si>
    <t>CDUGC</t>
  </si>
  <si>
    <t>GLASSES CASES STARTER PACK 20 pcs</t>
  </si>
  <si>
    <t>Hair Wrap Set Up</t>
  </si>
  <si>
    <t>Hair Wraps CDU</t>
  </si>
  <si>
    <t>CDUHW</t>
  </si>
  <si>
    <t>Hair Wraps Set Up</t>
  </si>
  <si>
    <t>SPHW</t>
  </si>
  <si>
    <t>Harlequin Games Bocce</t>
  </si>
  <si>
    <t>HQ008</t>
  </si>
  <si>
    <t>Harlequin Games Deluxe Bingo</t>
  </si>
  <si>
    <t>HQ026</t>
  </si>
  <si>
    <t>Harlequin Games Diabolo</t>
  </si>
  <si>
    <t>HQ019</t>
  </si>
  <si>
    <t>Harlequin Games Mini Bowling</t>
  </si>
  <si>
    <t>HQ010</t>
  </si>
  <si>
    <t>Harlequin Games Poker Set</t>
  </si>
  <si>
    <t>HQ011</t>
  </si>
  <si>
    <t>Harlequin Games Table Tennis Set</t>
  </si>
  <si>
    <t>HQ013</t>
  </si>
  <si>
    <t>Harlequin Games Tumble Tower</t>
  </si>
  <si>
    <t>HQ023</t>
  </si>
  <si>
    <t>Head Band Set Up</t>
  </si>
  <si>
    <t>SPHB</t>
  </si>
  <si>
    <t>Head Bands CDU</t>
  </si>
  <si>
    <t>CDUHB</t>
  </si>
  <si>
    <t>Hip Flask</t>
  </si>
  <si>
    <t>HIP11</t>
  </si>
  <si>
    <t>HIP FLASK - VINTAGE MAP</t>
  </si>
  <si>
    <t>HIP04</t>
  </si>
  <si>
    <t>Hobby House - Baby Closet Dividers</t>
  </si>
  <si>
    <t>HH03</t>
  </si>
  <si>
    <t>Hobby House - Baby Milestones Set 1</t>
  </si>
  <si>
    <t>HH01</t>
  </si>
  <si>
    <t>Hobby House - Baby Milestones Set 2</t>
  </si>
  <si>
    <t>HH02</t>
  </si>
  <si>
    <t>HOPES AND WISHES FOR YOU</t>
  </si>
  <si>
    <t>T4B</t>
  </si>
  <si>
    <t>I Made a Book About You</t>
  </si>
  <si>
    <t>T1A</t>
  </si>
  <si>
    <t>Journal - A5 Fruit Blank</t>
  </si>
  <si>
    <t>J12</t>
  </si>
  <si>
    <t>Journal - A5 Kilburn Blank</t>
  </si>
  <si>
    <t>J10</t>
  </si>
  <si>
    <t>Journal - A5 Larkspur Lined</t>
  </si>
  <si>
    <t>J02</t>
  </si>
  <si>
    <t>Journal - A5 Peonie Rose Blank</t>
  </si>
  <si>
    <t>J09</t>
  </si>
  <si>
    <t>Journal - A5 Strawberry Thief Blank</t>
  </si>
  <si>
    <t>J11</t>
  </si>
  <si>
    <t>JOURNALS FOR LIFE - Everlasting Address Book</t>
  </si>
  <si>
    <t>JOURNALS FOR LIFE - Junk Drawer Folder</t>
  </si>
  <si>
    <t>Kids Animal Scratch Map</t>
  </si>
  <si>
    <t>SM004</t>
  </si>
  <si>
    <t>LARGE PU JOURNAL - BOWLING GREEN</t>
  </si>
  <si>
    <t>RFS11908</t>
  </si>
  <si>
    <t>LARGE PU JOURNAL - DEEP PURPLE</t>
  </si>
  <si>
    <t>RFS11911</t>
  </si>
  <si>
    <t>LARGE PU JOURNAL - NICE PINK</t>
  </si>
  <si>
    <t>RFS12105</t>
  </si>
  <si>
    <t>Loudmouth - Christopher Walken</t>
  </si>
  <si>
    <t>LM002</t>
  </si>
  <si>
    <t>Loudmouth - Emma Stone</t>
  </si>
  <si>
    <t>LM007</t>
  </si>
  <si>
    <t>Loudmouth - Harrison Ford</t>
  </si>
  <si>
    <t>LM017</t>
  </si>
  <si>
    <t>Loudmouth - Jack Nicholson</t>
  </si>
  <si>
    <t>LM009</t>
  </si>
  <si>
    <t>Loudmouth - Jon Snow</t>
  </si>
  <si>
    <t>LM010</t>
  </si>
  <si>
    <t>Loudmouth - Liam Neeson</t>
  </si>
  <si>
    <t>LM011</t>
  </si>
  <si>
    <t>Loudmouth - Matthew McConaughey</t>
  </si>
  <si>
    <t>LM013</t>
  </si>
  <si>
    <t>Loudmouth - Morgan Freeman</t>
  </si>
  <si>
    <t>LM014</t>
  </si>
  <si>
    <t>Loudmouth - Muhammad Ali</t>
  </si>
  <si>
    <t>LM001</t>
  </si>
  <si>
    <t>Loudmouth - Pink</t>
  </si>
  <si>
    <t>LM015</t>
  </si>
  <si>
    <t>Loudmouth - Sean Connery</t>
  </si>
  <si>
    <t>LM016</t>
  </si>
  <si>
    <t>Lunch Bag - Fruit</t>
  </si>
  <si>
    <t>LB03</t>
  </si>
  <si>
    <t>Lunch Bag - Larkspur</t>
  </si>
  <si>
    <t>LB01</t>
  </si>
  <si>
    <t>Lunch Bag - Leopard Print</t>
  </si>
  <si>
    <t>LB06</t>
  </si>
  <si>
    <t>Lunch Bag - Peonie Rose</t>
  </si>
  <si>
    <t>LB05</t>
  </si>
  <si>
    <t>Lunch Bag - Strawberry Thief</t>
  </si>
  <si>
    <t>LB02</t>
  </si>
  <si>
    <t>Lunch Bag - Wild Tulip</t>
  </si>
  <si>
    <t>LB04</t>
  </si>
  <si>
    <t>Lunch Bag - William Morris (Grey Larkspur)</t>
  </si>
  <si>
    <t>WM014</t>
  </si>
  <si>
    <t>Lunch bag - William Morris (Mint Larkspur)</t>
  </si>
  <si>
    <t>WM005</t>
  </si>
  <si>
    <t>Lunch Bag - William Morris (Peach Larkspur)</t>
  </si>
  <si>
    <t>WM013</t>
  </si>
  <si>
    <t>Lunch Bag - William Morris Lavender Strawberry Thief</t>
  </si>
  <si>
    <t>WM031</t>
  </si>
  <si>
    <t>Lunch Bag - William Morris Sweet Briar</t>
  </si>
  <si>
    <t>WM032</t>
  </si>
  <si>
    <t>Manicure Set - William Morris Lavender Strawberry Thief</t>
  </si>
  <si>
    <t>WM025</t>
  </si>
  <si>
    <t>Manicure Set - William Morris Sweet Briar</t>
  </si>
  <si>
    <t>WM026</t>
  </si>
  <si>
    <t>Manicure Set Up WM</t>
  </si>
  <si>
    <t>MSU2</t>
  </si>
  <si>
    <t>Map Bkmk - Alexander the Great</t>
  </si>
  <si>
    <t>MBM008</t>
  </si>
  <si>
    <t>Map Bkmk - Australia</t>
  </si>
  <si>
    <t>MBM004</t>
  </si>
  <si>
    <t>Map Bkmk - British Empire</t>
  </si>
  <si>
    <t>MBM006</t>
  </si>
  <si>
    <t>Map Bkmk - Cantino</t>
  </si>
  <si>
    <t>MBM002</t>
  </si>
  <si>
    <t>Map Bkmk - Chinese World</t>
  </si>
  <si>
    <t>MBM005</t>
  </si>
  <si>
    <t>Map Bkmk - Dutch World</t>
  </si>
  <si>
    <t>MBM003</t>
  </si>
  <si>
    <t>Map Bkmk - Frau Mauro</t>
  </si>
  <si>
    <t>MBM001</t>
  </si>
  <si>
    <t>Map Bkmk - New Zealand</t>
  </si>
  <si>
    <t>MBM009</t>
  </si>
  <si>
    <t>Map Bkmk - Roman Empire</t>
  </si>
  <si>
    <t>MBM007</t>
  </si>
  <si>
    <t>Map Bkmk - USA Original 13 States</t>
  </si>
  <si>
    <t>MBM010</t>
  </si>
  <si>
    <t>Map Bookmark Set Up 60 units</t>
  </si>
  <si>
    <t>MBMSP</t>
  </si>
  <si>
    <t>Mark Down Assistance</t>
  </si>
  <si>
    <t>MERRY CHRISTMAS - THIS IS YOUR ELF</t>
  </si>
  <si>
    <t>T2J</t>
  </si>
  <si>
    <t>Mi Torch Sophia</t>
  </si>
  <si>
    <t>MT114</t>
  </si>
  <si>
    <t>Money Box - William Morris (Mint Larkspur)</t>
  </si>
  <si>
    <t>WM008</t>
  </si>
  <si>
    <t>MOTIF JOURNAL - TURD - BLACK</t>
  </si>
  <si>
    <t>RFS11970</t>
  </si>
  <si>
    <t>MOTIF JOURNAL -DOG - DARK GREEN</t>
  </si>
  <si>
    <t>RFS11983</t>
  </si>
  <si>
    <t>MOTIF JOURNAL -LIPS - LIGHT PINK</t>
  </si>
  <si>
    <t>RFS11973</t>
  </si>
  <si>
    <t>Mug Boxed - William Morris (Lavender Strawberry Thief)</t>
  </si>
  <si>
    <t>WM037</t>
  </si>
  <si>
    <t>Mug Boxed - William Morris (Mint Larkspur)</t>
  </si>
  <si>
    <t>WM036</t>
  </si>
  <si>
    <t>Mug Boxed - William Morris (Sweet Briar)</t>
  </si>
  <si>
    <t>WM038</t>
  </si>
  <si>
    <t>MUM TO MUM Pass it on</t>
  </si>
  <si>
    <t>T4D</t>
  </si>
  <si>
    <t>Nano Book Light Rechargeable - Black</t>
  </si>
  <si>
    <t>NBL01</t>
  </si>
  <si>
    <t>Nano Book Light Rechargeable - Blue</t>
  </si>
  <si>
    <t>NBL03</t>
  </si>
  <si>
    <t>Nano Book Light Rechargeable - Pink</t>
  </si>
  <si>
    <t>NBL04</t>
  </si>
  <si>
    <t>Nano Book Light Rechargeable - White</t>
  </si>
  <si>
    <t>NBL02</t>
  </si>
  <si>
    <t>NEW HARLEQUIN SEP OFFER 5 PCT DISCOUNT</t>
  </si>
  <si>
    <t>HQSEP22</t>
  </si>
  <si>
    <t>NZ Bkmk - Map NZ</t>
  </si>
  <si>
    <t>NZ012</t>
  </si>
  <si>
    <t>OUR STORY - FOR MY DAUGHTER</t>
  </si>
  <si>
    <t>OSD</t>
  </si>
  <si>
    <t>OUR STORY - FOR MY SON</t>
  </si>
  <si>
    <t>OSS</t>
  </si>
  <si>
    <t>Paint &amp; Create - African Safari</t>
  </si>
  <si>
    <t>PC02</t>
  </si>
  <si>
    <t>Paint &amp; Create - Australian Animals</t>
  </si>
  <si>
    <t>PC01</t>
  </si>
  <si>
    <t>Paint &amp; Create - Christmas House 1</t>
  </si>
  <si>
    <t>PC12</t>
  </si>
  <si>
    <t>Paint &amp; Create - Christmas House 2</t>
  </si>
  <si>
    <t>PC13</t>
  </si>
  <si>
    <t>Paint &amp; Create - Christmas Ornaments 1</t>
  </si>
  <si>
    <t>PC08</t>
  </si>
  <si>
    <t>Paint &amp; Create - Christmas Ornaments 2</t>
  </si>
  <si>
    <t>PC09</t>
  </si>
  <si>
    <t>Paint &amp; Create - Christmas Wreath</t>
  </si>
  <si>
    <t>PC14</t>
  </si>
  <si>
    <t>Paint &amp; Create - Dinosaurs</t>
  </si>
  <si>
    <t>PC03</t>
  </si>
  <si>
    <t>Paint &amp; Create - Mermaids</t>
  </si>
  <si>
    <t>PC04</t>
  </si>
  <si>
    <t>Paint &amp; Create - Merry Christmas</t>
  </si>
  <si>
    <t>PC15</t>
  </si>
  <si>
    <t>Paint &amp; Create - Nativity Set</t>
  </si>
  <si>
    <t>PC10</t>
  </si>
  <si>
    <t>Paint &amp; Create - Rockets &amp; Space</t>
  </si>
  <si>
    <t>PC06</t>
  </si>
  <si>
    <t>Paint &amp; Create - Santa's Letter Box</t>
  </si>
  <si>
    <t>PC11</t>
  </si>
  <si>
    <t>Paint &amp; Create - Trucks</t>
  </si>
  <si>
    <t>PC07</t>
  </si>
  <si>
    <t>Paint &amp; Create - Unicorns</t>
  </si>
  <si>
    <t>PC05</t>
  </si>
  <si>
    <t>Paint &amp; Create - World's Best Dad</t>
  </si>
  <si>
    <t>PC16</t>
  </si>
  <si>
    <t>Paint &amp; Create - World's Best Grandad</t>
  </si>
  <si>
    <t>PC20</t>
  </si>
  <si>
    <t>Paint &amp; Create - World's Best Grandma</t>
  </si>
  <si>
    <t>PC21</t>
  </si>
  <si>
    <t>Paint &amp; Create - World's Best Mum</t>
  </si>
  <si>
    <t>PC17</t>
  </si>
  <si>
    <t>Paint &amp; Create - World's Best Nanna</t>
  </si>
  <si>
    <t>PC22</t>
  </si>
  <si>
    <t>Paint &amp; Create - World's Best Pop</t>
  </si>
  <si>
    <t>PC23</t>
  </si>
  <si>
    <t>Pencil Case - William Morris (Willow Ochre)</t>
  </si>
  <si>
    <t>PENCWM02</t>
  </si>
  <si>
    <t>Photo Frame 5 x 7 - William Morris (Grey Larkspur)</t>
  </si>
  <si>
    <t>WM018</t>
  </si>
  <si>
    <t>Photo Frame 5 x 7 - William Morris (Mint Larkspur)</t>
  </si>
  <si>
    <t>WM007</t>
  </si>
  <si>
    <t>Photo Frame 5 x 7 - William Morris (Rose Gold Larkspur)</t>
  </si>
  <si>
    <t>WM017</t>
  </si>
  <si>
    <t>Pill Boxes - William Morris 24 Units</t>
  </si>
  <si>
    <t>PB01</t>
  </si>
  <si>
    <t>Plush Slippers Set Up</t>
  </si>
  <si>
    <t>SPPS</t>
  </si>
  <si>
    <t>PROMISES FOR YOU</t>
  </si>
  <si>
    <t>T2I</t>
  </si>
  <si>
    <t>Puzzle Book 128pp: Thunderbirds (Games for Brains)</t>
  </si>
  <si>
    <t>BOOKTB03</t>
  </si>
  <si>
    <t>Rattle Display</t>
  </si>
  <si>
    <t>RTFD</t>
  </si>
  <si>
    <t>Rattling Friends - Dinosuar</t>
  </si>
  <si>
    <t>Rattling Friends Display</t>
  </si>
  <si>
    <t>CDURTF</t>
  </si>
  <si>
    <t>Reading Friend - Bear</t>
  </si>
  <si>
    <t>RF007</t>
  </si>
  <si>
    <t>Reading Friend - Cat</t>
  </si>
  <si>
    <t>RF004</t>
  </si>
  <si>
    <t>Reading Friend - Dinosaur</t>
  </si>
  <si>
    <t>RF010</t>
  </si>
  <si>
    <t>Reading Friend - Dog</t>
  </si>
  <si>
    <t>RF003</t>
  </si>
  <si>
    <t>Reading Friend - Elephant</t>
  </si>
  <si>
    <t>RF013</t>
  </si>
  <si>
    <t>Reading Friend - Flamingo</t>
  </si>
  <si>
    <t>RF016</t>
  </si>
  <si>
    <t>Reading Friend - Fox</t>
  </si>
  <si>
    <t>RF011</t>
  </si>
  <si>
    <t>Reading Friend - Giraffe</t>
  </si>
  <si>
    <t>RF015</t>
  </si>
  <si>
    <t>Reading Friend - Horse</t>
  </si>
  <si>
    <t>RF014</t>
  </si>
  <si>
    <t>Reading Friend - Kangaroo</t>
  </si>
  <si>
    <t>RF006</t>
  </si>
  <si>
    <t>Reading Friend - Kiwi</t>
  </si>
  <si>
    <t>RF008</t>
  </si>
  <si>
    <t>Reading Friend - Koala</t>
  </si>
  <si>
    <t>RF005</t>
  </si>
  <si>
    <t>Reading Friend - Llama</t>
  </si>
  <si>
    <t>RF002</t>
  </si>
  <si>
    <t>Reading Friend - Platypus</t>
  </si>
  <si>
    <t>RF017</t>
  </si>
  <si>
    <t>Reading Friend - Rabbit</t>
  </si>
  <si>
    <t>RF012</t>
  </si>
  <si>
    <t>Reading Friend - Unicorn</t>
  </si>
  <si>
    <t>RF001</t>
  </si>
  <si>
    <t>Reading Friend - Wolf</t>
  </si>
  <si>
    <t>RF009</t>
  </si>
  <si>
    <t>Reading Friends NZ Set Up 36 units</t>
  </si>
  <si>
    <t>SPRFNZ</t>
  </si>
  <si>
    <t>Reading Friends Set Up 36 units</t>
  </si>
  <si>
    <t>SPRF</t>
  </si>
  <si>
    <t>Reading Socks - Blush Cable Knots Medium</t>
  </si>
  <si>
    <t>RS021</t>
  </si>
  <si>
    <t>Reading Socks - Bunny Medium</t>
  </si>
  <si>
    <t>RS019</t>
  </si>
  <si>
    <t>Reading Socks - Forest Green Knot Large</t>
  </si>
  <si>
    <t>RS030</t>
  </si>
  <si>
    <t>Reading Socks - Forest Green Knot Medium</t>
  </si>
  <si>
    <t>RS032</t>
  </si>
  <si>
    <t>Reading Socks - Ginger Cat mEDIUM</t>
  </si>
  <si>
    <t>RS025</t>
  </si>
  <si>
    <t>Reading Socks - Grey Cat Medium</t>
  </si>
  <si>
    <t>RS010</t>
  </si>
  <si>
    <t>Reading Socks - Grey Mix Cable Knot Large</t>
  </si>
  <si>
    <t>RS012</t>
  </si>
  <si>
    <t>Reading Socks - Grey Plait Knot Womens</t>
  </si>
  <si>
    <t>RS011</t>
  </si>
  <si>
    <t>Reading Socks - Horse</t>
  </si>
  <si>
    <t>RS028</t>
  </si>
  <si>
    <t>Reading Socks - Koala</t>
  </si>
  <si>
    <t>RS018</t>
  </si>
  <si>
    <t>Reading Socks - Labrador</t>
  </si>
  <si>
    <t>RS029</t>
  </si>
  <si>
    <t>Reading Socks - Mottled Dog</t>
  </si>
  <si>
    <t>RS016</t>
  </si>
  <si>
    <t>Reading Socks - Navy Cable Knot Large</t>
  </si>
  <si>
    <t>RS013</t>
  </si>
  <si>
    <t>Reading Socks - Navy Cable Knot Medium</t>
  </si>
  <si>
    <t>RS008</t>
  </si>
  <si>
    <t>Reading Socks - Nordic Blue Medium</t>
  </si>
  <si>
    <t>RS024</t>
  </si>
  <si>
    <t>Reading Socks - Nordic Heart Large</t>
  </si>
  <si>
    <t>RS022</t>
  </si>
  <si>
    <t>Reading Socks - Nordic Star Medium</t>
  </si>
  <si>
    <t>RS023</t>
  </si>
  <si>
    <t>Reading Socks - Pig Medium</t>
  </si>
  <si>
    <t>RS020</t>
  </si>
  <si>
    <t>Reading Socks - Pink Cable Knot Women</t>
  </si>
  <si>
    <t>RS007</t>
  </si>
  <si>
    <t>Reading Socks - Rainbow Unicorn</t>
  </si>
  <si>
    <t>RS026</t>
  </si>
  <si>
    <t>Reading Socks - Red Fox</t>
  </si>
  <si>
    <t>RS031</t>
  </si>
  <si>
    <t>Reading Socks - Silver Wolf Medium</t>
  </si>
  <si>
    <t>RS014</t>
  </si>
  <si>
    <t>Reading Socks - Unicorn</t>
  </si>
  <si>
    <t>RS017</t>
  </si>
  <si>
    <t>Reading Socks - White and Grey Top</t>
  </si>
  <si>
    <t>RS015</t>
  </si>
  <si>
    <t>Reading Socks Display</t>
  </si>
  <si>
    <t>RSD</t>
  </si>
  <si>
    <t>Reading Socks Half Set Up 2022 Presale</t>
  </si>
  <si>
    <t>RSSUD50</t>
  </si>
  <si>
    <t>Reading Socks Option 1 2023</t>
  </si>
  <si>
    <t>RSSUD1</t>
  </si>
  <si>
    <t>Reading Socks Option 1 2024</t>
  </si>
  <si>
    <t>RSSUD124</t>
  </si>
  <si>
    <t>Reading Socks Option 2 2023</t>
  </si>
  <si>
    <t>RSSUD2</t>
  </si>
  <si>
    <t>Reading Socks Option 2 2024</t>
  </si>
  <si>
    <t>RSSUD224</t>
  </si>
  <si>
    <t>Reading Socks Option 3 2023</t>
  </si>
  <si>
    <t>RSSUD3</t>
  </si>
  <si>
    <t>Reading Socks Option 3 2024</t>
  </si>
  <si>
    <t>RSSUD324</t>
  </si>
  <si>
    <t>Reading Socks Set Up</t>
  </si>
  <si>
    <t>RSSUD</t>
  </si>
  <si>
    <t>RECORDER IN A BOX IN CDU - HARLEQUIN</t>
  </si>
  <si>
    <t>RFS10940</t>
  </si>
  <si>
    <t>Rollers CDU</t>
  </si>
  <si>
    <t>CDUR</t>
  </si>
  <si>
    <t>Rollers Set Up</t>
  </si>
  <si>
    <t>SPR</t>
  </si>
  <si>
    <t>Rude Card - Congratulations</t>
  </si>
  <si>
    <t>FC007</t>
  </si>
  <si>
    <t>Rude Card - Happy Anniversary</t>
  </si>
  <si>
    <t>FC005</t>
  </si>
  <si>
    <t>Rude Card - I Love You</t>
  </si>
  <si>
    <t>FC003</t>
  </si>
  <si>
    <t>Rude Card - Legend</t>
  </si>
  <si>
    <t>FC008</t>
  </si>
  <si>
    <t>Rude Card - Queen of Everything</t>
  </si>
  <si>
    <t>FC004</t>
  </si>
  <si>
    <t>Rude Card - You Magnificent</t>
  </si>
  <si>
    <t>FC006</t>
  </si>
  <si>
    <t>Sassy Scent Candle - Adulting</t>
  </si>
  <si>
    <t>SSC006</t>
  </si>
  <si>
    <t>Sassy Scent Candle - Best Bitches</t>
  </si>
  <si>
    <t>SSC004</t>
  </si>
  <si>
    <t>Sassy Scent Candle - Boss Lady</t>
  </si>
  <si>
    <t>SSC002</t>
  </si>
  <si>
    <t>Sassy Scent Candle - Keep Going</t>
  </si>
  <si>
    <t>SSC003</t>
  </si>
  <si>
    <t>Satin Eyemask - William Morris (Blue Larkspur)</t>
  </si>
  <si>
    <t>WM004</t>
  </si>
  <si>
    <t>Satin Eyemask - William Morris (Grey Larkspur)</t>
  </si>
  <si>
    <t>WM012</t>
  </si>
  <si>
    <t>Satin Eyemask - William Morris (Rose Gold Larkspur)</t>
  </si>
  <si>
    <t>WM011</t>
  </si>
  <si>
    <t>Satin Pillowcases CDU</t>
  </si>
  <si>
    <t>CDUSP</t>
  </si>
  <si>
    <t>Satin Sleep Bonnets CDU</t>
  </si>
  <si>
    <t>CDUSSB</t>
  </si>
  <si>
    <t>Satin Sleep Bonnets Set Up</t>
  </si>
  <si>
    <t>SPSSB</t>
  </si>
  <si>
    <t>SAY IT WITH SOCKS - BEST DAD</t>
  </si>
  <si>
    <t>SWS001</t>
  </si>
  <si>
    <t>SAY IT WITH SOCKS - BEST GRANDPA</t>
  </si>
  <si>
    <t>SWS002</t>
  </si>
  <si>
    <t>SAY IT WITH SOCKS - LEGEND</t>
  </si>
  <si>
    <t>SWS003</t>
  </si>
  <si>
    <t>Scarf - RHS (Geo Mint)</t>
  </si>
  <si>
    <t>SCARHS02</t>
  </si>
  <si>
    <t>Scrunchies CDU</t>
  </si>
  <si>
    <t>CDUS</t>
  </si>
  <si>
    <t>Scrunchies Set Up</t>
  </si>
  <si>
    <t>SPS</t>
  </si>
  <si>
    <t>Shipping Australia</t>
  </si>
  <si>
    <t>Shipping New Zealand</t>
  </si>
  <si>
    <t>Shower Caps CDU</t>
  </si>
  <si>
    <t>CDUSC</t>
  </si>
  <si>
    <t>Shower Caps Set Up</t>
  </si>
  <si>
    <t>SPSC</t>
  </si>
  <si>
    <t>Snow Kiln Keep Cup - Angel Falls</t>
  </si>
  <si>
    <t>SK001</t>
  </si>
  <si>
    <t>Snow Kiln Keep Cup - Cherry Blossom</t>
  </si>
  <si>
    <t>SK002</t>
  </si>
  <si>
    <t>Snow Kiln Keep Cup - Midnight Grove</t>
  </si>
  <si>
    <t>SK006</t>
  </si>
  <si>
    <t>Snow Kiln Keep Cup - Peacock</t>
  </si>
  <si>
    <t>SK005</t>
  </si>
  <si>
    <t>Snow Kiln Keep Cup - Raspberry Field</t>
  </si>
  <si>
    <t>SK004</t>
  </si>
  <si>
    <t>Snow Kiln Keep Cup Set Up</t>
  </si>
  <si>
    <t>SKSU</t>
  </si>
  <si>
    <t>Snow Kiln Keep Cup- Snow White</t>
  </si>
  <si>
    <t>SK003</t>
  </si>
  <si>
    <t>Sofa Socks - Beer</t>
  </si>
  <si>
    <t>SS002</t>
  </si>
  <si>
    <t>Sofa Socks - Chocolate</t>
  </si>
  <si>
    <t>SS007</t>
  </si>
  <si>
    <t>Sofa Socks - Coffee</t>
  </si>
  <si>
    <t>SS003</t>
  </si>
  <si>
    <t>Sofa Socks - Gaming</t>
  </si>
  <si>
    <t>SS005</t>
  </si>
  <si>
    <t>Sofa Socks - Pizza</t>
  </si>
  <si>
    <t>SS006</t>
  </si>
  <si>
    <t>Sofa Socks - Reading</t>
  </si>
  <si>
    <t>SS004</t>
  </si>
  <si>
    <t>Sofa Socks - Tea</t>
  </si>
  <si>
    <t>SS008</t>
  </si>
  <si>
    <t>Sofa Socks - Wine</t>
  </si>
  <si>
    <t>SS001</t>
  </si>
  <si>
    <t>Sofa Socks CDU</t>
  </si>
  <si>
    <t>SSCDU</t>
  </si>
  <si>
    <t>SOFA SOCKS SET UP</t>
  </si>
  <si>
    <t>SSSP</t>
  </si>
  <si>
    <t>SOFA SOCKS SET UP TWO</t>
  </si>
  <si>
    <t>SSSP2</t>
  </si>
  <si>
    <t>SPARE PAIR - READING GLASSES +1.5</t>
  </si>
  <si>
    <t>SPARE PAIR - READING GLASSES +2.0</t>
  </si>
  <si>
    <t>SPARE PAIR - READING GLASSES +2.5</t>
  </si>
  <si>
    <t>SPARE PAIR (BRIGHTS)- READING GLASSES +1.5</t>
  </si>
  <si>
    <t>SPARE PAIR (BRIGHTS)- READING GLASSES +2.0</t>
  </si>
  <si>
    <t>SPARE PAIR (BRIGHTS)- READING GLASSES +2.5</t>
  </si>
  <si>
    <t>Star Scratch Map</t>
  </si>
  <si>
    <t>SM005</t>
  </si>
  <si>
    <t>STICKER GLITTER 120 PACK</t>
  </si>
  <si>
    <t>STG120</t>
  </si>
  <si>
    <t>STICKERS 4 FUN 120 PACK</t>
  </si>
  <si>
    <t>ST4F</t>
  </si>
  <si>
    <t>Success Albert Einstein</t>
  </si>
  <si>
    <t>SBM005</t>
  </si>
  <si>
    <t>Success Bookmark Set Up 72 units</t>
  </si>
  <si>
    <t>SBMSP</t>
  </si>
  <si>
    <t>Success Charlie Chaplin</t>
  </si>
  <si>
    <t>SBM006</t>
  </si>
  <si>
    <t>Success Eleanor Roosevelt</t>
  </si>
  <si>
    <t>SBM001</t>
  </si>
  <si>
    <t>Success Ernest Hemingway</t>
  </si>
  <si>
    <t>SBM011</t>
  </si>
  <si>
    <t>Success Mao's Last Dancer</t>
  </si>
  <si>
    <t>SBM012</t>
  </si>
  <si>
    <t>Success Marilyn Monroe</t>
  </si>
  <si>
    <t>SBM008</t>
  </si>
  <si>
    <t>Success Mark Twain</t>
  </si>
  <si>
    <t>SBM010</t>
  </si>
  <si>
    <t>Success Muhammad Ali</t>
  </si>
  <si>
    <t>SBM003</t>
  </si>
  <si>
    <t>Success Nelson Mandela</t>
  </si>
  <si>
    <t>SBM007</t>
  </si>
  <si>
    <t>Success Oscar Wilde</t>
  </si>
  <si>
    <t>SBM002</t>
  </si>
  <si>
    <t>Success Thomas Edison</t>
  </si>
  <si>
    <t>SBM009</t>
  </si>
  <si>
    <t>Success Winston Churchill</t>
  </si>
  <si>
    <t>SBM004</t>
  </si>
  <si>
    <t>Tea Infuser Mug - Blue Larkspur William Morris</t>
  </si>
  <si>
    <t>BM07</t>
  </si>
  <si>
    <t>Tea Infuser Mug - Fruit William Morris</t>
  </si>
  <si>
    <t>BM04</t>
  </si>
  <si>
    <t>Tea Infuser Mug - Hampton Stripe Bluhen</t>
  </si>
  <si>
    <t>BM05</t>
  </si>
  <si>
    <t>Tea Infuser Mug - Kilburn Bluhen</t>
  </si>
  <si>
    <t>BM06</t>
  </si>
  <si>
    <t>Tea Infuser Mug - Leopard Bluhen</t>
  </si>
  <si>
    <t>BM02</t>
  </si>
  <si>
    <t>Tea Infuser Mug - Peonie Rose Bluhen</t>
  </si>
  <si>
    <t>BM01</t>
  </si>
  <si>
    <t>Tea Infuser Mug - Strawberry Thief Red William Morris</t>
  </si>
  <si>
    <t>BM08</t>
  </si>
  <si>
    <t>Tea Infuser Mug - Strawberry Thief William Morris</t>
  </si>
  <si>
    <t>BM03</t>
  </si>
  <si>
    <t>TEA TOWEL - BOTH OF US CAN'T LOOK</t>
  </si>
  <si>
    <t>TEA6013</t>
  </si>
  <si>
    <t>TEA TOWEL - HOORAY</t>
  </si>
  <si>
    <t>TEA6017</t>
  </si>
  <si>
    <t>TEA TOWEL - I DON'T DO HOUSEWORK</t>
  </si>
  <si>
    <t>TEA3030</t>
  </si>
  <si>
    <t>TEA TOWEL - I ONLY HAVE A KITCHEN</t>
  </si>
  <si>
    <t>TEA6016</t>
  </si>
  <si>
    <t>TEA TOWEL SO BLOODY BLONDE NEW</t>
  </si>
  <si>
    <t>TEA36062</t>
  </si>
  <si>
    <t>Telescopic Pouch - Fruit</t>
  </si>
  <si>
    <t>TP03</t>
  </si>
  <si>
    <t>Telescopic Pouch - Larkspur</t>
  </si>
  <si>
    <t>TP01</t>
  </si>
  <si>
    <t>Telescopic Pouch - Leopard Print</t>
  </si>
  <si>
    <t>TP06</t>
  </si>
  <si>
    <t>Telescopic Pouch - Peonie Rose</t>
  </si>
  <si>
    <t>TP05</t>
  </si>
  <si>
    <t>Telescopic Pouch - Strawberry Thief</t>
  </si>
  <si>
    <t>TP02</t>
  </si>
  <si>
    <t>Telescopic Pouch - Wild Tulip</t>
  </si>
  <si>
    <t>TP04</t>
  </si>
  <si>
    <t>Terra Aus Bkmk - Echidna</t>
  </si>
  <si>
    <t>TA006</t>
  </si>
  <si>
    <t>Terra Aus Bkmk - Koalas</t>
  </si>
  <si>
    <t>TA009</t>
  </si>
  <si>
    <t>Terra Aus Bkmk - Kongouro</t>
  </si>
  <si>
    <t>TA010</t>
  </si>
  <si>
    <t>Terra Aus Bkmk - Parakeet</t>
  </si>
  <si>
    <t>TA001</t>
  </si>
  <si>
    <t>Terra Aus Bkmk - Platypus</t>
  </si>
  <si>
    <t>TA012</t>
  </si>
  <si>
    <t>Terra Aus Bkmk - Tasmanian Tiger</t>
  </si>
  <si>
    <t>TA007</t>
  </si>
  <si>
    <t>THE BOOK FAN SET UP 24 units</t>
  </si>
  <si>
    <t>SP348</t>
  </si>
  <si>
    <t>The Flexi Book Light Battery - Black</t>
  </si>
  <si>
    <t>FB001</t>
  </si>
  <si>
    <t>The Flexi Book Light Battery - Blue</t>
  </si>
  <si>
    <t>FB003</t>
  </si>
  <si>
    <t>The Flexi Book Light Battery - Pink</t>
  </si>
  <si>
    <t>FB004</t>
  </si>
  <si>
    <t>The Flexi Book Light Battery - White</t>
  </si>
  <si>
    <t>FB002</t>
  </si>
  <si>
    <t>The Flexi Book Light Rechargeable - Black</t>
  </si>
  <si>
    <t>RCBL001</t>
  </si>
  <si>
    <t>The Flexi Book Light Rechargeable - Blue</t>
  </si>
  <si>
    <t>RCBL003</t>
  </si>
  <si>
    <t>The Flexi Book Light Rechargeable - Pink</t>
  </si>
  <si>
    <t>RCBL002</t>
  </si>
  <si>
    <t>The Flexi Book Light Rechargeable - White</t>
  </si>
  <si>
    <t>RCBL004</t>
  </si>
  <si>
    <t>The Flexi Book Light Rechargeable Set Up</t>
  </si>
  <si>
    <t>RCBLSP</t>
  </si>
  <si>
    <t>THE ONLY BEAR FOR ME</t>
  </si>
  <si>
    <t>T8A</t>
  </si>
  <si>
    <t>The Smart Light - Black</t>
  </si>
  <si>
    <t>SL001</t>
  </si>
  <si>
    <t>The Smart Light - Midnight Blue</t>
  </si>
  <si>
    <t>SL005</t>
  </si>
  <si>
    <t>The Smart Light - Pink</t>
  </si>
  <si>
    <t>SL004</t>
  </si>
  <si>
    <t>The Smart Light - Purple</t>
  </si>
  <si>
    <t>SL002</t>
  </si>
  <si>
    <t>The Smart Light - Red</t>
  </si>
  <si>
    <t>SL006</t>
  </si>
  <si>
    <t>The Smart Light - Turquoise</t>
  </si>
  <si>
    <t>SL003</t>
  </si>
  <si>
    <t>THE STORY OF US</t>
  </si>
  <si>
    <t>F3B</t>
  </si>
  <si>
    <t>The Ultimate Book Light BATTERY - Black</t>
  </si>
  <si>
    <t>ULB001</t>
  </si>
  <si>
    <t>The Ultimate Book Light Rechargeable - Black</t>
  </si>
  <si>
    <t>UBR001</t>
  </si>
  <si>
    <t>The Ultimate Book Light Rechargeable - Black (ULR001)</t>
  </si>
  <si>
    <t>ULR001</t>
  </si>
  <si>
    <t>TIMELESS COLLECTION - DEAR DAD</t>
  </si>
  <si>
    <t>AT2</t>
  </si>
  <si>
    <t>TIMELESS COLLECTION - DEAR GRANDAD</t>
  </si>
  <si>
    <t>AT4</t>
  </si>
  <si>
    <t>TIMELESS COLLECTION - DEAR GRANDMA</t>
  </si>
  <si>
    <t>AT3</t>
  </si>
  <si>
    <t>TIMELESS COLLECTION - DEAR MUM</t>
  </si>
  <si>
    <t>AT1</t>
  </si>
  <si>
    <t>Toiletry Bag - William Morris Lavender Strawberry Thief</t>
  </si>
  <si>
    <t>WM023</t>
  </si>
  <si>
    <t>Toiletry Bag - William Morris Mint Larkspur</t>
  </si>
  <si>
    <t>WM022</t>
  </si>
  <si>
    <t>Toiletry Bag - William Morris Sweet Briar</t>
  </si>
  <si>
    <t>WM024</t>
  </si>
  <si>
    <t>Tote Bag - Book Hangover</t>
  </si>
  <si>
    <t>TB001</t>
  </si>
  <si>
    <t>Tote Bag - Books Need Me Too</t>
  </si>
  <si>
    <t>TB012</t>
  </si>
  <si>
    <t>Tote Bag - Man of My Dreams</t>
  </si>
  <si>
    <t>TB011</t>
  </si>
  <si>
    <t>Tote Bag - One More Chapter</t>
  </si>
  <si>
    <t>TB008</t>
  </si>
  <si>
    <t>Tote Bag - Read Books Drink Tea</t>
  </si>
  <si>
    <t>TB010</t>
  </si>
  <si>
    <t>Tote Bag - Too Many Books</t>
  </si>
  <si>
    <t>TB009</t>
  </si>
  <si>
    <t>TRAVEL BOOK REST - BLUE</t>
  </si>
  <si>
    <t>TRAVEL BOOK REST - GREY</t>
  </si>
  <si>
    <t>TRAVEL BOOK REST - MINT</t>
  </si>
  <si>
    <t>Travel Book Rest Starter Pack</t>
  </si>
  <si>
    <t>SP358</t>
  </si>
  <si>
    <t>TRAVEL BOOK RESTS CDU</t>
  </si>
  <si>
    <t>CDU358</t>
  </si>
  <si>
    <t>Turban Shower Cap - William Morris Blue Larkspur</t>
  </si>
  <si>
    <t>SC01</t>
  </si>
  <si>
    <t>Turban Shower Cap - William Morris Fruit</t>
  </si>
  <si>
    <t>SC02</t>
  </si>
  <si>
    <t>Turban Shower Cap - William Morris Strawberry Thief</t>
  </si>
  <si>
    <t>SC03</t>
  </si>
  <si>
    <t>Turban Shower Cap - William Morris Strawberry Thief Red</t>
  </si>
  <si>
    <t>SC04</t>
  </si>
  <si>
    <t>Turban Shower Cap - William Morris Wild Tulip</t>
  </si>
  <si>
    <t>SC05</t>
  </si>
  <si>
    <t>Ultra Book Light Rechargeable - Black</t>
  </si>
  <si>
    <t>UBL01</t>
  </si>
  <si>
    <t>Umbrella - BluHen - Black Floral</t>
  </si>
  <si>
    <t>BH49</t>
  </si>
  <si>
    <t>Umbrella - William Morris (Lavender Strawberry Thief)</t>
  </si>
  <si>
    <t>WM033</t>
  </si>
  <si>
    <t>Umbrella - William Morris Lavender Strawberry Thief ( Original)</t>
  </si>
  <si>
    <t>WM033A</t>
  </si>
  <si>
    <t>Umbrella Metal Stand</t>
  </si>
  <si>
    <t>UMS1</t>
  </si>
  <si>
    <t>Umbrella Set Up - Mixed</t>
  </si>
  <si>
    <t>UBSU</t>
  </si>
  <si>
    <t>USFBA 101 Movies Scratch Poster</t>
  </si>
  <si>
    <t>USFBASM006</t>
  </si>
  <si>
    <t>USFBA Baby Talk Bibs Gift Pack of 6</t>
  </si>
  <si>
    <t>USFBABTB6PK</t>
  </si>
  <si>
    <t>USFBA Beaches Calendar</t>
  </si>
  <si>
    <t>USFBASWC015</t>
  </si>
  <si>
    <t>USFBA Book Lovers Calendar</t>
  </si>
  <si>
    <t>USFBASWC008</t>
  </si>
  <si>
    <t>USFBA Cat Dreams Square Calendar</t>
  </si>
  <si>
    <t>USFBASWC002</t>
  </si>
  <si>
    <t>USFBA Dinosaur Calendar</t>
  </si>
  <si>
    <t>USFBASWC007</t>
  </si>
  <si>
    <t>USFBA Dog Pooping Calendar</t>
  </si>
  <si>
    <t>USFBASWC009</t>
  </si>
  <si>
    <t>USFBA Dog Shaming Calendar</t>
  </si>
  <si>
    <t>USFBASWC005</t>
  </si>
  <si>
    <t>USFBA Fold Away Book Holder - A Room Without A Book</t>
  </si>
  <si>
    <t>USFBAFABH1</t>
  </si>
  <si>
    <t>USFBA GlassWear Black Stretch Silk - Silver Alloy</t>
  </si>
  <si>
    <t>USFBAGW005</t>
  </si>
  <si>
    <t>USFBA Horses Calendar</t>
  </si>
  <si>
    <t>USFBASWC013</t>
  </si>
  <si>
    <t>USFBA Llama Love Calendar</t>
  </si>
  <si>
    <t>USFBASWC006</t>
  </si>
  <si>
    <t>USFBA Love Sloth Calendar</t>
  </si>
  <si>
    <t>USFBASWC004</t>
  </si>
  <si>
    <t>USFBA National Parks Calendar</t>
  </si>
  <si>
    <t>USFBASWC011</t>
  </si>
  <si>
    <t>USFBA Nature's Dicks Calendar</t>
  </si>
  <si>
    <t>USFBASWC012</t>
  </si>
  <si>
    <t>USFBA Space Calendar</t>
  </si>
  <si>
    <t>USFBASWC001</t>
  </si>
  <si>
    <t>USFBA Unicorn Square Calendar</t>
  </si>
  <si>
    <t>USFBASWC003</t>
  </si>
  <si>
    <t>USFBA Wolves Calendar</t>
  </si>
  <si>
    <t>USFBASWC014</t>
  </si>
  <si>
    <t>USFBM Dog Pooping Calendar</t>
  </si>
  <si>
    <t>USFBMSWC009</t>
  </si>
  <si>
    <t>Vitals - Beer Chillers Pair</t>
  </si>
  <si>
    <t>DA004</t>
  </si>
  <si>
    <t>Vitals - Cocktail Shaker Set</t>
  </si>
  <si>
    <t>DA008</t>
  </si>
  <si>
    <t>Vitals - Double Wall Beer Glass</t>
  </si>
  <si>
    <t>DA014</t>
  </si>
  <si>
    <t>Vitals - Double Wall Coffee Mug</t>
  </si>
  <si>
    <t>DA018</t>
  </si>
  <si>
    <t>Vitals - Double Wall Wine Glass</t>
  </si>
  <si>
    <t>DA015</t>
  </si>
  <si>
    <t>Vitals - Gin Stones</t>
  </si>
  <si>
    <t>DA001</t>
  </si>
  <si>
    <t>Vitals - Glass Tea Cup w Infuser</t>
  </si>
  <si>
    <t>DA016</t>
  </si>
  <si>
    <t>Vitals - Ice Cube Silicon Tray</t>
  </si>
  <si>
    <t>DA013</t>
  </si>
  <si>
    <t>Vitals - Ice Sphere Silicon Tray</t>
  </si>
  <si>
    <t>DA012</t>
  </si>
  <si>
    <t>Vitals - Spritz Stones</t>
  </si>
  <si>
    <t>DA002</t>
  </si>
  <si>
    <t>Vitals - Storage Jar w Cork</t>
  </si>
  <si>
    <t>DA017</t>
  </si>
  <si>
    <t>Vitals - Whiskey Stones</t>
  </si>
  <si>
    <t>DA003</t>
  </si>
  <si>
    <t>Vitals - Wine Aerator</t>
  </si>
  <si>
    <t>DA006</t>
  </si>
  <si>
    <t>Vitals - Wine Bottle Gift Set Large</t>
  </si>
  <si>
    <t>DA010</t>
  </si>
  <si>
    <t>Vitals - Wine Chiller</t>
  </si>
  <si>
    <t>DA005</t>
  </si>
  <si>
    <t>Vitals - Wine Pourer Aerator</t>
  </si>
  <si>
    <t>DA007</t>
  </si>
  <si>
    <t>Vitals - Wine Vacuum Pump</t>
  </si>
  <si>
    <t>DA009</t>
  </si>
  <si>
    <t>Vitals Stones CDU</t>
  </si>
  <si>
    <t>CDUVS</t>
  </si>
  <si>
    <t>Vitals Stones Set Up</t>
  </si>
  <si>
    <t>SPVS</t>
  </si>
  <si>
    <t>Warming Coaster Court Date</t>
  </si>
  <si>
    <t>WMC006</t>
  </si>
  <si>
    <t>WARMING COASTER DISPLAY</t>
  </si>
  <si>
    <t>WCD</t>
  </si>
  <si>
    <t>Warming Coaster Drink Coffee</t>
  </si>
  <si>
    <t>WMC004</t>
  </si>
  <si>
    <t>Warming Coaster My Farts</t>
  </si>
  <si>
    <t>WMC001</t>
  </si>
  <si>
    <t>Warming Coaster Queen of</t>
  </si>
  <si>
    <t>WMC002</t>
  </si>
  <si>
    <t>Warming Coaster Stop to think</t>
  </si>
  <si>
    <t>WMC003</t>
  </si>
  <si>
    <t>Warming Coaster Ways to heart</t>
  </si>
  <si>
    <t>WMC005</t>
  </si>
  <si>
    <t>Warming Coasters Hug in a Cup</t>
  </si>
  <si>
    <t>WMC010</t>
  </si>
  <si>
    <t>Warming Coasters I Like To Party</t>
  </si>
  <si>
    <t>WMC009</t>
  </si>
  <si>
    <t>Warming Coasters Liquid Wisdom</t>
  </si>
  <si>
    <t>WMC012</t>
  </si>
  <si>
    <t>Warming Coasters Moon and Back</t>
  </si>
  <si>
    <t>WMC011</t>
  </si>
  <si>
    <t>Warming Coasters No Tea No Work</t>
  </si>
  <si>
    <t>WMC008</t>
  </si>
  <si>
    <t>Warming Coasters Set Up Coffee</t>
  </si>
  <si>
    <t>WMCCSP</t>
  </si>
  <si>
    <t>Warming Coasters Set Up Tea</t>
  </si>
  <si>
    <t>WMCTSP</t>
  </si>
  <si>
    <t>Warming Coasters Whisky Tea</t>
  </si>
  <si>
    <t>WMC007</t>
  </si>
  <si>
    <t>Washbag - Planet Cat (Mysterious Folk)</t>
  </si>
  <si>
    <t>WBAGPC01</t>
  </si>
  <si>
    <t>Washbag - RHS (PVC Coral)</t>
  </si>
  <si>
    <t>MAKERHS04</t>
  </si>
  <si>
    <t>Water Bottle - Fruit William Morris</t>
  </si>
  <si>
    <t>WB02</t>
  </si>
  <si>
    <t>Water Bottle - Kilburn Blu-hen</t>
  </si>
  <si>
    <t>WB07</t>
  </si>
  <si>
    <t>Water Bottle - Monet Water Lilies Blu-hen</t>
  </si>
  <si>
    <t>WB10</t>
  </si>
  <si>
    <t>Water Bottle - Peonie Rose Blu-hen</t>
  </si>
  <si>
    <t>WB05</t>
  </si>
  <si>
    <t>Water Bottle - Strawberry Thief William Morris</t>
  </si>
  <si>
    <t>WB06</t>
  </si>
  <si>
    <t>Water Bottle - Van Gogh Sunflowers Blu-hen</t>
  </si>
  <si>
    <t>WB09</t>
  </si>
  <si>
    <t>WELCOME TO THE WORLD - Lucy Tapper</t>
  </si>
  <si>
    <t>T2A</t>
  </si>
  <si>
    <t>White Noise Machine Rechargeable</t>
  </si>
  <si>
    <t>ABL007</t>
  </si>
  <si>
    <t>William Moris Bookmarks Starter Pack</t>
  </si>
  <si>
    <t>WMBSP</t>
  </si>
  <si>
    <t>William Morris Bookmark Bluten</t>
  </si>
  <si>
    <t>WMB012</t>
  </si>
  <si>
    <t>William Morris Bookmark Cherwell</t>
  </si>
  <si>
    <t>WMB010</t>
  </si>
  <si>
    <t>William Morris Bookmark Fruit</t>
  </si>
  <si>
    <t>WMB003</t>
  </si>
  <si>
    <t>William Morris Bookmark Jasmine</t>
  </si>
  <si>
    <t>WMB002</t>
  </si>
  <si>
    <t>William Morris Bookmark Larkspur</t>
  </si>
  <si>
    <t>WMB008</t>
  </si>
  <si>
    <t>William Morris Bookmark Marigold</t>
  </si>
  <si>
    <t>WMB001</t>
  </si>
  <si>
    <t>William Morris Bookmark Muster</t>
  </si>
  <si>
    <t>WMB011</t>
  </si>
  <si>
    <t>William Morris Bookmark Strawberry Thief</t>
  </si>
  <si>
    <t>WMB006</t>
  </si>
  <si>
    <t>William Morris Bookmark Sunflower</t>
  </si>
  <si>
    <t>WMB007</t>
  </si>
  <si>
    <t>William Morris Bookmark Sweet Briar</t>
  </si>
  <si>
    <t>WMB009</t>
  </si>
  <si>
    <t>William Morris Bookmark Wild Tulip</t>
  </si>
  <si>
    <t>WMB005</t>
  </si>
  <si>
    <t>William Morris Bookmark Willow Bough</t>
  </si>
  <si>
    <t>WMB004</t>
  </si>
  <si>
    <t>Scarf - Blue Larkspur</t>
  </si>
  <si>
    <t>WM042</t>
  </si>
  <si>
    <t>Scarf - Lavender Strawberry Thief</t>
  </si>
  <si>
    <t>WM040</t>
  </si>
  <si>
    <t>Scarf - Sweet Briar</t>
  </si>
  <si>
    <t>WM041</t>
  </si>
  <si>
    <t>WIRE BOOKMARK STAND</t>
  </si>
  <si>
    <t>BMWS</t>
  </si>
  <si>
    <t>Wonders of Learning Model Set - Human Body</t>
  </si>
  <si>
    <t>WOLNMS04A</t>
  </si>
  <si>
    <t>WONDERS OF LEARNING MODEL SET - MEGASTRUCTURES</t>
  </si>
  <si>
    <t>WOLNMS06A</t>
  </si>
  <si>
    <t>Wonders of Learning Model Set - Space</t>
  </si>
  <si>
    <t>WOLNMSO5A</t>
  </si>
  <si>
    <t>WOW Cards Set Up</t>
  </si>
  <si>
    <t>WOWSU</t>
  </si>
  <si>
    <t>WOW CDU</t>
  </si>
  <si>
    <t>CDUWOW</t>
  </si>
  <si>
    <t>WOW! YOU'RE 1</t>
  </si>
  <si>
    <t>WOW1</t>
  </si>
  <si>
    <t>WOW! YOU'RE 2</t>
  </si>
  <si>
    <t>WOW2</t>
  </si>
  <si>
    <t>WOW! YOU'RE 3</t>
  </si>
  <si>
    <t>WOW3</t>
  </si>
  <si>
    <t>WOW! YOU'RE 4</t>
  </si>
  <si>
    <t>WOW4</t>
  </si>
  <si>
    <t>WOW! YOU'RE 5</t>
  </si>
  <si>
    <t>WOW5</t>
  </si>
  <si>
    <t>WOW! YOU'RE 6</t>
  </si>
  <si>
    <t>WOW6</t>
  </si>
  <si>
    <t>Wrap Light Rechargeable - Black</t>
  </si>
  <si>
    <t>WL002</t>
  </si>
  <si>
    <t>Wrap Light Rechargeable - White</t>
  </si>
  <si>
    <t>WL003</t>
  </si>
  <si>
    <t>YOU'RE THE BIGGEST - Lucy Tapper</t>
  </si>
  <si>
    <t>T2B</t>
  </si>
  <si>
    <t>Zip Portfolio Black Big Plan</t>
  </si>
  <si>
    <t>RFS12004</t>
  </si>
  <si>
    <t>Zip Portfolio Black Genius at Work</t>
  </si>
  <si>
    <t>RFS12005</t>
  </si>
  <si>
    <t>Zip Portfolio Black Gents Take Note</t>
  </si>
  <si>
    <t>RFS12006</t>
  </si>
  <si>
    <t>Zip Portfolio Dark Brown with Bike Icon with brown zip</t>
  </si>
  <si>
    <t>RFS12011</t>
  </si>
  <si>
    <t>Zip Portfolio Silver with embossed Butterfly Icon white zip with tassel</t>
  </si>
  <si>
    <t>RFS12010</t>
  </si>
  <si>
    <t>Purchase Order Date</t>
  </si>
  <si>
    <t>Purchase Order Number</t>
  </si>
  <si>
    <t>Purchase Order Status</t>
  </si>
  <si>
    <t>Vendor Name</t>
  </si>
  <si>
    <t>Quantity Ordered</t>
  </si>
  <si>
    <t>Item Price</t>
  </si>
  <si>
    <t>SHIPMENT</t>
  </si>
  <si>
    <t>PO-00713</t>
  </si>
  <si>
    <t>Issued</t>
  </si>
  <si>
    <t>ZHEJIANG XINHONGZHOU TRADING CO., LTD.</t>
  </si>
  <si>
    <t>Reading Socks - Labrador Medium</t>
  </si>
  <si>
    <t>ETA MAR 7</t>
  </si>
  <si>
    <t>Reading Socks - Labrador Small</t>
  </si>
  <si>
    <t>RS044</t>
  </si>
  <si>
    <t>Reading Socks - Grey Cat Small</t>
  </si>
  <si>
    <t>RS041</t>
  </si>
  <si>
    <t>Reading Socks - Rainbow Unicorn Medium</t>
  </si>
  <si>
    <t>Reading Socks - Rainbow Unicorn Small</t>
  </si>
  <si>
    <t>RS043</t>
  </si>
  <si>
    <t>Reading Socks - Red Fox Medium</t>
  </si>
  <si>
    <t>Reading Socks - Red Fox Small</t>
  </si>
  <si>
    <t>RS045</t>
  </si>
  <si>
    <t>Reading Socks - Mottled Dog Medium</t>
  </si>
  <si>
    <t>Reading Socks - Mottled Dog Small</t>
  </si>
  <si>
    <t>RS040</t>
  </si>
  <si>
    <t>Reading Socks - Bunny Small</t>
  </si>
  <si>
    <t>RS046</t>
  </si>
  <si>
    <t>Reading Socks - Cats, Coffee and Books</t>
  </si>
  <si>
    <t>RS047</t>
  </si>
  <si>
    <t>NEW ITEM</t>
  </si>
  <si>
    <t>Reading Socks - Just One More Chapter</t>
  </si>
  <si>
    <t>RS048</t>
  </si>
  <si>
    <t>Reading Socks - It's Not Hoarding If It's Books</t>
  </si>
  <si>
    <t>RS049</t>
  </si>
  <si>
    <t>Reading Socks - In My Romantasy Era</t>
  </si>
  <si>
    <t>RS050</t>
  </si>
  <si>
    <t>Reading Socks - Enemies To Lovers</t>
  </si>
  <si>
    <t>RS051</t>
  </si>
  <si>
    <t>Reading Socks - Fly or Die</t>
  </si>
  <si>
    <t>RS052</t>
  </si>
  <si>
    <t>Reading Socks - Kangaroo New</t>
  </si>
  <si>
    <t>RS053</t>
  </si>
  <si>
    <t>Reading Socks - Koala New</t>
  </si>
  <si>
    <t>RS054</t>
  </si>
  <si>
    <t>PO-00718</t>
  </si>
  <si>
    <t>Dongguan Zhong Fan Packaging Products Co.,Ltd</t>
  </si>
  <si>
    <t>Journal - A5 Australian Natives Lined</t>
  </si>
  <si>
    <t>J20</t>
  </si>
  <si>
    <t>Journal - A5 Golden Wattle Lined</t>
  </si>
  <si>
    <t>J21</t>
  </si>
  <si>
    <t>Journal A5 - Quiet Blossom</t>
  </si>
  <si>
    <t>J36</t>
  </si>
  <si>
    <t>Journal A5 - Falling Free</t>
  </si>
  <si>
    <t>J37</t>
  </si>
  <si>
    <t>Journal A6 - Quiet Blossom</t>
  </si>
  <si>
    <t>JA611</t>
  </si>
  <si>
    <t>Journal A6 - Falling Free</t>
  </si>
  <si>
    <t>JA612</t>
  </si>
  <si>
    <t>Journal - A7 Strawberry Thief w/ Pen</t>
  </si>
  <si>
    <t>JA701</t>
  </si>
  <si>
    <t>Journal - A7 Australian Natives w/ Pen</t>
  </si>
  <si>
    <t>JA704</t>
  </si>
  <si>
    <t>Journal - A7 Golden Wattle w/ Pen</t>
  </si>
  <si>
    <t>JA705</t>
  </si>
  <si>
    <t>Journal A7 w/ Pen - Quiet Blossom</t>
  </si>
  <si>
    <t>JA707</t>
  </si>
  <si>
    <t>Journal A7 w/ Pen - Falling Free</t>
  </si>
  <si>
    <t>JA708</t>
  </si>
  <si>
    <t>PO-00719</t>
  </si>
  <si>
    <t>Yiwu Boutique Accessories</t>
  </si>
  <si>
    <t>Scarf - Australian Natives</t>
  </si>
  <si>
    <t>SCA013</t>
  </si>
  <si>
    <t>Scarf - Quiet Blossom</t>
  </si>
  <si>
    <t>SCA015</t>
  </si>
  <si>
    <t>Scarf - Falling Free</t>
  </si>
  <si>
    <t>SCA016</t>
  </si>
  <si>
    <t>PO-00720</t>
  </si>
  <si>
    <t>Cangnan County Rhythm Packaging Bag-Manufacturing Co., Ltd.</t>
  </si>
  <si>
    <t>Tote Bag - Cats, Coffee &amp; Books</t>
  </si>
  <si>
    <t>TB024</t>
  </si>
  <si>
    <t>Tote Bag - Dogs &amp; Books</t>
  </si>
  <si>
    <t>TB025</t>
  </si>
  <si>
    <t>Tote Bag - No such thing</t>
  </si>
  <si>
    <t>TB026</t>
  </si>
  <si>
    <t>Tote Bag - Quiet Blossom</t>
  </si>
  <si>
    <t>TB038</t>
  </si>
  <si>
    <t>Tote Bag - Falling Free</t>
  </si>
  <si>
    <t>TB039</t>
  </si>
  <si>
    <t>PO-00721</t>
  </si>
  <si>
    <t>Yongkang Fuxin Vacuum Containers Co., Ltd.</t>
  </si>
  <si>
    <t>Water Bottle - Australian Natives</t>
  </si>
  <si>
    <t>WB11</t>
  </si>
  <si>
    <t>Water Bottle - Golden Wattle</t>
  </si>
  <si>
    <t>WB12</t>
  </si>
  <si>
    <t>Water Bottle - Falling Free</t>
  </si>
  <si>
    <t>WB15</t>
  </si>
  <si>
    <t>Water Bottle Packaging</t>
  </si>
  <si>
    <t>WBPG</t>
  </si>
  <si>
    <t>PO-00722</t>
  </si>
  <si>
    <t>The Source Design Collections Fujian</t>
  </si>
  <si>
    <t>Hand Cream - Quiet Blossom</t>
  </si>
  <si>
    <t>CR050</t>
  </si>
  <si>
    <t>Hand Cream - Falling Free</t>
  </si>
  <si>
    <t>CR051</t>
  </si>
  <si>
    <t>Large Hand Cream - Quiet Blossom</t>
  </si>
  <si>
    <t>CR052</t>
  </si>
  <si>
    <t>Large Hand Cream - Falling Free</t>
  </si>
  <si>
    <t>CR053</t>
  </si>
  <si>
    <t>Hand Cream Tester - Quiet Blossom</t>
  </si>
  <si>
    <t>CRT08</t>
  </si>
  <si>
    <t>Hand Cream Tester - Falling Free</t>
  </si>
  <si>
    <t>CRT09</t>
  </si>
  <si>
    <t>PO-00723</t>
  </si>
  <si>
    <t>Xiamen Green Field Co., Ltd.</t>
  </si>
  <si>
    <t>Pen Pouch - Quiet Blossom</t>
  </si>
  <si>
    <t>PP07</t>
  </si>
  <si>
    <t>Pen Pouch - Falling Free</t>
  </si>
  <si>
    <t>PP08</t>
  </si>
  <si>
    <t>PO-00724</t>
  </si>
  <si>
    <t>TianTian Xing Pens Manufacturer Co.,Ltd</t>
  </si>
  <si>
    <t>Rollerball Pen - Quiet Blossom</t>
  </si>
  <si>
    <t>PEN11</t>
  </si>
  <si>
    <t>Rollerball Pen - Falling Free</t>
  </si>
  <si>
    <t>PEN12</t>
  </si>
  <si>
    <t>PO-00726</t>
  </si>
  <si>
    <t>SHENZEN RUIMEI DISPLAY INDUSTRY</t>
  </si>
  <si>
    <t>Black Floor Spinner Rotating Base</t>
  </si>
  <si>
    <t>BFSRB</t>
  </si>
  <si>
    <t>PO-00729</t>
  </si>
  <si>
    <t>Tote Bag - Just One More Chapter</t>
  </si>
  <si>
    <t>TB031</t>
  </si>
  <si>
    <t>Romantasy Tote Bag - In My Romantasy Era</t>
  </si>
  <si>
    <t>TB032</t>
  </si>
  <si>
    <t>Romantasy Tote Bag - Fly Or Die</t>
  </si>
  <si>
    <t>TB033</t>
  </si>
  <si>
    <t>Romantasy Tote Bag - I don't Kneel To Fae Kings</t>
  </si>
  <si>
    <t>TB034</t>
  </si>
  <si>
    <t>Romantasy Tote Bag - Enemies To Lovers</t>
  </si>
  <si>
    <t>TB035</t>
  </si>
  <si>
    <t>Romantasy Tote Bag - I Can Fix Him Or Join Him</t>
  </si>
  <si>
    <t>TB036</t>
  </si>
  <si>
    <t>PO-00730</t>
  </si>
  <si>
    <t>Hebei Tsibo Textile Import And Export Co., Ltd.</t>
  </si>
  <si>
    <t>Ice Silk Wrap - Australian Natives</t>
  </si>
  <si>
    <t>ISW04</t>
  </si>
  <si>
    <t>Ice Silk Wrap - Quiet Blossom</t>
  </si>
  <si>
    <t>ISW07</t>
  </si>
  <si>
    <t>Ice Silk Wrap - Falling Free</t>
  </si>
  <si>
    <t>ISW08</t>
  </si>
  <si>
    <t>PO-00731</t>
  </si>
  <si>
    <t>Huizhou Hesanjiang Umbrella Co., Ltd.</t>
  </si>
  <si>
    <t>Umbrella Small - Australian Natives</t>
  </si>
  <si>
    <t>UMB012</t>
  </si>
  <si>
    <t>Umbrella Small - Quiet Blossom</t>
  </si>
  <si>
    <t>UMB014</t>
  </si>
  <si>
    <t>Umbrella Small - Falling Free</t>
  </si>
  <si>
    <t>UMB015</t>
  </si>
  <si>
    <t>PO-00733</t>
  </si>
  <si>
    <t>LIAOCHENG XIANMING LASER CO., LTD.</t>
  </si>
  <si>
    <t>MACHINE PARTS</t>
  </si>
  <si>
    <t>PO-00734</t>
  </si>
  <si>
    <t>LINYI SHUOWO INTERNATIONAL TRADECO., LTD</t>
  </si>
  <si>
    <t>Basswood Plywood 1.5mm 90cm x 60cm</t>
  </si>
  <si>
    <t>PLY8A</t>
  </si>
  <si>
    <t>Basswood Plywood 1.5mm 90cm x 30cm</t>
  </si>
  <si>
    <t>PLY8B</t>
  </si>
  <si>
    <t>Water Bottle - Quiet Blossom</t>
  </si>
  <si>
    <t>WB14</t>
  </si>
  <si>
    <t>BALANCE / AFTER CNY</t>
  </si>
  <si>
    <t>PO-00735</t>
  </si>
  <si>
    <t>C5 White Kraft Envelope</t>
  </si>
  <si>
    <t>C5WKE</t>
  </si>
  <si>
    <t>NEW ORDER</t>
  </si>
  <si>
    <t xml:space="preserve">AFTER  CNY </t>
  </si>
  <si>
    <t>C6 Brown Kraft Envelope</t>
  </si>
  <si>
    <t>C6BKE</t>
  </si>
  <si>
    <t>PO-00736</t>
  </si>
  <si>
    <t>Draft</t>
  </si>
  <si>
    <t>Keyring Display Card</t>
  </si>
  <si>
    <t>KRDC</t>
  </si>
  <si>
    <t>Magnet Display Card</t>
  </si>
  <si>
    <t>MGDC</t>
  </si>
  <si>
    <t>PO-00727</t>
  </si>
  <si>
    <t>Shenzhen Hua Mei Industry Development Limited</t>
  </si>
  <si>
    <t>Tea Infuser Mug - Quiet Blossom</t>
  </si>
  <si>
    <t>BM22</t>
  </si>
  <si>
    <t>Tea Infuser Mug - The Reset</t>
  </si>
  <si>
    <t>BM23</t>
  </si>
  <si>
    <t>PO-00717</t>
  </si>
  <si>
    <t>Wuxi Best Packaging Product Co., Ltd.</t>
  </si>
  <si>
    <t>Glasses Case - Australian Natives</t>
  </si>
  <si>
    <t>GC014</t>
  </si>
  <si>
    <t>TO FINISH MID MARCH (NEW SUPPLIER)</t>
  </si>
  <si>
    <t>Glasses Case - Quiet Blossom</t>
  </si>
  <si>
    <t>GC017</t>
  </si>
  <si>
    <t>Glasses Case - Falling Free</t>
  </si>
  <si>
    <t>GC018</t>
  </si>
  <si>
    <t>Travel Case - Strawberry Thief Blue</t>
  </si>
  <si>
    <t>TC020</t>
  </si>
  <si>
    <t>Travel Case - Australian Natives</t>
  </si>
  <si>
    <t>TC030</t>
  </si>
  <si>
    <t>Travel Case - Quiet Blossom</t>
  </si>
  <si>
    <t>TC033</t>
  </si>
  <si>
    <t>Travel Case - Falling Free</t>
  </si>
  <si>
    <t>TC034</t>
  </si>
  <si>
    <t>INVENTORY VALUATION FEB 23 SOH</t>
  </si>
  <si>
    <t>Stock On Hand</t>
  </si>
  <si>
    <t>Inventory Asset Value</t>
  </si>
  <si>
    <t>Stock value</t>
  </si>
  <si>
    <t>inventory_account</t>
  </si>
  <si>
    <t>status</t>
  </si>
  <si>
    <t>item.CF.Planning Group</t>
  </si>
  <si>
    <t>item.CF.Product Category</t>
  </si>
  <si>
    <t>1 Compact Lenses Chilli</t>
  </si>
  <si>
    <t>Finished Goods</t>
  </si>
  <si>
    <t>inactive</t>
  </si>
  <si>
    <t>DELETED</t>
  </si>
  <si>
    <t>1 Compact Lenses Jet</t>
  </si>
  <si>
    <t>1 Compact Lenses Olive</t>
  </si>
  <si>
    <t>1 Compact Lenses Orchid</t>
  </si>
  <si>
    <t>1 Compact Lenses Storm</t>
  </si>
  <si>
    <t>1 Compact Lenses Twilight</t>
  </si>
  <si>
    <t>1.5 Compact Lenses Chilli</t>
  </si>
  <si>
    <t>1.5 Compact Lenses Olive</t>
  </si>
  <si>
    <t>1.5 Compact Lenses Orchid</t>
  </si>
  <si>
    <t>1.5 Compact Lenses Storm</t>
  </si>
  <si>
    <t>1.5 Compact Lenses Twilight</t>
  </si>
  <si>
    <t>100 PIECE CUBE JIGSAW PUZZLE - EARTH</t>
  </si>
  <si>
    <t>RFS11363</t>
  </si>
  <si>
    <t>Puzzles Jigsaw</t>
  </si>
  <si>
    <t>100 PIECE CUBE JIGSAW PUZZLE - SOLAR SYSTEM PLANET</t>
  </si>
  <si>
    <t>RFS11364</t>
  </si>
  <si>
    <t>100 PIECE CUBE JIGSAW PUZZLE - VINTAGE MAP</t>
  </si>
  <si>
    <t>RFS11356</t>
  </si>
  <si>
    <t>active</t>
  </si>
  <si>
    <t>9Z Do Not Reorder- Discontinued</t>
  </si>
  <si>
    <t>Jigsaw Puzzles</t>
  </si>
  <si>
    <t>Scratch Off</t>
  </si>
  <si>
    <t>101 Movies Scratch Poster</t>
  </si>
  <si>
    <t>SM006</t>
  </si>
  <si>
    <t>125 PIECE MAGIC TRICK SET</t>
  </si>
  <si>
    <t>RFS11642</t>
  </si>
  <si>
    <t>2 CASTANETS IN A PRINTED BOX - HARLEQUIN</t>
  </si>
  <si>
    <t>RFS11652</t>
  </si>
  <si>
    <t>2 Compact Lenses Chilli</t>
  </si>
  <si>
    <t>2 Compact Lenses Olive</t>
  </si>
  <si>
    <t>2 Compact Lenses Orchid</t>
  </si>
  <si>
    <t>2 Compact Lenses Storm</t>
  </si>
  <si>
    <t>2 Compact Lenses Twilight</t>
  </si>
  <si>
    <t>Peter Rabbit</t>
  </si>
  <si>
    <t>2 TONE BLOCK IN A PRINTED BOX - HARLEQUIN</t>
  </si>
  <si>
    <t>RFS11795</t>
  </si>
  <si>
    <t>2 X 6" MARCHING CYMBALS IN A PRINTED BOX - HARLEQUIN</t>
  </si>
  <si>
    <t>RFS11651</t>
  </si>
  <si>
    <t>2-pack Pen Refill Black</t>
  </si>
  <si>
    <t>PENREF1</t>
  </si>
  <si>
    <t>3  New Range</t>
  </si>
  <si>
    <t>Pen</t>
  </si>
  <si>
    <t>2-pack Pen Refill Blue</t>
  </si>
  <si>
    <t>PENREF2</t>
  </si>
  <si>
    <t>2.5 Compact Lenses Chilli</t>
  </si>
  <si>
    <t>2.5 Compact Lenses Jet</t>
  </si>
  <si>
    <t>2.5 Compact Lenses Olive</t>
  </si>
  <si>
    <t>2.5 Compact Lenses Orchid</t>
  </si>
  <si>
    <t>2.5 Compact Lenses Storm</t>
  </si>
  <si>
    <t>2.5 Compact Lenses Twilight</t>
  </si>
  <si>
    <t>Inventory Asset</t>
  </si>
  <si>
    <t>3D Bkmk - French Bulldog Puppy</t>
  </si>
  <si>
    <t>3D010</t>
  </si>
  <si>
    <t>3D Bkmk - Kitten sleeping</t>
  </si>
  <si>
    <t>3D012</t>
  </si>
  <si>
    <t>4" MONKEY BLUE DRUM - HARLEQUIN</t>
  </si>
  <si>
    <t>RFS11648</t>
  </si>
  <si>
    <t>5 ROUND STORAGE BOX SETS - BEATRIX POTTER</t>
  </si>
  <si>
    <t>RFS11368</t>
  </si>
  <si>
    <t>87 PIECE ART SET - PETER RABBIT ADVENTURES</t>
  </si>
  <si>
    <t>RFS11177</t>
  </si>
  <si>
    <t>4 FYTM  - From You To Me</t>
  </si>
  <si>
    <t>Children's Books</t>
  </si>
  <si>
    <t>A5 FABRIC JOURNAL SET UP - CHAPTER &amp; LIGHT</t>
  </si>
  <si>
    <t>SPFJCL</t>
  </si>
  <si>
    <t>A5 FABRIC JOURNALS WDU</t>
  </si>
  <si>
    <t>A5 JOURNAL - FIRST CLASS NOTEBOOK</t>
  </si>
  <si>
    <t>GR900077</t>
  </si>
  <si>
    <t>Notebooks Clearance</t>
  </si>
  <si>
    <t>A5 JOURNAL - I HATE TO WASTE SICK DAYS</t>
  </si>
  <si>
    <t>A57079</t>
  </si>
  <si>
    <t>A5 JOURNAL - MULTICOLOUR STAMP</t>
  </si>
  <si>
    <t>GR900075</t>
  </si>
  <si>
    <t>A5 JOURNAL - RED AND BLUE STAMPS</t>
  </si>
  <si>
    <t>GR900076</t>
  </si>
  <si>
    <t>A5 Notebook - Planet Cat (Life Is Simple)</t>
  </si>
  <si>
    <t>NBA5PC02</t>
  </si>
  <si>
    <t>Planet Cat</t>
  </si>
  <si>
    <t>A5 Notebook- William Morris (Willow Grey)</t>
  </si>
  <si>
    <t>NBA5WM02</t>
  </si>
  <si>
    <t>William Morris</t>
  </si>
  <si>
    <t>A5 Notes &amp; Doodles Black</t>
  </si>
  <si>
    <t>A5RFNDLBLACK</t>
  </si>
  <si>
    <t>A5 Really Useful Journal Black</t>
  </si>
  <si>
    <t>A5RFLBLACK</t>
  </si>
  <si>
    <t>A5 Really Useful Journal Green</t>
  </si>
  <si>
    <t>A5RFLGREEN</t>
  </si>
  <si>
    <t>A5 Really Useful Journal Orange</t>
  </si>
  <si>
    <t>A5RFLORANGE</t>
  </si>
  <si>
    <t>A5 Really Useful Journal Pink</t>
  </si>
  <si>
    <t>A5RFLPINK</t>
  </si>
  <si>
    <t>A5 Really Useful Journal Purple</t>
  </si>
  <si>
    <t>A5RFLPURPLE</t>
  </si>
  <si>
    <t>A5 Really Useful Journal Red</t>
  </si>
  <si>
    <t>A5RFLRED</t>
  </si>
  <si>
    <t>A6 FABRIC JOURNALS WDU</t>
  </si>
  <si>
    <t>CDUA6FJ</t>
  </si>
  <si>
    <t>A6 JOURNAL - CORONATION</t>
  </si>
  <si>
    <t>34A614</t>
  </si>
  <si>
    <t>A6 JOURNAL - ENO FAIRY</t>
  </si>
  <si>
    <t>34A613</t>
  </si>
  <si>
    <t>A6 JOURNAL - FIRST CLASS NOTEBOOK</t>
  </si>
  <si>
    <t>GR900081</t>
  </si>
  <si>
    <t>A6 JOURNAL - LITTLE BLACK BOOK</t>
  </si>
  <si>
    <t>GR900082</t>
  </si>
  <si>
    <t>A6 JOURNAL - MULTI COLOUR STAMP</t>
  </si>
  <si>
    <t>GR900079</t>
  </si>
  <si>
    <t>A6 JOURNAL - RED AND BLUE STAMP</t>
  </si>
  <si>
    <t>GR900080</t>
  </si>
  <si>
    <t>A6 JOURNAL - SO BLOODY BLONDE (NEW)</t>
  </si>
  <si>
    <t>A636062</t>
  </si>
  <si>
    <t>A6 JOURNAL - WE RECOMMEND CADBURYS</t>
  </si>
  <si>
    <t>34A609</t>
  </si>
  <si>
    <t>A6 Notebook (pen) - RHS (Geo Coral)</t>
  </si>
  <si>
    <t>NBA6RHS02</t>
  </si>
  <si>
    <t>RHS Irises &amp; Hellebores</t>
  </si>
  <si>
    <t>A6 Notebook (pen) - RHS (Geo Navy)</t>
  </si>
  <si>
    <t>NBA6RHS01</t>
  </si>
  <si>
    <t>A6 Notebook (pen) - William Morris (Willow Ochre)</t>
  </si>
  <si>
    <t>NBA6WM02</t>
  </si>
  <si>
    <t>A6 Notebook Set 3 (Softback) - RHS (Irises &amp; Hellebores).</t>
  </si>
  <si>
    <t>NBSTRHS01</t>
  </si>
  <si>
    <t>A6 Notes &amp; Doodles Black</t>
  </si>
  <si>
    <t>A6RFNDSBLACK</t>
  </si>
  <si>
    <t>A6 Notes &amp; Doodles Green</t>
  </si>
  <si>
    <t>A6RFNDSGREEN</t>
  </si>
  <si>
    <t>A6 Notes &amp; Doodles Orange</t>
  </si>
  <si>
    <t>A6RFNDSORANGE</t>
  </si>
  <si>
    <t>A6 Notes &amp; Doodles Pink</t>
  </si>
  <si>
    <t>A6RFNDSPINK</t>
  </si>
  <si>
    <t>A6 Notes &amp; Doodles Purple</t>
  </si>
  <si>
    <t>A6RFNDSPURPLE</t>
  </si>
  <si>
    <t>A6 Notes &amp; Doodles Red</t>
  </si>
  <si>
    <t>A6RFNDSRED</t>
  </si>
  <si>
    <t>A6 Notes &amp; Doodles Yellow</t>
  </si>
  <si>
    <t>A6RFNDSYELLOW</t>
  </si>
  <si>
    <t>A7 FABRIC JOURNALS STARTER PACK</t>
  </si>
  <si>
    <t>SPJA7</t>
  </si>
  <si>
    <t>A7 Notebook (pen) - RHS (Geo Navy)</t>
  </si>
  <si>
    <t>NBA7RHS02</t>
  </si>
  <si>
    <t>A7 Notebook (pen) - RHS (Irises &amp; Hellebores)</t>
  </si>
  <si>
    <t>NBA7RHS01</t>
  </si>
  <si>
    <t>Address Book (Pen) - William Morris (Strawberry Thief)</t>
  </si>
  <si>
    <t>ADDWM01</t>
  </si>
  <si>
    <t>Scratch Maps</t>
  </si>
  <si>
    <t>AG Bkmk Brumby</t>
  </si>
  <si>
    <t>AGB003</t>
  </si>
  <si>
    <t>AG Bkmk Cassowary in Port Douglas</t>
  </si>
  <si>
    <t>AGB002</t>
  </si>
  <si>
    <t>AG Bkmk Cattle Muster</t>
  </si>
  <si>
    <t>AGB011</t>
  </si>
  <si>
    <t>AG Bkmk Desert</t>
  </si>
  <si>
    <t>AGB016</t>
  </si>
  <si>
    <t>AG Bkmk Hanging Rock</t>
  </si>
  <si>
    <t>AGB012</t>
  </si>
  <si>
    <t>AG Bkmk Leadbeater's Possum</t>
  </si>
  <si>
    <t>AGB001</t>
  </si>
  <si>
    <t>AG Bkmk Rainbow Lorikeets</t>
  </si>
  <si>
    <t>AGB004</t>
  </si>
  <si>
    <t>AG Bkmk Red Dirt Track</t>
  </si>
  <si>
    <t>AGB005</t>
  </si>
  <si>
    <t>AG Bkmk Termite Mound</t>
  </si>
  <si>
    <t>AGB014</t>
  </si>
  <si>
    <t>AG Bkmk Wombat</t>
  </si>
  <si>
    <t>AGB009</t>
  </si>
  <si>
    <t>AG Bookmark CDU</t>
  </si>
  <si>
    <t>AGBCDU</t>
  </si>
  <si>
    <t>AG Cards Australian Map</t>
  </si>
  <si>
    <t>AGGC001</t>
  </si>
  <si>
    <t>AG Cards Brumby</t>
  </si>
  <si>
    <t>AGGC009</t>
  </si>
  <si>
    <t>AG Cards Ghost Gum Trees</t>
  </si>
  <si>
    <t>AGGC007</t>
  </si>
  <si>
    <t>AG Cards Mount Warning</t>
  </si>
  <si>
    <t>AGGC015</t>
  </si>
  <si>
    <t>AG Cards Saltwater Crocodile</t>
  </si>
  <si>
    <t>AGGC011</t>
  </si>
  <si>
    <t>AG Cards Shingleback Lizard</t>
  </si>
  <si>
    <t>AGGC016</t>
  </si>
  <si>
    <t>AG Cards Southern Cassowary</t>
  </si>
  <si>
    <t>AGGC013</t>
  </si>
  <si>
    <t>Coasters</t>
  </si>
  <si>
    <t>AG Coasters Desert</t>
  </si>
  <si>
    <t>AGC003</t>
  </si>
  <si>
    <t>AG Greeting Card CDU</t>
  </si>
  <si>
    <t>AGGCCDU</t>
  </si>
  <si>
    <t>AG SPINNER</t>
  </si>
  <si>
    <t>AGSPINNER</t>
  </si>
  <si>
    <t>AG Travel Journal A5 Leatherette</t>
  </si>
  <si>
    <t>TJ001</t>
  </si>
  <si>
    <t>Gift Journals</t>
  </si>
  <si>
    <t>All Display 6</t>
  </si>
  <si>
    <t>CDU6</t>
  </si>
  <si>
    <t>All Display 8</t>
  </si>
  <si>
    <t>CDU8</t>
  </si>
  <si>
    <t>AlLPHABOOKS DISPLAY MINI - HOLDS 9 PIECES</t>
  </si>
  <si>
    <t>CDU37399D</t>
  </si>
  <si>
    <t>Alpha Books Starter Pack</t>
  </si>
  <si>
    <t>SP373</t>
  </si>
  <si>
    <t>Alpha Books</t>
  </si>
  <si>
    <t>ALPHABOOKS - F</t>
  </si>
  <si>
    <t>ALPHABOOKS - I</t>
  </si>
  <si>
    <t>ALPHABOOKS - P</t>
  </si>
  <si>
    <t>ALPHABOOKS - T</t>
  </si>
  <si>
    <t>ALPHABOOKS - V</t>
  </si>
  <si>
    <t>ALPHABOOKS - W</t>
  </si>
  <si>
    <t>ALPHABOOKS - X</t>
  </si>
  <si>
    <t>ALPHABOOKS - Y</t>
  </si>
  <si>
    <t>ALPHABOOKS - Z</t>
  </si>
  <si>
    <t>Book Light</t>
  </si>
  <si>
    <t>Lights</t>
  </si>
  <si>
    <t>1 MAIN RUNNER</t>
  </si>
  <si>
    <t>Amethyst - Creativity</t>
  </si>
  <si>
    <t>HS003</t>
  </si>
  <si>
    <t>Heart Stones</t>
  </si>
  <si>
    <t>Animal Set Up Australian Made Wooden Bookmarks 72 Units</t>
  </si>
  <si>
    <t>WBKASP</t>
  </si>
  <si>
    <t>9 Local Manufacture</t>
  </si>
  <si>
    <t>Animal Set Up Australian Made Wooden Keyrings 72 Units</t>
  </si>
  <si>
    <t>WAKRASP</t>
  </si>
  <si>
    <t>Key Ring</t>
  </si>
  <si>
    <t>Animal Set Up Australian Made Wooden Magnets 72 Units</t>
  </si>
  <si>
    <t>WAMGSP</t>
  </si>
  <si>
    <t>Magnets</t>
  </si>
  <si>
    <t>Apron - Australian Natives</t>
  </si>
  <si>
    <t>AP04</t>
  </si>
  <si>
    <t>Aprons</t>
  </si>
  <si>
    <t>APRON - BEST CHEF COLLECT 200</t>
  </si>
  <si>
    <t>GR170040</t>
  </si>
  <si>
    <t>Monopoly</t>
  </si>
  <si>
    <t>APRON - COLONEL MUSTARD</t>
  </si>
  <si>
    <t>GR170001</t>
  </si>
  <si>
    <t>Cluedo</t>
  </si>
  <si>
    <t>APRON - FIRST CLASS CHEF</t>
  </si>
  <si>
    <t>GR900059</t>
  </si>
  <si>
    <t>Homeware Clearance</t>
  </si>
  <si>
    <t>Apron - Golden Wattle</t>
  </si>
  <si>
    <t>AP05</t>
  </si>
  <si>
    <t>APRON - MISS SCARLETT</t>
  </si>
  <si>
    <t>GR170000</t>
  </si>
  <si>
    <t>Apron - Monet's Water Lilies</t>
  </si>
  <si>
    <t>AP03</t>
  </si>
  <si>
    <t>APRON - MULTICOLOUR STAMPS</t>
  </si>
  <si>
    <t>GR900063</t>
  </si>
  <si>
    <t>Apron - Strawberry Thief</t>
  </si>
  <si>
    <t>AP01</t>
  </si>
  <si>
    <t>Apron - Sunflowers</t>
  </si>
  <si>
    <t>AP02</t>
  </si>
  <si>
    <t>Apron - Tropical Koala</t>
  </si>
  <si>
    <t>AP06</t>
  </si>
  <si>
    <t>Artico Magnet Counter Display</t>
  </si>
  <si>
    <t>Artico Packaging Tape</t>
  </si>
  <si>
    <t>TAPE</t>
  </si>
  <si>
    <t>Work In Progress</t>
  </si>
  <si>
    <t>9D Consumables Pick Packing</t>
  </si>
  <si>
    <t>Artico Thermal Label</t>
  </si>
  <si>
    <t>LABEL</t>
  </si>
  <si>
    <t>9C Consumables Manufacturing</t>
  </si>
  <si>
    <t>Artico Thermal Label New</t>
  </si>
  <si>
    <t>LABEL2.0</t>
  </si>
  <si>
    <t>Australian Geographic Coaster Starter Pack</t>
  </si>
  <si>
    <t>AGCSP</t>
  </si>
  <si>
    <t>Australian Geographic Greeting Cards Starter Pack</t>
  </si>
  <si>
    <t>AGGCSP</t>
  </si>
  <si>
    <t>Australian Made Wooden Bookmark - A Book A Day</t>
  </si>
  <si>
    <t>WB054</t>
  </si>
  <si>
    <t>Australian Made Wooden Bookmark - Aussie Thongs</t>
  </si>
  <si>
    <t>WB025</t>
  </si>
  <si>
    <t>Australian Made Wooden Bookmark - Banksia</t>
  </si>
  <si>
    <t>WB007</t>
  </si>
  <si>
    <t>Australian Made Wooden Bookmark - Beach</t>
  </si>
  <si>
    <t>WB026</t>
  </si>
  <si>
    <t>Australian Made Wooden Bookmark - Bottle Brush</t>
  </si>
  <si>
    <t>WB008</t>
  </si>
  <si>
    <t>Australian Made Wooden Bookmark - Canberra Bell</t>
  </si>
  <si>
    <t>WB012</t>
  </si>
  <si>
    <t>Australian Made Wooden Bookmark - Carnation</t>
  </si>
  <si>
    <t>WB004</t>
  </si>
  <si>
    <t>Australian Made Wooden Bookmark - Cassowary</t>
  </si>
  <si>
    <t>WB013</t>
  </si>
  <si>
    <t>Australian Made Wooden Bookmark - Cat's Coffee &amp; Books</t>
  </si>
  <si>
    <t>WB052</t>
  </si>
  <si>
    <t>Australian Made Wooden Bookmark - Cockatoo</t>
  </si>
  <si>
    <t>WB014</t>
  </si>
  <si>
    <t>Australian Made Wooden Bookmark - Dogs &amp; Books</t>
  </si>
  <si>
    <t>WB053</t>
  </si>
  <si>
    <t>Australian Made Wooden Bookmark - Echidna</t>
  </si>
  <si>
    <t>WB015</t>
  </si>
  <si>
    <t>Australian Made Wooden Bookmark - Emu</t>
  </si>
  <si>
    <t>WB016</t>
  </si>
  <si>
    <t>Australian Made Wooden Bookmark - Enemies to Lovers</t>
  </si>
  <si>
    <t>WB042</t>
  </si>
  <si>
    <t>Australian Made Wooden Bookmark - Fairy Penguin</t>
  </si>
  <si>
    <t>WB017</t>
  </si>
  <si>
    <t>Australian Made Wooden Bookmark - Flinders Street Station</t>
  </si>
  <si>
    <t>WB027</t>
  </si>
  <si>
    <t>Australian Made Wooden Bookmark - Fly or Die</t>
  </si>
  <si>
    <t>WB040</t>
  </si>
  <si>
    <t>Australian Made Wooden Bookmark - Galah</t>
  </si>
  <si>
    <t>WB018</t>
  </si>
  <si>
    <t>Australian Made Wooden Bookmark - Golden Wattle</t>
  </si>
  <si>
    <t>WB010</t>
  </si>
  <si>
    <t>Australian Made Wooden Bookmark - Great Barrier Reef</t>
  </si>
  <si>
    <t>WB028</t>
  </si>
  <si>
    <t>Australian Made Wooden Bookmark - Hydrangea</t>
  </si>
  <si>
    <t>WB005</t>
  </si>
  <si>
    <t>Australian Made Wooden Bookmark - I Can Fix Him Or Join Him</t>
  </si>
  <si>
    <t>WB043</t>
  </si>
  <si>
    <t>Australian Made Wooden Bookmark - I Don't Kneel to Fae Kings</t>
  </si>
  <si>
    <t>WB041</t>
  </si>
  <si>
    <t>Australian Made Wooden Bookmark - In My Romantasy Era</t>
  </si>
  <si>
    <t>WB039</t>
  </si>
  <si>
    <t>Australian Made Wooden Bookmark - It's Not Hoarding</t>
  </si>
  <si>
    <t>WB055</t>
  </si>
  <si>
    <t>Australian Made Wooden Bookmark - Kangaroo</t>
  </si>
  <si>
    <t>WB019</t>
  </si>
  <si>
    <t>Australian Made Wooden Bookmark - Kangaroo Paw</t>
  </si>
  <si>
    <t>WB011</t>
  </si>
  <si>
    <t>Australian Made Wooden Bookmark - Koala</t>
  </si>
  <si>
    <t>WB020</t>
  </si>
  <si>
    <t>Australian Made Wooden Bookmark - Kookaburra</t>
  </si>
  <si>
    <t>WB021</t>
  </si>
  <si>
    <t>Australian Made Wooden Bookmark - Opera House</t>
  </si>
  <si>
    <t>WB029</t>
  </si>
  <si>
    <t>Australian Made Wooden Bookmark - Pink Rock Lily</t>
  </si>
  <si>
    <t>WB006</t>
  </si>
  <si>
    <t>Australian Made Wooden Bookmark - Platypus</t>
  </si>
  <si>
    <t>WB022</t>
  </si>
  <si>
    <t>Australian Made Wooden Bookmark - Rainbow Lorikeet</t>
  </si>
  <si>
    <t>WB023</t>
  </si>
  <si>
    <t>Australian Made Wooden Bookmark - Rose</t>
  </si>
  <si>
    <t>WB001</t>
  </si>
  <si>
    <t>Australian Made Wooden Bookmark - Southern Lights</t>
  </si>
  <si>
    <t>WB030</t>
  </si>
  <si>
    <t>Australian Made Wooden Bookmark - Sunflower</t>
  </si>
  <si>
    <t>WB003</t>
  </si>
  <si>
    <t>Australian Made Wooden Bookmark - Surfing Kangaroo</t>
  </si>
  <si>
    <t>WB031</t>
  </si>
  <si>
    <t>Australian Made Wooden Bookmark - Surfing Koala</t>
  </si>
  <si>
    <t>WB032</t>
  </si>
  <si>
    <t>Australian Made Wooden Bookmark - Sydney Harbour</t>
  </si>
  <si>
    <t>WB034</t>
  </si>
  <si>
    <t>Australian Made Wooden Bookmark - Sydney Harbour Bridge</t>
  </si>
  <si>
    <t>WB033</t>
  </si>
  <si>
    <t>Australian Made Wooden Bookmark - Tasmanian Devil</t>
  </si>
  <si>
    <t>WB024</t>
  </si>
  <si>
    <t>Australian Made Wooden Bookmark - Three Sisters</t>
  </si>
  <si>
    <t>WB035</t>
  </si>
  <si>
    <t>Australian Made Wooden Bookmark - To The Stars Who Listen</t>
  </si>
  <si>
    <t>WB044</t>
  </si>
  <si>
    <t>Australian Made Wooden Bookmark - Tram</t>
  </si>
  <si>
    <t>WB036</t>
  </si>
  <si>
    <t>Australian Made Wooden Bookmark - Tulip</t>
  </si>
  <si>
    <t>WB002</t>
  </si>
  <si>
    <t>Australian Made Wooden Bookmark - Twelve Apostles</t>
  </si>
  <si>
    <t>WB037</t>
  </si>
  <si>
    <t>Australian Made Wooden Bookmark - Uluru</t>
  </si>
  <si>
    <t>WB038</t>
  </si>
  <si>
    <t>Australian Made Wooden Bookmark - Waratah</t>
  </si>
  <si>
    <t>WB009</t>
  </si>
  <si>
    <t>Australian Made Wooden Coasters - Big Rocking Horse</t>
  </si>
  <si>
    <t>WC013</t>
  </si>
  <si>
    <t>Australian Made Wooden Coasters - Hydrangea</t>
  </si>
  <si>
    <t>WC005</t>
  </si>
  <si>
    <t>Australian Made Wooden Greeting Card - Australian Natives</t>
  </si>
  <si>
    <t>GCF001</t>
  </si>
  <si>
    <t>Flowers</t>
  </si>
  <si>
    <t>Australian Made Wooden Greeting Card - Book Lovers Cats</t>
  </si>
  <si>
    <t>GCB001</t>
  </si>
  <si>
    <t>Book Lovers</t>
  </si>
  <si>
    <t>Australian Made Wooden Greeting Card - Book Lovers Dogs</t>
  </si>
  <si>
    <t>GCB002</t>
  </si>
  <si>
    <t>Australian Made Wooden Greeting Card - Book Lovers Fly Or Die</t>
  </si>
  <si>
    <t>GCB003</t>
  </si>
  <si>
    <t>Australian Made Wooden Greeting Card - Book Lovers Hoarding</t>
  </si>
  <si>
    <t>GCB004</t>
  </si>
  <si>
    <t>Australian Made Wooden Greeting Card - Book Lovers In My Romantasy Era</t>
  </si>
  <si>
    <t>GCB005</t>
  </si>
  <si>
    <t>Australian Made Wooden Greeting Card - Book Lovers Tea</t>
  </si>
  <si>
    <t>GCB006</t>
  </si>
  <si>
    <t>Australian Made Wooden Greeting Card - Lilies</t>
  </si>
  <si>
    <t>GCF002</t>
  </si>
  <si>
    <t>Australian Made Wooden Greeting Card - Orchids</t>
  </si>
  <si>
    <t>GCF003</t>
  </si>
  <si>
    <t>Australian Made Wooden Greeting Card - Roses</t>
  </si>
  <si>
    <t>GCF004</t>
  </si>
  <si>
    <t>Australian Made Wooden Greeting Card - Rude Cake</t>
  </si>
  <si>
    <t>GCR001</t>
  </si>
  <si>
    <t>Rude</t>
  </si>
  <si>
    <t>Australian Made Wooden Greeting Card - Rude Cheers</t>
  </si>
  <si>
    <t>GCR002</t>
  </si>
  <si>
    <t>Australian Made Wooden Greeting Card - Rude Dog</t>
  </si>
  <si>
    <t>GCR003</t>
  </si>
  <si>
    <t>Australian Made Wooden Greeting Card - Rude Love</t>
  </si>
  <si>
    <t>GCR004</t>
  </si>
  <si>
    <t>Australian Made Wooden Greeting Card - Rude Queen</t>
  </si>
  <si>
    <t>GCR005</t>
  </si>
  <si>
    <t>Australian Made Wooden Greeting Card - Rude Wine</t>
  </si>
  <si>
    <t>GCR006</t>
  </si>
  <si>
    <t>Australian Made Wooden Greeting Card - Sunflowers</t>
  </si>
  <si>
    <t>GCF005</t>
  </si>
  <si>
    <t>Australian Made Wooden Greeting Card - Tiny Emotional Support Coffee</t>
  </si>
  <si>
    <t>GCT004</t>
  </si>
  <si>
    <t>Tiny Emotional Support</t>
  </si>
  <si>
    <t>Australian Made Wooden Greeting Card - Tiny Emotional Support Duck</t>
  </si>
  <si>
    <t>GCT005</t>
  </si>
  <si>
    <t>Australian Made Wooden Greeting Card - Tiny Emotional Support Koala</t>
  </si>
  <si>
    <t>GCT007</t>
  </si>
  <si>
    <t>Australian Made Wooden Greeting Card - Tiny Emotional Support Quokka</t>
  </si>
  <si>
    <t>GCT013</t>
  </si>
  <si>
    <t>Australian Made Wooden Greeting Card - Tiny Emotional Support Sloth</t>
  </si>
  <si>
    <t>GCT014</t>
  </si>
  <si>
    <t>Australian Made Wooden Greeting Card - Tiny Emotional Support Sunflower</t>
  </si>
  <si>
    <t>GCT015</t>
  </si>
  <si>
    <t>Australian Made Wooden Greeting Card - Tulips</t>
  </si>
  <si>
    <t>GCF006</t>
  </si>
  <si>
    <t>AUSTRALIAN MADE WOODEN GREETING CARDS SET UP 144pcs</t>
  </si>
  <si>
    <t>SPGC</t>
  </si>
  <si>
    <t>Australian Made Wooden LOGO</t>
  </si>
  <si>
    <t>AMWL</t>
  </si>
  <si>
    <t>Australian Made Wooden Ornament - Best Teacher</t>
  </si>
  <si>
    <t>WO034</t>
  </si>
  <si>
    <t>Christmas</t>
  </si>
  <si>
    <t>Australian Made Wooden Ornament - Candy Cane</t>
  </si>
  <si>
    <t>WO006</t>
  </si>
  <si>
    <t>Australian Made Wooden Ornament - Christmas Tree</t>
  </si>
  <si>
    <t>WO004</t>
  </si>
  <si>
    <t>Australian Made Wooden Ornament - Cockatoo</t>
  </si>
  <si>
    <t>WO022</t>
  </si>
  <si>
    <t>Australian Made Wooden Ornament - Echidna</t>
  </si>
  <si>
    <t>WO019</t>
  </si>
  <si>
    <t>Australian Made Wooden Ornament - French Bulldog</t>
  </si>
  <si>
    <t>WO015</t>
  </si>
  <si>
    <t>Australian Made Wooden Ornament - Ginger Cat</t>
  </si>
  <si>
    <t>WO017</t>
  </si>
  <si>
    <t>Australian Made Wooden Ornament - Horse</t>
  </si>
  <si>
    <t>WO029</t>
  </si>
  <si>
    <t>Australian Made Wooden Ornament - Kangaroo 1</t>
  </si>
  <si>
    <t>WO025</t>
  </si>
  <si>
    <t>Australian Made Wooden Ornament - Kookaburra</t>
  </si>
  <si>
    <t>WO033</t>
  </si>
  <si>
    <t>Australian Made Wooden Ornament - Labrador</t>
  </si>
  <si>
    <t>WO013</t>
  </si>
  <si>
    <t>Australian Made Wooden Ornament - Penguin</t>
  </si>
  <si>
    <t>WO032</t>
  </si>
  <si>
    <t>Australian Made Wooden Ornament - Platypus 1</t>
  </si>
  <si>
    <t>WO023</t>
  </si>
  <si>
    <t>Australian Made Wooden Ornament - Platypus 2</t>
  </si>
  <si>
    <t>WO024</t>
  </si>
  <si>
    <t>Australian Made Wooden Ornament - Rainbow Lorikeet</t>
  </si>
  <si>
    <t>WO021</t>
  </si>
  <si>
    <t>Australian Made Wooden Ornament - Reindeer</t>
  </si>
  <si>
    <t>WO002</t>
  </si>
  <si>
    <t>Australian Made Wooden Ornament - Santa</t>
  </si>
  <si>
    <t>WO001</t>
  </si>
  <si>
    <t>Australian Made Wooden Ornament - Scruffy Dog</t>
  </si>
  <si>
    <t>WO014</t>
  </si>
  <si>
    <t>Australian Made Wooden Ornament - Sleigh</t>
  </si>
  <si>
    <t>WO008</t>
  </si>
  <si>
    <t>Australian Made Wooden Ornament - Snow Flake</t>
  </si>
  <si>
    <t>WO007</t>
  </si>
  <si>
    <t>Australian Made Wooden Ornament - Snowman</t>
  </si>
  <si>
    <t>WO003</t>
  </si>
  <si>
    <t>Australian Made Wooden Ornament - Star</t>
  </si>
  <si>
    <t>WO010</t>
  </si>
  <si>
    <t>Australian Made Wooden Ornament - Stocking</t>
  </si>
  <si>
    <t>WO009</t>
  </si>
  <si>
    <t>Australian Made Wooden Ornament - T Rex</t>
  </si>
  <si>
    <t>WO011</t>
  </si>
  <si>
    <t>Australian Made Wooden Ornament - Tasmanian Devil</t>
  </si>
  <si>
    <t>WO020</t>
  </si>
  <si>
    <t>Australian Made Wooden Ornament - Unicorn</t>
  </si>
  <si>
    <t>WO030</t>
  </si>
  <si>
    <t>Australian Made Wooden Ornament - White Cat</t>
  </si>
  <si>
    <t>WO018</t>
  </si>
  <si>
    <t>Australian Made Wooden Ornament - Wolf</t>
  </si>
  <si>
    <t>WO031</t>
  </si>
  <si>
    <t>Australian Made Wooden Ornament -Triceratops</t>
  </si>
  <si>
    <t>WO012</t>
  </si>
  <si>
    <t>Australian Made Wooden Ornaments Christmas Set Up</t>
  </si>
  <si>
    <t>WOSU</t>
  </si>
  <si>
    <t>BABY BOOKS STARTER PACK NO2</t>
  </si>
  <si>
    <t>BBSPNO2</t>
  </si>
  <si>
    <t>Baby Bibs</t>
  </si>
  <si>
    <t>Baby Talk Bibs Gift Pack of 6</t>
  </si>
  <si>
    <t>BTB6PK</t>
  </si>
  <si>
    <t>Baby Talk Kit 1</t>
  </si>
  <si>
    <t>Kit2</t>
  </si>
  <si>
    <t>Onesie</t>
  </si>
  <si>
    <t>Balloon Racing Cars</t>
  </si>
  <si>
    <t>RFS11624</t>
  </si>
  <si>
    <t>Bamboo Fan - Australian Natives</t>
  </si>
  <si>
    <t>BF11</t>
  </si>
  <si>
    <t>Bamboo Fan - Golden Wattle</t>
  </si>
  <si>
    <t>BF12</t>
  </si>
  <si>
    <t>Bamboo Fan - Tropical Koala</t>
  </si>
  <si>
    <t>BF13</t>
  </si>
  <si>
    <t>Bamboo Fans WDU</t>
  </si>
  <si>
    <t>Book Holder</t>
  </si>
  <si>
    <t>Banksia - Australian Made Wooden Fridge Magnet</t>
  </si>
  <si>
    <t>WFM007</t>
  </si>
  <si>
    <t>Banksia - Australian Made Wooden Key Ring</t>
  </si>
  <si>
    <t>WK007</t>
  </si>
  <si>
    <t>Key Rings</t>
  </si>
  <si>
    <t>Banner Pad: Rupert Fawcett (Off the Leash Dogs)</t>
  </si>
  <si>
    <t>BOOKRF01</t>
  </si>
  <si>
    <t>Ice House Books</t>
  </si>
  <si>
    <t>Banner Pad: Rupert Fawcett (On the Prowl Cats)</t>
  </si>
  <si>
    <t>BOOKRF02</t>
  </si>
  <si>
    <t>Barn and Farm Animal Sleeve</t>
  </si>
  <si>
    <t>CS29</t>
  </si>
  <si>
    <t>9B Component/Packaging</t>
  </si>
  <si>
    <t>Basswood Plywood 1.5mm 90cm x 90cm</t>
  </si>
  <si>
    <t>PLY8</t>
  </si>
  <si>
    <t>Basswood Plywood 3mm 90cm x 30cm</t>
  </si>
  <si>
    <t>PLY3B</t>
  </si>
  <si>
    <t>Basswood Plywood 3mm 90cm x 60cm</t>
  </si>
  <si>
    <t>PLY3A</t>
  </si>
  <si>
    <t>Basswood Plywood 3mm 90cm x 90cm</t>
  </si>
  <si>
    <t>PLY3</t>
  </si>
  <si>
    <t>Basswood Plywood 6mm</t>
  </si>
  <si>
    <t>PLY6</t>
  </si>
  <si>
    <t>Basswood Plywood 6mm 120cm x 70cm</t>
  </si>
  <si>
    <t>PLY6C</t>
  </si>
  <si>
    <t>Basswood Plywood 6mm 170cm x 90cm</t>
  </si>
  <si>
    <t>PLY6A</t>
  </si>
  <si>
    <t>Basswood Plywood 6mm  85cm x 30cm</t>
  </si>
  <si>
    <t>PLY6B</t>
  </si>
  <si>
    <t>Bath Tea Bags - Australian Natives</t>
  </si>
  <si>
    <t>CR041</t>
  </si>
  <si>
    <t>Bath Tea Bags - Golden Wattle</t>
  </si>
  <si>
    <t>CR042</t>
  </si>
  <si>
    <t>Bath Tea Bags - Tropical Koala</t>
  </si>
  <si>
    <t>CR047</t>
  </si>
  <si>
    <t>Bean Bag Book Holder Monet's Water Lilies</t>
  </si>
  <si>
    <t>BBBH6</t>
  </si>
  <si>
    <t>Bean Bag Book Holder Peonie Rose</t>
  </si>
  <si>
    <t>BBBH7</t>
  </si>
  <si>
    <t>Bean Bag Book Holder Starter Pack</t>
  </si>
  <si>
    <t>Bean Bag Book Holder Strawberry Thief</t>
  </si>
  <si>
    <t>BBBH4</t>
  </si>
  <si>
    <t>Bean Bag Book Holder Van Gogh's Sunflowers</t>
  </si>
  <si>
    <t>BBBH5</t>
  </si>
  <si>
    <t>Beer Kit 1</t>
  </si>
  <si>
    <t>Kit3</t>
  </si>
  <si>
    <t>BIG MILESTONE 18TH CDCARD</t>
  </si>
  <si>
    <t>BM180</t>
  </si>
  <si>
    <t>CD Card Classic</t>
  </si>
  <si>
    <t>BIG MILESTONE 21ST CDCARD</t>
  </si>
  <si>
    <t>BM21</t>
  </si>
  <si>
    <t>BIG MILESTONE 30TH CDCARD</t>
  </si>
  <si>
    <t>BM30</t>
  </si>
  <si>
    <t>BIG MILESTONE 40TH CDCARD</t>
  </si>
  <si>
    <t>BM40</t>
  </si>
  <si>
    <t>BIG MILESTONE 50TH CDCARD</t>
  </si>
  <si>
    <t>BM50</t>
  </si>
  <si>
    <t>BIG MILESTONE 60TH CDCARD</t>
  </si>
  <si>
    <t>BM60</t>
  </si>
  <si>
    <t>BIG MILESTONE 70TH CDCARD</t>
  </si>
  <si>
    <t>BM70</t>
  </si>
  <si>
    <t>BIG MILESTONE 80TH CDCARD</t>
  </si>
  <si>
    <t>BM80</t>
  </si>
  <si>
    <t>Big Tuck Box 70 x 5 x 170cm</t>
  </si>
  <si>
    <t>BOX70170</t>
  </si>
  <si>
    <t>Bike Lights &amp; Bell</t>
  </si>
  <si>
    <t>RFS11792</t>
  </si>
  <si>
    <t>Bin Chicken - Australian Made Wooden Ornament</t>
  </si>
  <si>
    <t>WO049</t>
  </si>
  <si>
    <t>Bin Cricket Stumps - Australian Made Wooden Ornament</t>
  </si>
  <si>
    <t>WO048</t>
  </si>
  <si>
    <t>Bird House Sleeve</t>
  </si>
  <si>
    <t>CS42</t>
  </si>
  <si>
    <t>BIRTHDAY BOX 40TH</t>
  </si>
  <si>
    <t>BB40</t>
  </si>
  <si>
    <t>BIRTHDAY BOX 60TH</t>
  </si>
  <si>
    <t>BB60</t>
  </si>
  <si>
    <t>BIRTHDAY BOX 70TH</t>
  </si>
  <si>
    <t>BB70</t>
  </si>
  <si>
    <t>BIRTHDAY CRACKERS WITH MINIATURE GAMES</t>
  </si>
  <si>
    <t>RFS11118</t>
  </si>
  <si>
    <t>BIRTHDAY STAR 1931</t>
  </si>
  <si>
    <t>BS31</t>
  </si>
  <si>
    <t>CD Card Birthday Star</t>
  </si>
  <si>
    <t>BIRTHDAY STAR 1932</t>
  </si>
  <si>
    <t>BS32</t>
  </si>
  <si>
    <t>BIRTHDAY STAR 1933</t>
  </si>
  <si>
    <t>BS33</t>
  </si>
  <si>
    <t>BIRTHDAY STAR 1934</t>
  </si>
  <si>
    <t>BS34</t>
  </si>
  <si>
    <t>BIRTHDAY STAR 1935</t>
  </si>
  <si>
    <t>BS35</t>
  </si>
  <si>
    <t>BIRTHDAY STAR 1936</t>
  </si>
  <si>
    <t>BS36</t>
  </si>
  <si>
    <t>BIRTHDAY STAR 1937</t>
  </si>
  <si>
    <t>BS37</t>
  </si>
  <si>
    <t>BIRTHDAY STAR 1938</t>
  </si>
  <si>
    <t>BS38</t>
  </si>
  <si>
    <t>BIRTHDAY STAR 1939</t>
  </si>
  <si>
    <t>BS39</t>
  </si>
  <si>
    <t>BIRTHDAY STAR 1940</t>
  </si>
  <si>
    <t>BS40</t>
  </si>
  <si>
    <t>BIRTHDAY STAR 1941</t>
  </si>
  <si>
    <t>BS41</t>
  </si>
  <si>
    <t>BIRTHDAY STAR 1942</t>
  </si>
  <si>
    <t>BS42</t>
  </si>
  <si>
    <t>BIRTHDAY STAR 1943</t>
  </si>
  <si>
    <t>BS43</t>
  </si>
  <si>
    <t>BIRTHDAY STAR 1944</t>
  </si>
  <si>
    <t>BS44</t>
  </si>
  <si>
    <t>BIRTHDAY STAR 1945</t>
  </si>
  <si>
    <t>BS45</t>
  </si>
  <si>
    <t>BIRTHDAY STAR 1946</t>
  </si>
  <si>
    <t>BS46</t>
  </si>
  <si>
    <t>BIRTHDAY STAR 1947</t>
  </si>
  <si>
    <t>BS47</t>
  </si>
  <si>
    <t>BIRTHDAY STAR 1948</t>
  </si>
  <si>
    <t>BS48</t>
  </si>
  <si>
    <t>BIRTHDAY STAR 1949</t>
  </si>
  <si>
    <t>BS49</t>
  </si>
  <si>
    <t>BIRTHDAY STAR 1950</t>
  </si>
  <si>
    <t>BS50</t>
  </si>
  <si>
    <t>BIRTHDAY STAR 1951</t>
  </si>
  <si>
    <t>BS51</t>
  </si>
  <si>
    <t>BIRTHDAY STAR 1952</t>
  </si>
  <si>
    <t>BS52</t>
  </si>
  <si>
    <t>BIRTHDAY STAR 1953</t>
  </si>
  <si>
    <t>BS53</t>
  </si>
  <si>
    <t>BIRTHDAY STAR 1954</t>
  </si>
  <si>
    <t>BS54</t>
  </si>
  <si>
    <t>BIRTHDAY STAR 1955</t>
  </si>
  <si>
    <t>BS55</t>
  </si>
  <si>
    <t>BIRTHDAY STAR 1956</t>
  </si>
  <si>
    <t>BS56</t>
  </si>
  <si>
    <t>BIRTHDAY STAR 1957</t>
  </si>
  <si>
    <t>BS57</t>
  </si>
  <si>
    <t>BIRTHDAY STAR 1958</t>
  </si>
  <si>
    <t>BS58</t>
  </si>
  <si>
    <t>BIRTHDAY STAR 1959</t>
  </si>
  <si>
    <t>BS59</t>
  </si>
  <si>
    <t>BIRTHDAY STAR 1960</t>
  </si>
  <si>
    <t>BS60</t>
  </si>
  <si>
    <t>BIRTHDAY STAR 1961</t>
  </si>
  <si>
    <t>BS61</t>
  </si>
  <si>
    <t>BIRTHDAY STAR 1962</t>
  </si>
  <si>
    <t>BS62</t>
  </si>
  <si>
    <t>BIRTHDAY STAR 1963</t>
  </si>
  <si>
    <t>BS63</t>
  </si>
  <si>
    <t>BIRTHDAY STAR 1964</t>
  </si>
  <si>
    <t>BS64</t>
  </si>
  <si>
    <t>BIRTHDAY STAR 1965</t>
  </si>
  <si>
    <t>BS65</t>
  </si>
  <si>
    <t>BIRTHDAY STAR 1966</t>
  </si>
  <si>
    <t>BS66</t>
  </si>
  <si>
    <t>BIRTHDAY STAR 1967</t>
  </si>
  <si>
    <t>BS67</t>
  </si>
  <si>
    <t>BIRTHDAY STAR 1968</t>
  </si>
  <si>
    <t>BS68</t>
  </si>
  <si>
    <t>BIRTHDAY STAR 1969</t>
  </si>
  <si>
    <t>BS69</t>
  </si>
  <si>
    <t>BIRTHDAY STAR 1970</t>
  </si>
  <si>
    <t>BS70</t>
  </si>
  <si>
    <t>BIRTHDAY STAR 1971</t>
  </si>
  <si>
    <t>BS71</t>
  </si>
  <si>
    <t>BIRTHDAY STAR 1972</t>
  </si>
  <si>
    <t>BS72</t>
  </si>
  <si>
    <t>BIRTHDAY STAR 1973</t>
  </si>
  <si>
    <t>BS73</t>
  </si>
  <si>
    <t>BIRTHDAY STAR 1974</t>
  </si>
  <si>
    <t>BS74</t>
  </si>
  <si>
    <t>BIRTHDAY STAR 1975</t>
  </si>
  <si>
    <t>BS75</t>
  </si>
  <si>
    <t>BIRTHDAY STAR 1976</t>
  </si>
  <si>
    <t>BS76</t>
  </si>
  <si>
    <t>BIRTHDAY STAR 1977</t>
  </si>
  <si>
    <t>BS77</t>
  </si>
  <si>
    <t>BIRTHDAY STAR 1978</t>
  </si>
  <si>
    <t>BS78</t>
  </si>
  <si>
    <t>BIRTHDAY STAR 1979</t>
  </si>
  <si>
    <t>BS79</t>
  </si>
  <si>
    <t>BIRTHDAY STAR 1980</t>
  </si>
  <si>
    <t>BS80</t>
  </si>
  <si>
    <t>BIRTHDAY STAR 1981</t>
  </si>
  <si>
    <t>BS81</t>
  </si>
  <si>
    <t>BIRTHDAY STAR 1982</t>
  </si>
  <si>
    <t>BS82</t>
  </si>
  <si>
    <t>BIRTHDAY STAR 1983</t>
  </si>
  <si>
    <t>BS83</t>
  </si>
  <si>
    <t>BIRTHDAY STAR 1984</t>
  </si>
  <si>
    <t>BS84</t>
  </si>
  <si>
    <t>BIRTHDAY STAR 1985</t>
  </si>
  <si>
    <t>BS85</t>
  </si>
  <si>
    <t>BIRTHDAY STAR 1986</t>
  </si>
  <si>
    <t>BS86</t>
  </si>
  <si>
    <t>BIRTHDAY STAR 1987</t>
  </si>
  <si>
    <t>BS87</t>
  </si>
  <si>
    <t>BIRTHDAY STAR 1988</t>
  </si>
  <si>
    <t>BS88</t>
  </si>
  <si>
    <t>BIRTHDAY STAR 1989</t>
  </si>
  <si>
    <t>BS89</t>
  </si>
  <si>
    <t>BIRTHDAY STAR 1990</t>
  </si>
  <si>
    <t>BS90</t>
  </si>
  <si>
    <t>BIRTHDAY STAR 1991</t>
  </si>
  <si>
    <t>BS91</t>
  </si>
  <si>
    <t>BIRTHDAY STAR 1992</t>
  </si>
  <si>
    <t>BS92</t>
  </si>
  <si>
    <t>BIRTHDAY STAR 1993</t>
  </si>
  <si>
    <t>BS93</t>
  </si>
  <si>
    <t>BIRTHDAY STAR 1994</t>
  </si>
  <si>
    <t>BS94</t>
  </si>
  <si>
    <t>BIRTHDAY STAR 1995</t>
  </si>
  <si>
    <t>BS95</t>
  </si>
  <si>
    <t>BIRTHDAY STAR 1996</t>
  </si>
  <si>
    <t>BS96</t>
  </si>
  <si>
    <t>BIRTHDAY STAR 1997</t>
  </si>
  <si>
    <t>BS97</t>
  </si>
  <si>
    <t>BIRTHDAY STAR 1998</t>
  </si>
  <si>
    <t>BS98</t>
  </si>
  <si>
    <t>BIRTHDAY STAR 1999</t>
  </si>
  <si>
    <t>BS99</t>
  </si>
  <si>
    <t>BIRTHDAY STAR 2000</t>
  </si>
  <si>
    <t>BS00</t>
  </si>
  <si>
    <t>BIRTHDAY STAR 2001</t>
  </si>
  <si>
    <t>BS01</t>
  </si>
  <si>
    <t>BIRTHDAY STAR 2002</t>
  </si>
  <si>
    <t>BS02</t>
  </si>
  <si>
    <t>BIRTHDAY STAR DVDS</t>
  </si>
  <si>
    <t>BSD</t>
  </si>
  <si>
    <t>Black Floor Spinner</t>
  </si>
  <si>
    <t>BFS</t>
  </si>
  <si>
    <t>Blanket (Jacquard) - William Morris (Grey 125x150)</t>
  </si>
  <si>
    <t>THROWM04</t>
  </si>
  <si>
    <t>Blanket (Jacquard) - William Morris (Willow Blue 125x150)</t>
  </si>
  <si>
    <t>THROWM01</t>
  </si>
  <si>
    <t>Blanket (Jacquard) - William Morris (Willow Ochre 125x150)</t>
  </si>
  <si>
    <t>THROWM02</t>
  </si>
  <si>
    <t>BLOCK LIGHT - BLACK - ECLIPSE</t>
  </si>
  <si>
    <t>Book Related Clearance</t>
  </si>
  <si>
    <t>BLOCK LIGHT - GREEN - AURORA</t>
  </si>
  <si>
    <t>BLOCK LIGHT - PURPLE - UV</t>
  </si>
  <si>
    <t>BLOCK LIGHT - RED - NEON</t>
  </si>
  <si>
    <t>BLOCK LIGHT - WHITE - SUBZERO</t>
  </si>
  <si>
    <t>Head Band</t>
  </si>
  <si>
    <t>Bluhen - Black Floral Microfiber Scrunchie</t>
  </si>
  <si>
    <t>Scrunchie</t>
  </si>
  <si>
    <t>BH023</t>
  </si>
  <si>
    <t>Sleep Bonnet</t>
  </si>
  <si>
    <t>Shower Cap</t>
  </si>
  <si>
    <t>Face Roller</t>
  </si>
  <si>
    <t>Bluhen - Leopard Print Microfiber Scrunchie</t>
  </si>
  <si>
    <t>Bluhen Set Up</t>
  </si>
  <si>
    <t>Coin Pouch</t>
  </si>
  <si>
    <t>Small Pouch</t>
  </si>
  <si>
    <t>Bluhen Cosmetic Bag - Black Floral</t>
  </si>
  <si>
    <t>Cosmetics Bag</t>
  </si>
  <si>
    <t>Lunch Bags</t>
  </si>
  <si>
    <t>Bluhen Scarf - Black Floral</t>
  </si>
  <si>
    <t>Toiletry Bag</t>
  </si>
  <si>
    <t>Bluhen Umbrella - Black Floral ( Auto)</t>
  </si>
  <si>
    <t>BH49A</t>
  </si>
  <si>
    <t>BONE CHINA MUG - COLONEL MUSTARD</t>
  </si>
  <si>
    <t>GR170007</t>
  </si>
  <si>
    <t>BONE CHINA MUG - MISS SCARLETT</t>
  </si>
  <si>
    <t>GR170008</t>
  </si>
  <si>
    <t>Fans</t>
  </si>
  <si>
    <t>Book Other</t>
  </si>
  <si>
    <t>Book Keepers Bookmarks</t>
  </si>
  <si>
    <t>001BB</t>
  </si>
  <si>
    <t>Book Keepers Bookmarks - Letter G</t>
  </si>
  <si>
    <t>Book Keepers Bookmarks - Letter I</t>
  </si>
  <si>
    <t>Book Keepers Bookmarks - Letter N</t>
  </si>
  <si>
    <t>Book Keepers Bookmarks - Letter O</t>
  </si>
  <si>
    <t>Book Keepers Bookmarks - Letter P</t>
  </si>
  <si>
    <t>Book Keepers Bookmarks - Letter T</t>
  </si>
  <si>
    <t>Book Keepers Bookmarks - Letter U</t>
  </si>
  <si>
    <t>Book Keepers Bookmarks - Letter V</t>
  </si>
  <si>
    <t>Book Keepers Bookmarks - Letter W</t>
  </si>
  <si>
    <t>Book Keepers Bookmarks - Letter Y</t>
  </si>
  <si>
    <t>Book Keepers Bookmarks - Letter Z</t>
  </si>
  <si>
    <t>Book Lovers Calendar</t>
  </si>
  <si>
    <t>SWC008</t>
  </si>
  <si>
    <t>Calendars &amp; Diaries</t>
  </si>
  <si>
    <t>Book Lovers Set Up Australian Made Wooden Greeting Cards 36pcs</t>
  </si>
  <si>
    <t>SPGCBL</t>
  </si>
  <si>
    <t>Book Ogre Blue</t>
  </si>
  <si>
    <t>BKO002</t>
  </si>
  <si>
    <t>BOOK TAILS BOOKMARK - BEAR</t>
  </si>
  <si>
    <t>BOOK TAILS BOOKMARK - COW</t>
  </si>
  <si>
    <t>BOOK TAILS BOOKMARK - DOG</t>
  </si>
  <si>
    <t>BOOK TAILS BOOKMARK - JAGUAR</t>
  </si>
  <si>
    <t>BOOK TAILS BOOKMARK - PIG</t>
  </si>
  <si>
    <t>BOOK TAILS BOOKMARK - SHEEP</t>
  </si>
  <si>
    <t>BOOK TAILS DISPLAY STAND</t>
  </si>
  <si>
    <t>CDU968</t>
  </si>
  <si>
    <t>Book Tails Set Up 36 units</t>
  </si>
  <si>
    <t>SP968</t>
  </si>
  <si>
    <t>BOOKAROO A5 NOTEBOOK SET UP</t>
  </si>
  <si>
    <t>BOOKAROO BOOK &amp; STUFF POUCH SET UP 3 PCS</t>
  </si>
  <si>
    <t>5 IF by Air</t>
  </si>
  <si>
    <t>Large Pouch</t>
  </si>
  <si>
    <t>BOOKAROO DISPLAY - 15 CM</t>
  </si>
  <si>
    <t>Pens and Pencils</t>
  </si>
  <si>
    <t>BOOKAROO GRAPHITE PENCILS DISPLAY CDU</t>
  </si>
  <si>
    <t>CDU796</t>
  </si>
  <si>
    <t>Handy Specs</t>
  </si>
  <si>
    <t>Notebook Tidy</t>
  </si>
  <si>
    <t>BOOKAROO PEN POUCH - GOLD</t>
  </si>
  <si>
    <t>BOOKAROO PEN POUCH - MINT</t>
  </si>
  <si>
    <t>BOOKAROO PEN POUCH - ROSE GOLD</t>
  </si>
  <si>
    <t>BOOKAROO PEN SET UP</t>
  </si>
  <si>
    <t>Phone Holder</t>
  </si>
  <si>
    <t>Phone Pocket</t>
  </si>
  <si>
    <t>BOOKAROO POCKET NOTEBOOK ( A6) - BLUSH</t>
  </si>
  <si>
    <t>BOOKAROO POCKET NOTEBOOK ( A6) - CHARCOAL</t>
  </si>
  <si>
    <t>BOOKAROO POCKET NOTEBOOK ( A6) - CREAM</t>
  </si>
  <si>
    <t>BOOKAROO Shelf Display 40cm</t>
  </si>
  <si>
    <t>BOOKAROO Shelf Display Insert</t>
  </si>
  <si>
    <t>Tool Belt</t>
  </si>
  <si>
    <t>BOOKAROO TOOL BELT SET UP 18 PCS</t>
  </si>
  <si>
    <t>Tech Tidy</t>
  </si>
  <si>
    <t>BOOKKEEPER BOOKMARK 2021 DISPLAY</t>
  </si>
  <si>
    <t>CDU92600</t>
  </si>
  <si>
    <t>Bookmark Book Light</t>
  </si>
  <si>
    <t>ABL111</t>
  </si>
  <si>
    <t>Bookmarks Display</t>
  </si>
  <si>
    <t>BMWDU</t>
  </si>
  <si>
    <t>Bookmarks Sleeve</t>
  </si>
  <si>
    <t>CS44</t>
  </si>
  <si>
    <t>Boomerang - Australian Made Wooden Ornament</t>
  </si>
  <si>
    <t>WO060</t>
  </si>
  <si>
    <t>BOTANICAL PUZZLE BAND BOOKS IN CDU - CROSSWORD, SUDOKU</t>
  </si>
  <si>
    <t>BPBB01-2</t>
  </si>
  <si>
    <t>Puzzle Books</t>
  </si>
  <si>
    <t>BOTANICAL PUZZLE BAND BOOKS IN CDU - WORD SEARCH</t>
  </si>
  <si>
    <t>BPBB03-4</t>
  </si>
  <si>
    <t>Bottle Brush - Australian Made Wooden Fridge Magnet</t>
  </si>
  <si>
    <t>WFM008</t>
  </si>
  <si>
    <t>Bottle Brush - Australian Made Wooden Key Ring</t>
  </si>
  <si>
    <t>WK008</t>
  </si>
  <si>
    <t>Bottle Opener - 16/A Bottles</t>
  </si>
  <si>
    <t>Shruti</t>
  </si>
  <si>
    <t>Bottle Stopper - Corkscrew S/3</t>
  </si>
  <si>
    <t>Box 160*50*5</t>
  </si>
  <si>
    <t>Box160</t>
  </si>
  <si>
    <t>Box 45cm * 45cm * 30cm</t>
  </si>
  <si>
    <t>Box4545</t>
  </si>
  <si>
    <t>Box 60cm * 40cm * 40cm</t>
  </si>
  <si>
    <t>Box6040</t>
  </si>
  <si>
    <t>Box 68cm * 60cm 8 60cm</t>
  </si>
  <si>
    <t>Box6860</t>
  </si>
  <si>
    <t>BOXED MUG- THE SHED</t>
  </si>
  <si>
    <t>MUGBTA04</t>
  </si>
  <si>
    <t>Bridge - Australian Made Wooden Ornament</t>
  </si>
  <si>
    <t>WO062</t>
  </si>
  <si>
    <t>BRILLIANT READING REST AUBERGINE</t>
  </si>
  <si>
    <t>BRILLIANT READING REST BURNT SCARLET</t>
  </si>
  <si>
    <t>BRILLIANT READING REST DISPLAY</t>
  </si>
  <si>
    <t>CDU96000</t>
  </si>
  <si>
    <t>BRILLIANT READING REST DUCK EGG BLUE</t>
  </si>
  <si>
    <t>BRILLIANT READING REST LIME</t>
  </si>
  <si>
    <t>Baby Books</t>
  </si>
  <si>
    <t>Baby Journals</t>
  </si>
  <si>
    <t>Butterfly House Sleeve</t>
  </si>
  <si>
    <t>CS43</t>
  </si>
  <si>
    <t>Canberra Bell - Australian Made Wooden Fridge Magnet</t>
  </si>
  <si>
    <t>WFM012</t>
  </si>
  <si>
    <t>Canberra Bell - Australian Made Wooden Key Ring</t>
  </si>
  <si>
    <t>WK012</t>
  </si>
  <si>
    <t>Candle Matches</t>
  </si>
  <si>
    <t>Card Pack: Charlotte Reed (MTTBWY Wisdom Cards)</t>
  </si>
  <si>
    <t>CARDCR01</t>
  </si>
  <si>
    <t>MTTBWY</t>
  </si>
  <si>
    <t>Card Pack: IHB (Date Night Cards)</t>
  </si>
  <si>
    <t>CARDIH01</t>
  </si>
  <si>
    <t>Card Sleeve</t>
  </si>
  <si>
    <t>CS1</t>
  </si>
  <si>
    <t>Cardboard Box 30 x 25 x 5</t>
  </si>
  <si>
    <t>CDB01</t>
  </si>
  <si>
    <t>Cardholder - Australian Natives</t>
  </si>
  <si>
    <t>CH001</t>
  </si>
  <si>
    <t>Cardholder</t>
  </si>
  <si>
    <t>Cardholder - Golden Wattle</t>
  </si>
  <si>
    <t>CH002</t>
  </si>
  <si>
    <t>Cardholder - Monet Water Lilies</t>
  </si>
  <si>
    <t>CH004</t>
  </si>
  <si>
    <t>Cardholder - Strawberry Thief Blue</t>
  </si>
  <si>
    <t>CH003</t>
  </si>
  <si>
    <t>Cardholder - Van Gogh's Sunflowers</t>
  </si>
  <si>
    <t>CH005</t>
  </si>
  <si>
    <t>Carnation - Australian Made Wooden Fridge Magnet</t>
  </si>
  <si>
    <t>WFM004</t>
  </si>
  <si>
    <t>Carnation - Australian Made Wooden Key Ring</t>
  </si>
  <si>
    <t>WK004</t>
  </si>
  <si>
    <t>Cassowary - Australian Made Wooden Fridge Magnet</t>
  </si>
  <si>
    <t>WFM013</t>
  </si>
  <si>
    <t>Cassowary - Australian Made Wooden Key Ring</t>
  </si>
  <si>
    <t>WK013</t>
  </si>
  <si>
    <t>Cassowary - Australian Made Wooden Ornament</t>
  </si>
  <si>
    <t>WO036</t>
  </si>
  <si>
    <t>Signage</t>
  </si>
  <si>
    <t>CDCARD</t>
  </si>
  <si>
    <t>CDCARD 1936</t>
  </si>
  <si>
    <t>A36</t>
  </si>
  <si>
    <t>CDCARD 1938</t>
  </si>
  <si>
    <t>A38</t>
  </si>
  <si>
    <t>CDCARD 1939</t>
  </si>
  <si>
    <t>A39</t>
  </si>
  <si>
    <t>CDU 14 Units A5 ASSORTED ELASTIC LEATHERETTE NOTEBOOKS</t>
  </si>
  <si>
    <t>RFS10814</t>
  </si>
  <si>
    <t>CDU 14 Units A5 LEATHERETTE DOODLE BOOKS</t>
  </si>
  <si>
    <t>RFS11213</t>
  </si>
  <si>
    <t>CDU 28 units A6 LEATHERETTE DOODLE BOOKS IN</t>
  </si>
  <si>
    <t>RFS11214</t>
  </si>
  <si>
    <t>CDU : Ice House Books (Empty)</t>
  </si>
  <si>
    <t>PACBIH01</t>
  </si>
  <si>
    <t>CDU BTB and Story of Us</t>
  </si>
  <si>
    <t>CDUQ1</t>
  </si>
  <si>
    <t>CDU Timeless</t>
  </si>
  <si>
    <t>CDUQ2</t>
  </si>
  <si>
    <t>Ceramic Coasters Funny Quotes Set Up 42 pieces w Display</t>
  </si>
  <si>
    <t>Chapter &amp; Sole - Cats, Coffee and Books</t>
  </si>
  <si>
    <t>RS037</t>
  </si>
  <si>
    <t>8 Reading Socks</t>
  </si>
  <si>
    <t>Chapter &amp; Sole - Dogs and Books</t>
  </si>
  <si>
    <t>RS038</t>
  </si>
  <si>
    <t>Chapter &amp; Sole - It's Not Hoarding If It's Books</t>
  </si>
  <si>
    <t>RS035</t>
  </si>
  <si>
    <t>Chapter &amp; Sole - Just One More Chapter</t>
  </si>
  <si>
    <t>RS034</t>
  </si>
  <si>
    <t>Chapter &amp; Sole - No Such Thing As Too Many Books</t>
  </si>
  <si>
    <t>RS039</t>
  </si>
  <si>
    <t>Chapter &amp; Sole - Read Books Drink Tea Be Happy</t>
  </si>
  <si>
    <t>RS036</t>
  </si>
  <si>
    <t>Chapter &amp; Sole - Reading is Dreaming With Your Eyes Open</t>
  </si>
  <si>
    <t>RS033</t>
  </si>
  <si>
    <t>Chapter &amp; Sole Sock Display</t>
  </si>
  <si>
    <t>CSWDU</t>
  </si>
  <si>
    <t>Chapter &amp; Sole Sock Set Up</t>
  </si>
  <si>
    <t>CSRSSU</t>
  </si>
  <si>
    <t>Charcoal Filter</t>
  </si>
  <si>
    <t>CF1</t>
  </si>
  <si>
    <t>Charity Item</t>
  </si>
  <si>
    <t>C1</t>
  </si>
  <si>
    <t>Cheese Plates - Mahattan, S/4 18cm</t>
  </si>
  <si>
    <t>Cheese Stones - Black, S/6 4cm</t>
  </si>
  <si>
    <t>Christmas Crackers for Book Lovers - Box of 9</t>
  </si>
  <si>
    <t>CC01</t>
  </si>
  <si>
    <t>CHUNKY PHOTO ALBUM - PETER RABBIT STRIPES</t>
  </si>
  <si>
    <t>RFS11232</t>
  </si>
  <si>
    <t>Classic CD Setup</t>
  </si>
  <si>
    <t>SPCD</t>
  </si>
  <si>
    <t>DVDCARD</t>
  </si>
  <si>
    <t>CLASSIC YEARS 18TH BIRTHDAY CDCARD</t>
  </si>
  <si>
    <t>CY18</t>
  </si>
  <si>
    <t>CLASSIC YEARS 21ST BIRTHDAY CDCARD</t>
  </si>
  <si>
    <t>CY21</t>
  </si>
  <si>
    <t>CLASSIC YEARS 30TH BIRTHDAY CDCARD</t>
  </si>
  <si>
    <t>CY30</t>
  </si>
  <si>
    <t>CLASSIC YEARS 40TH BIRTHDAY CDCARD</t>
  </si>
  <si>
    <t>CY40</t>
  </si>
  <si>
    <t>CLASSIC YEARS 50TH BIRTHDAY CDCARD</t>
  </si>
  <si>
    <t>CY50</t>
  </si>
  <si>
    <t>CLASSIC YEARS 60TH BIRTHDAY CDCARD</t>
  </si>
  <si>
    <t>CY60</t>
  </si>
  <si>
    <t>CLASSIC YEARS 70TH BIRTHDAY CDCARD</t>
  </si>
  <si>
    <t>CY70</t>
  </si>
  <si>
    <t>Clip On Letter Starter Pack 72 units</t>
  </si>
  <si>
    <t>SP929</t>
  </si>
  <si>
    <t>CLIP ON LETTER WIRE SPINNER</t>
  </si>
  <si>
    <t>CDU1400</t>
  </si>
  <si>
    <t>CLUEDO - ESPRESSO CUP GIFT SET</t>
  </si>
  <si>
    <t>GR170006</t>
  </si>
  <si>
    <t>CLUEDO A5 NOTEBOOK - SECRET NOTES</t>
  </si>
  <si>
    <t>GR170005</t>
  </si>
  <si>
    <t>CLUEDO COASTERS SET OF 6</t>
  </si>
  <si>
    <t>GR170004</t>
  </si>
  <si>
    <t>CLUEDO PLACEMATS SET OF 6</t>
  </si>
  <si>
    <t>GR170003</t>
  </si>
  <si>
    <t>COASTER - A RECENT STUDY FOUND</t>
  </si>
  <si>
    <t>CST16582</t>
  </si>
  <si>
    <t>Coaster - Adulting infused with wine and cake</t>
  </si>
  <si>
    <t>COASTER - BATTLE BODY</t>
  </si>
  <si>
    <t>CST19706</t>
  </si>
  <si>
    <t>Coaster - Boss Lady</t>
  </si>
  <si>
    <t>COASTER - BOTH OF US CAN'T LOOK GOOD</t>
  </si>
  <si>
    <t>CST6013</t>
  </si>
  <si>
    <t>COASTER - CHILDREN : THE GIFT THAT KEEPS TAKING</t>
  </si>
  <si>
    <t>CST17020</t>
  </si>
  <si>
    <t>COASTER - DAD'S SHED</t>
  </si>
  <si>
    <t>CSTTA7</t>
  </si>
  <si>
    <t>Coasters Clearance</t>
  </si>
  <si>
    <t>COASTER - DIFFICULT CHILDHOODS</t>
  </si>
  <si>
    <t>CST16725</t>
  </si>
  <si>
    <t>COASTER - DRINK COFFEE</t>
  </si>
  <si>
    <t>CST9250</t>
  </si>
  <si>
    <t>Coaster - Drink wine and judge</t>
  </si>
  <si>
    <t>COASTER - GAVE A SHIT</t>
  </si>
  <si>
    <t>CST19702</t>
  </si>
  <si>
    <t>COASTER - HIDING EVERYTHING IS</t>
  </si>
  <si>
    <t>CST17004</t>
  </si>
  <si>
    <t>COASTER - HIPSTERS ARE WHAT HAPPENS</t>
  </si>
  <si>
    <t>CST16661</t>
  </si>
  <si>
    <t>COASTER - I COOK WITH WINE</t>
  </si>
  <si>
    <t>CST17518</t>
  </si>
  <si>
    <t>COASTER - I DON"T DO HOUSEWORK</t>
  </si>
  <si>
    <t>CST3030</t>
  </si>
  <si>
    <t>COASTER - I DRINK COFFEE BECAUSE I NEED IT</t>
  </si>
  <si>
    <t>CST17073</t>
  </si>
  <si>
    <t>Coaster - I enjoy being used</t>
  </si>
  <si>
    <t>COASTER - I LIKE TO THINK COFFEE</t>
  </si>
  <si>
    <t>CST16728</t>
  </si>
  <si>
    <t>COASTER - I LOOKED UP FROM MY PHONE</t>
  </si>
  <si>
    <t>CST16727</t>
  </si>
  <si>
    <t>COASTER - I NEED A LOT OF COFFEE</t>
  </si>
  <si>
    <t>CST7182</t>
  </si>
  <si>
    <t>COASTER - I ONLY HAVE A KITCHEN</t>
  </si>
  <si>
    <t>CST6016</t>
  </si>
  <si>
    <t>COASTER - I REALLY NEED A DAY BETWEEN</t>
  </si>
  <si>
    <t>CST16723</t>
  </si>
  <si>
    <t>Coaster - I think you are really funny - Vodka</t>
  </si>
  <si>
    <t>COASTER - I WEAR THE PANTS</t>
  </si>
  <si>
    <t>CST16881</t>
  </si>
  <si>
    <t>Coaster - I'm here for the wine</t>
  </si>
  <si>
    <t>COASTER - I'M NOT OLD. I'M RETRO.</t>
  </si>
  <si>
    <t>CST16963</t>
  </si>
  <si>
    <t>COASTER - IF I AGREED WITH YOU</t>
  </si>
  <si>
    <t>CST19991</t>
  </si>
  <si>
    <t>COASTER - IT'S BETTER TO HAVE LOVED</t>
  </si>
  <si>
    <t>CST9366</t>
  </si>
  <si>
    <t>COASTER - JUST BECAUSE I WORK HERE</t>
  </si>
  <si>
    <t>CST7409</t>
  </si>
  <si>
    <t>COASTER - MY COFFEE NEEDS COFFEE</t>
  </si>
  <si>
    <t>CST19719</t>
  </si>
  <si>
    <t>COASTER - MY FANTASY</t>
  </si>
  <si>
    <t>CST16869</t>
  </si>
  <si>
    <t>COASTER - MY PROBLEM IS THAT</t>
  </si>
  <si>
    <t>CST16665</t>
  </si>
  <si>
    <t>COASTER - OF COURSE I LOVE YOU</t>
  </si>
  <si>
    <t>CST8545</t>
  </si>
  <si>
    <t>COASTER - PICK ME UP - ALCOHOL</t>
  </si>
  <si>
    <t>CSTPMU5</t>
  </si>
  <si>
    <t>COASTER - PICK ME UP - SHOPPING</t>
  </si>
  <si>
    <t>CSTPMU4</t>
  </si>
  <si>
    <t>COASTER - PICK ME UP - WORK</t>
  </si>
  <si>
    <t>CSTPMU3</t>
  </si>
  <si>
    <t>Coaster - Please leave by 9</t>
  </si>
  <si>
    <t>COASTER - REALIZE NO SENSE</t>
  </si>
  <si>
    <t>CST19709</t>
  </si>
  <si>
    <t>COASTER - TEMPTATION</t>
  </si>
  <si>
    <t>CST19701</t>
  </si>
  <si>
    <t>COASTER - THE FIRST 50 YEARS</t>
  </si>
  <si>
    <t>CST7811</t>
  </si>
  <si>
    <t>Coaster - They are definitely into you - Rum</t>
  </si>
  <si>
    <t>COASTER - TIME IN THE DAY</t>
  </si>
  <si>
    <t>CST19710</t>
  </si>
  <si>
    <t>Coaster - Trust me you can dance - Gin</t>
  </si>
  <si>
    <t>COASTER - YOU MEAN DRINKING BEER</t>
  </si>
  <si>
    <t>CST7548</t>
  </si>
  <si>
    <t>Coaster CDU</t>
  </si>
  <si>
    <t>AGCCDU</t>
  </si>
  <si>
    <t>COASTER COUNTER 40 POCKET SPINNER</t>
  </si>
  <si>
    <t>DICSO1B</t>
  </si>
  <si>
    <t>Coaster Display Starter Pack 54 units</t>
  </si>
  <si>
    <t>DISP16</t>
  </si>
  <si>
    <t>COASTER-COFFEE!</t>
  </si>
  <si>
    <t>CST7474</t>
  </si>
  <si>
    <t>COASTER-DAD'S TAXI</t>
  </si>
  <si>
    <t>CSTTA3</t>
  </si>
  <si>
    <t>COASTER-I JUST WANT PEOPLE TO ACCEPT ME</t>
  </si>
  <si>
    <t>CST16917</t>
  </si>
  <si>
    <t>COASTER-I'M NOT HARD TO PLEASE</t>
  </si>
  <si>
    <t>CST6005</t>
  </si>
  <si>
    <t>COASTER-LATTE AFTER THE SCHOOL RUN</t>
  </si>
  <si>
    <t>CSTTA5</t>
  </si>
  <si>
    <t>Coasters Set of 4 - William Morris (Blue &amp; Ochre Mixed)</t>
  </si>
  <si>
    <t>CST4WM01</t>
  </si>
  <si>
    <t>Coasters Single - Planet Cat (Great Thoughts)</t>
  </si>
  <si>
    <t>CST1PC02</t>
  </si>
  <si>
    <t>Coasters Single - Planet Cat (Greater Love)</t>
  </si>
  <si>
    <t>CST1PC04</t>
  </si>
  <si>
    <t>Coasters Single - Planet Cat (Mysterious Folk)</t>
  </si>
  <si>
    <t>CST1PC06</t>
  </si>
  <si>
    <t>Coasters Single - Planet Cat (Simple Life)</t>
  </si>
  <si>
    <t>CST1PC03</t>
  </si>
  <si>
    <t>Coasters Single - Planet Cat (Slow Down)</t>
  </si>
  <si>
    <t>CST1PC05</t>
  </si>
  <si>
    <t>Coasters Single - Planet Cat (Time Spent)</t>
  </si>
  <si>
    <t>CST1PC01</t>
  </si>
  <si>
    <t>Coasters William Morris Set Up 36 pieces w Display</t>
  </si>
  <si>
    <t>Cockatoo - Australian Made Wooden Fridge Magnet</t>
  </si>
  <si>
    <t>WFM014</t>
  </si>
  <si>
    <t>Cockatoo - Australian Made Wooden Key Ring</t>
  </si>
  <si>
    <t>WK014</t>
  </si>
  <si>
    <t>Cockatoo - Australian Made Wooden Ornament</t>
  </si>
  <si>
    <t>WO037</t>
  </si>
  <si>
    <t>Coin Pouch - William Morris (Rose Gold Larkspur)</t>
  </si>
  <si>
    <t>WM015</t>
  </si>
  <si>
    <t>Compact Mirror - Australian Natives</t>
  </si>
  <si>
    <t>CM08</t>
  </si>
  <si>
    <t>Compact Mirror - Golden Wattle</t>
  </si>
  <si>
    <t>CM09</t>
  </si>
  <si>
    <t>Compact Mirror - Sunflowers</t>
  </si>
  <si>
    <t>CM06</t>
  </si>
  <si>
    <t>Compact Mirror - Tropical Koala</t>
  </si>
  <si>
    <t>CM10</t>
  </si>
  <si>
    <t>Compact Mirror - Water Lilies</t>
  </si>
  <si>
    <t>CM07</t>
  </si>
  <si>
    <t>Compact Mirror Kilburn</t>
  </si>
  <si>
    <t>CM05</t>
  </si>
  <si>
    <t>Compact Mirror Peonie Rose</t>
  </si>
  <si>
    <t>CM04</t>
  </si>
  <si>
    <t>Compact Mirrors - Assorted 24 Units</t>
  </si>
  <si>
    <t>CMASS24</t>
  </si>
  <si>
    <t>Compact Mirrors</t>
  </si>
  <si>
    <t>Compact Mirrors and Pill Boxes - Fruit and Strawberry Thief 24 Units</t>
  </si>
  <si>
    <t>Pill Boxes</t>
  </si>
  <si>
    <t>Compact Mirrors and Pill Boxes - Peonie Rose and Kilburn 24 Units</t>
  </si>
  <si>
    <t>Compact Mirrors and Pill Boxes - Sunflowers and Water Lilies 24 Units</t>
  </si>
  <si>
    <t>Component - Black Floral Hair Wrap</t>
  </si>
  <si>
    <t>BH007C</t>
  </si>
  <si>
    <t>Component - Black Floral Satin Eyemask and Scrunchie</t>
  </si>
  <si>
    <t>BH023C</t>
  </si>
  <si>
    <t>Component - Black Floral Satin Pillow</t>
  </si>
  <si>
    <t>BH031C</t>
  </si>
  <si>
    <t>Bluhen</t>
  </si>
  <si>
    <t>Component - Black Floral Satin Sleep Cap</t>
  </si>
  <si>
    <t>BH027C</t>
  </si>
  <si>
    <t>Component - Black Floral Shower Cap</t>
  </si>
  <si>
    <t>BH003C</t>
  </si>
  <si>
    <t>Component - Black Floral Slippers</t>
  </si>
  <si>
    <t>BH035C</t>
  </si>
  <si>
    <t>Component - Black Floral Spa Head Band</t>
  </si>
  <si>
    <t>BH015C</t>
  </si>
  <si>
    <t>Component - Black Floral Towling Scrunchie</t>
  </si>
  <si>
    <t>BH011C</t>
  </si>
  <si>
    <t>Component - Derma Roller</t>
  </si>
  <si>
    <t>BH018C</t>
  </si>
  <si>
    <t>Component - Ice Roller</t>
  </si>
  <si>
    <t>BH017C</t>
  </si>
  <si>
    <t>Component - Jade Roller</t>
  </si>
  <si>
    <t>BH019C</t>
  </si>
  <si>
    <t>Component - Leopard Print Hair Wrap</t>
  </si>
  <si>
    <t>BH005C</t>
  </si>
  <si>
    <t>Component - Leopard Print Satin Eyemask and Scrunchie</t>
  </si>
  <si>
    <t>BH021C</t>
  </si>
  <si>
    <t>Component - Leopard Print Satin Pillow</t>
  </si>
  <si>
    <t>BH029C</t>
  </si>
  <si>
    <t>Component - Leopard Print Satin Sleep Cap</t>
  </si>
  <si>
    <t>BH025C</t>
  </si>
  <si>
    <t>Component - Leopard Print Shower Cap</t>
  </si>
  <si>
    <t>BH001C</t>
  </si>
  <si>
    <t>Component - Leopard Print Slippers</t>
  </si>
  <si>
    <t>BH033C</t>
  </si>
  <si>
    <t>Component - Leopard Print Spa Head Band</t>
  </si>
  <si>
    <t>BH013C</t>
  </si>
  <si>
    <t>Component - Leopard Print Towling Scrunchie</t>
  </si>
  <si>
    <t>BH009C</t>
  </si>
  <si>
    <t>Component - Peonie Rose Hair Wrap</t>
  </si>
  <si>
    <t>BH008C</t>
  </si>
  <si>
    <t>Component - Peonie Rose Satin Eyemask and Scrunchie</t>
  </si>
  <si>
    <t>BH024C</t>
  </si>
  <si>
    <t>Component - Peonie Rose Satin Pillow</t>
  </si>
  <si>
    <t>BH032C</t>
  </si>
  <si>
    <t>Component - Peonie Rose Satin Sleep Cap</t>
  </si>
  <si>
    <t>BH028C</t>
  </si>
  <si>
    <t>Component - Peonie Rose Shower Cap</t>
  </si>
  <si>
    <t>BH004C</t>
  </si>
  <si>
    <t>Component - Peonie Rose Slippers</t>
  </si>
  <si>
    <t>BH036C</t>
  </si>
  <si>
    <t>Component - Peonie Rose Spa Head Band</t>
  </si>
  <si>
    <t>BH016C</t>
  </si>
  <si>
    <t>Component - Peonie Rose Towling Scrunchie</t>
  </si>
  <si>
    <t>BH012C</t>
  </si>
  <si>
    <t>Component - Pink Polka Dot Hair Wrap</t>
  </si>
  <si>
    <t>BH006C</t>
  </si>
  <si>
    <t>Component - Pink Polka Dot Satin Eyemask and Scrunchie</t>
  </si>
  <si>
    <t>BH022C</t>
  </si>
  <si>
    <t>Component - Pink Polka Dot Satin Pillow</t>
  </si>
  <si>
    <t>BH030C</t>
  </si>
  <si>
    <t>Component - Pink Polka Dot Satin Sleep Cap</t>
  </si>
  <si>
    <t>BH026C</t>
  </si>
  <si>
    <t>Component - Pink Polka Dot Shower Cap</t>
  </si>
  <si>
    <t>BH002C</t>
  </si>
  <si>
    <t>Component - Pink Polka Dot Slippers</t>
  </si>
  <si>
    <t>BH034C</t>
  </si>
  <si>
    <t>Component - Pink Polka Dot Spa Head Band</t>
  </si>
  <si>
    <t>BH014C</t>
  </si>
  <si>
    <t>Component - Pink Polka Dot Towling Scrunchie</t>
  </si>
  <si>
    <t>BH010C</t>
  </si>
  <si>
    <t>Component - Rose Quartz Roller</t>
  </si>
  <si>
    <t>BH020C</t>
  </si>
  <si>
    <t>Cooling Cubes - S/4 3cm</t>
  </si>
  <si>
    <t>Cosmetic Bag - Australian Natives</t>
  </si>
  <si>
    <t>CB07</t>
  </si>
  <si>
    <t>Cosmetic Bag</t>
  </si>
  <si>
    <t>Cosmetic Bag - Fruit</t>
  </si>
  <si>
    <t>CB02</t>
  </si>
  <si>
    <t>Cosmetic Bag - Golden Wattle</t>
  </si>
  <si>
    <t>CB08</t>
  </si>
  <si>
    <t>Cosmetic Bag - Kilburn</t>
  </si>
  <si>
    <t>CB04</t>
  </si>
  <si>
    <t>Cosmetic Bag - Peonie Rose</t>
  </si>
  <si>
    <t>CB03</t>
  </si>
  <si>
    <t>Cosmetic bag - RHS (PVC Coral)</t>
  </si>
  <si>
    <t>MAKERHS05</t>
  </si>
  <si>
    <t>Cosmetic Bag - Strawberry Thief</t>
  </si>
  <si>
    <t>CB01</t>
  </si>
  <si>
    <t>Cosmetic Bag - Sunflowers</t>
  </si>
  <si>
    <t>CB05</t>
  </si>
  <si>
    <t>Cosmetic Bag - Tropical Koala</t>
  </si>
  <si>
    <t>CB09</t>
  </si>
  <si>
    <t>Cosmetic Bag - Water Lilies</t>
  </si>
  <si>
    <t>CB06</t>
  </si>
  <si>
    <t>Cosmetic Bag - William Morris (Strawberry Thief Blue)</t>
  </si>
  <si>
    <t>MAKEWM01</t>
  </si>
  <si>
    <t>CRACKERS WITH MAGIC GAMES</t>
  </si>
  <si>
    <t>RFS11116</t>
  </si>
  <si>
    <t>Creams Display</t>
  </si>
  <si>
    <t>CRD</t>
  </si>
  <si>
    <t>Credit</t>
  </si>
  <si>
    <t>credit</t>
  </si>
  <si>
    <t>Cross Body Bag - RHS (Irises &amp; Hellebores)</t>
  </si>
  <si>
    <t>BAGRHS02</t>
  </si>
  <si>
    <t>CUP &amp; SAUCER - MUM'S TAXI</t>
  </si>
  <si>
    <t>ZCUPTA03</t>
  </si>
  <si>
    <t>Mugs Clearance</t>
  </si>
  <si>
    <t>CUP &amp; SAUCER-COFFEE, I BELIEVE IN COFFEE</t>
  </si>
  <si>
    <t>ZCUP7290</t>
  </si>
  <si>
    <t>Cushion (30x50) - William Morris (Willow Grey)</t>
  </si>
  <si>
    <t>CUSHWM06</t>
  </si>
  <si>
    <t>Cushion</t>
  </si>
  <si>
    <t>Cushion (30x50) - William Morris (Willow Ochre)</t>
  </si>
  <si>
    <t>CUSHWM05</t>
  </si>
  <si>
    <t>Cushion (40 x 40) - William Morris (Strawberry Thief Blue)</t>
  </si>
  <si>
    <t>CUSHWM01</t>
  </si>
  <si>
    <t>Cushion - William Morris (Blue Larkspur)</t>
  </si>
  <si>
    <t>WM002</t>
  </si>
  <si>
    <t>Cushion Filled - Planet Cat (Slow Down)</t>
  </si>
  <si>
    <t>CUSHPC01</t>
  </si>
  <si>
    <t>Cylinder Tin Compendium</t>
  </si>
  <si>
    <t>RFS11628</t>
  </si>
  <si>
    <t>DAD &amp; ME JOURNAL</t>
  </si>
  <si>
    <t>DMJ</t>
  </si>
  <si>
    <t>DARK FLORAL STATIONARY SET</t>
  </si>
  <si>
    <t>BSS001</t>
  </si>
  <si>
    <t>DEAR BABY GUEST BOOK - BLUE</t>
  </si>
  <si>
    <t>DBB</t>
  </si>
  <si>
    <t>DEAR BABY GUEST BOOK - PINK</t>
  </si>
  <si>
    <t>DBP</t>
  </si>
  <si>
    <t>DEAR DAD, FROM YOU TO ME</t>
  </si>
  <si>
    <t>JOD</t>
  </si>
  <si>
    <t>DEAR GRANDAD, FROM YOU TO ME</t>
  </si>
  <si>
    <t>JOGD</t>
  </si>
  <si>
    <t>DEAR GRANDMA, FROM YOU TO ME</t>
  </si>
  <si>
    <t>JOGM</t>
  </si>
  <si>
    <t>DEAR MUM, FROM YOU TO ME</t>
  </si>
  <si>
    <t>JOM</t>
  </si>
  <si>
    <t>Deleted item</t>
  </si>
  <si>
    <t>xxzz</t>
  </si>
  <si>
    <t>Dice Cup, Dice &amp; Playing Cards - HARLEQUIN GAMES Playing Cards</t>
  </si>
  <si>
    <t>HQ001P</t>
  </si>
  <si>
    <t>Dinosaur Range Sleeve</t>
  </si>
  <si>
    <t>CS32</t>
  </si>
  <si>
    <t>Display Baby Journals</t>
  </si>
  <si>
    <t>CDUBJ</t>
  </si>
  <si>
    <t>Display From You To Me</t>
  </si>
  <si>
    <t>CDUFYTMC</t>
  </si>
  <si>
    <t>DOG EARS BOOKMARK - BULLDOG</t>
  </si>
  <si>
    <t>DOG EARS BOOKMARK - DACHSHUND</t>
  </si>
  <si>
    <t>DOG EARS BOOKMARK - GOLDEN RETRIEVER</t>
  </si>
  <si>
    <t>DOG EARS BOOKMARK - LABRADOR</t>
  </si>
  <si>
    <t>DOG EARS BOOKMARK - PUG</t>
  </si>
  <si>
    <t>DOG EARS BOOKMARK - TERRIER</t>
  </si>
  <si>
    <t>Dog Shaming Calendar</t>
  </si>
  <si>
    <t>SWC005</t>
  </si>
  <si>
    <t>Double Sided Table Top Display (Christmas Ornaments)</t>
  </si>
  <si>
    <t>DSTD</t>
  </si>
  <si>
    <t>DTF Adhesive 1KG</t>
  </si>
  <si>
    <t>DTFA</t>
  </si>
  <si>
    <t>DTF Hot Peel 60cm x 100m</t>
  </si>
  <si>
    <t>DTFHP</t>
  </si>
  <si>
    <t>DTF Ink - Cyan  1 Litre</t>
  </si>
  <si>
    <t>DTFC</t>
  </si>
  <si>
    <t>DTF Ink - Key  1 Litre</t>
  </si>
  <si>
    <t>DTFK</t>
  </si>
  <si>
    <t>DTF Ink - Magenta  1 Litre</t>
  </si>
  <si>
    <t>DTFM</t>
  </si>
  <si>
    <t>DTF Ink - White 1 Litre</t>
  </si>
  <si>
    <t>DTFW</t>
  </si>
  <si>
    <t>DTF Ink - Yellow  1 Litre</t>
  </si>
  <si>
    <t>DTFY</t>
  </si>
  <si>
    <t>DVD CARD SPINNER HEADER CARD</t>
  </si>
  <si>
    <t>DVDFSC</t>
  </si>
  <si>
    <t>DVD Card Classic</t>
  </si>
  <si>
    <t>DVDCARD 1930</t>
  </si>
  <si>
    <t>D30</t>
  </si>
  <si>
    <t>DVDCARD 1936</t>
  </si>
  <si>
    <t>D36</t>
  </si>
  <si>
    <t>DVDCARD 1937</t>
  </si>
  <si>
    <t>D37</t>
  </si>
  <si>
    <t>DVDCARD MILESTONE YEARS - 40TH</t>
  </si>
  <si>
    <t>DM40</t>
  </si>
  <si>
    <t>DVDCARD MILESTONE YEARS - 50TH</t>
  </si>
  <si>
    <t>DM50</t>
  </si>
  <si>
    <t>DVDCARD MILESTONE YEARS - 60TH</t>
  </si>
  <si>
    <t>DM60</t>
  </si>
  <si>
    <t>DVDCARD MILESTONE YEARS - 70TH</t>
  </si>
  <si>
    <t>DM70</t>
  </si>
  <si>
    <t>Echidna - Australian Made Wooden Fridge Magnet</t>
  </si>
  <si>
    <t>WFM015</t>
  </si>
  <si>
    <t>Echidna - Australian Made Wooden Key Ring</t>
  </si>
  <si>
    <t>WK015</t>
  </si>
  <si>
    <t>Echidna - Australian Made Wooden Ornament</t>
  </si>
  <si>
    <t>WO038</t>
  </si>
  <si>
    <t>ECLECTIONARY BOOKMARKS PENS SET UP</t>
  </si>
  <si>
    <t>SP378</t>
  </si>
  <si>
    <t>ECLECTIONARY JOURNAL TABS  DISPLAY</t>
  </si>
  <si>
    <t>37600D</t>
  </si>
  <si>
    <t>ECLECTIONARY JOURNAL TABS -  BOTANICAL</t>
  </si>
  <si>
    <t>ECLECTIONARY JOURNAL TABS -  FANTASY</t>
  </si>
  <si>
    <t>ECLECTIONARY JOURNAL TABS - GOOD VIBES</t>
  </si>
  <si>
    <t>ECLECTIONARY JOURNAL TABS - VINTAGE</t>
  </si>
  <si>
    <t>ECLECTIONARY JOURNAL TABS STARTER PACK</t>
  </si>
  <si>
    <t>SP376</t>
  </si>
  <si>
    <t>Emu - Australian Made Wooden Fridge Magnet</t>
  </si>
  <si>
    <t>WFM016</t>
  </si>
  <si>
    <t>Emu - Australian Made Wooden Key Ring</t>
  </si>
  <si>
    <t>WK016</t>
  </si>
  <si>
    <t>Emu - Australian Made Wooden Ornament</t>
  </si>
  <si>
    <t>WO039</t>
  </si>
  <si>
    <t>ENAMEL MUG - FLEET ST / OLD KENT ROAD</t>
  </si>
  <si>
    <t>GR170096</t>
  </si>
  <si>
    <t>Extra Long Hot Water Bottle - Fruit</t>
  </si>
  <si>
    <t>HWB02</t>
  </si>
  <si>
    <t>Hot Water Bottle</t>
  </si>
  <si>
    <t>Extra Long Hot Water Bottle - Peonie Rose</t>
  </si>
  <si>
    <t>HWB04</t>
  </si>
  <si>
    <t>Extra Long Hot Water Bottle - Strawberry Thief</t>
  </si>
  <si>
    <t>HWB01</t>
  </si>
  <si>
    <t>Extra Long Hot Water Bottle - Sunflowers</t>
  </si>
  <si>
    <t>HWB03</t>
  </si>
  <si>
    <t>Eye Masks WDU</t>
  </si>
  <si>
    <t>Eyemask Blue Mask Component</t>
  </si>
  <si>
    <t>E004</t>
  </si>
  <si>
    <t>Eyemask Grey Box Component</t>
  </si>
  <si>
    <t>E012b</t>
  </si>
  <si>
    <t>Eyemask Grey Mask Component</t>
  </si>
  <si>
    <t>E012</t>
  </si>
  <si>
    <t>Eyemask Rose Gold Box Component</t>
  </si>
  <si>
    <t>E011b</t>
  </si>
  <si>
    <t>Eyemask Rose Gold Mask Component</t>
  </si>
  <si>
    <t>E011</t>
  </si>
  <si>
    <t>Fairy Garden Set Sleeve</t>
  </si>
  <si>
    <t>CS24</t>
  </si>
  <si>
    <t>Fairy Penguin - Australian Made Wooden Fridge Magnet</t>
  </si>
  <si>
    <t>WFM017</t>
  </si>
  <si>
    <t>Fairy Penguin - Australian Made Wooden Key Ring</t>
  </si>
  <si>
    <t>WK017</t>
  </si>
  <si>
    <t>Flexi and Traveller Book Light Rechargeable Set Up</t>
  </si>
  <si>
    <t>FBTBLRSP</t>
  </si>
  <si>
    <t>Flexi Book Light Rechargeable Set Up</t>
  </si>
  <si>
    <t>FBLRSP</t>
  </si>
  <si>
    <t>Floral Set Up Australian Made Wooden Bookmarks  72 Units</t>
  </si>
  <si>
    <t>WBKMSP</t>
  </si>
  <si>
    <t>Floral Set Up Australian Made Wooden Keyrings 72 Units</t>
  </si>
  <si>
    <t>WKRASP</t>
  </si>
  <si>
    <t>Floral Set Up Australian Made Wooden Magnets 72 Units</t>
  </si>
  <si>
    <t>WFMGSP</t>
  </si>
  <si>
    <t>Flowers Set Up Australian Made Wooden Greeting Cards 36pcs</t>
  </si>
  <si>
    <t>SPGCF</t>
  </si>
  <si>
    <t>Fold Away Book Holder CDU On Own</t>
  </si>
  <si>
    <t>FABHCDU</t>
  </si>
  <si>
    <t>Food Cart</t>
  </si>
  <si>
    <t>FC</t>
  </si>
  <si>
    <t>FOR HER GIFT SET UP GOLDEN WATTLE</t>
  </si>
  <si>
    <t>HERGW</t>
  </si>
  <si>
    <t>FOR MUM GIFT SET UP GOLDEN WATTLE</t>
  </si>
  <si>
    <t>MUMGW</t>
  </si>
  <si>
    <t>FOR MUM GIFT SET UP SUNFLOWERS</t>
  </si>
  <si>
    <t>MUMSF</t>
  </si>
  <si>
    <t>FOR MUM GIFT SET UP WATER LILLIES</t>
  </si>
  <si>
    <t>MUMWL</t>
  </si>
  <si>
    <t>Fridge Magnet Painting Kit - Australian Animals Sleeve</t>
  </si>
  <si>
    <t>CS47</t>
  </si>
  <si>
    <t>Fridge Magnet Painting Kit - Dinosaur Sleeve</t>
  </si>
  <si>
    <t>CS48</t>
  </si>
  <si>
    <t>Fridge Magnet Painting Kit - Trucks and Rockets Sleeve</t>
  </si>
  <si>
    <t>CS46</t>
  </si>
  <si>
    <t>Fridge Magnet Painting Kit - Unicorn and Mermaid Sleeve</t>
  </si>
  <si>
    <t>CS45</t>
  </si>
  <si>
    <t>FROM YOU TO ME BABY JOURNAL DISPLAY</t>
  </si>
  <si>
    <t>CDUFYTML</t>
  </si>
  <si>
    <t>FROM YOU TO ME CONTEMPORARY JOURNAL DISPLAY</t>
  </si>
  <si>
    <t>CDUFYTMS</t>
  </si>
  <si>
    <t>FROZEN 3D EMBOSSED STICKERS - 300CDU ASSORTED</t>
  </si>
  <si>
    <t>FRZCDU</t>
  </si>
  <si>
    <t>Stickers Clearance</t>
  </si>
  <si>
    <t>Fruit Kit 1</t>
  </si>
  <si>
    <t>Kit5</t>
  </si>
  <si>
    <t>Galah - Australian Made Wooden Fridge Magnet</t>
  </si>
  <si>
    <t>WFM018</t>
  </si>
  <si>
    <t>Galah - Australian Made Wooden Key Ring</t>
  </si>
  <si>
    <t>WK018</t>
  </si>
  <si>
    <t>GARDEN TOOLS SET - MIDNIGHT GROVE</t>
  </si>
  <si>
    <t>RFS11735</t>
  </si>
  <si>
    <t>Garden Tools</t>
  </si>
  <si>
    <t>Gentlemen's 5 Piece Grooming Kit in a Flat Brushed Tin</t>
  </si>
  <si>
    <t>RFS11962</t>
  </si>
  <si>
    <t>Giant Pick Up Sticks</t>
  </si>
  <si>
    <t>RFS11629</t>
  </si>
  <si>
    <t>GIFT WRAP FOR BOOKS - BROWN PAPER PARCEL</t>
  </si>
  <si>
    <t>GIFT WRAP FOR BOOKS - LEATHER SATCHEL</t>
  </si>
  <si>
    <t>Giftbook Mini 48pp: Beryl Cook (Little Book of Appreciation)</t>
  </si>
  <si>
    <t>BOOKBC03</t>
  </si>
  <si>
    <t>Giftbook Mini 48pp: Off the Leash (Doodle Your Doggy)</t>
  </si>
  <si>
    <t>BOOKRF03</t>
  </si>
  <si>
    <t>Giftbook Mini 48pp: Planet Cat (Cat Wisdom)</t>
  </si>
  <si>
    <t>BOOKPC02</t>
  </si>
  <si>
    <t>Giftbook Portrait 64pp: MAMIL (How to Look Pro)</t>
  </si>
  <si>
    <t>BOOKSP02</t>
  </si>
  <si>
    <t>Giftbook Small Portrait 64pp: Wallace &amp; Gromit (A Grand )</t>
  </si>
  <si>
    <t>BOOKAA04</t>
  </si>
  <si>
    <t>Giftbook Small Portrait 64pp: Wallace &amp; Gromit (The Wrong)</t>
  </si>
  <si>
    <t>BOOKAA05</t>
  </si>
  <si>
    <t>Giftbook Square 40pp: IHB (Classic Moment Pride &amp; Prejudice</t>
  </si>
  <si>
    <t>BOOKIH09</t>
  </si>
  <si>
    <t>Giftbook Square 40pp: IHB (Classic Moments Alice Wonderland</t>
  </si>
  <si>
    <t>BOOKIH10</t>
  </si>
  <si>
    <t>Giftbook Square 40pp: IHB (Classic Moments Little Women)</t>
  </si>
  <si>
    <t>BOOKIH12</t>
  </si>
  <si>
    <t>Giftbook Square 40pp: IHB (Classic Moments Romeo &amp; Juliet)</t>
  </si>
  <si>
    <t>BOOKIH11</t>
  </si>
  <si>
    <t>Giftbook Square 40pp: Shaun Sheep (Save the Tree)</t>
  </si>
  <si>
    <t>BOOKAA02</t>
  </si>
  <si>
    <t>Giftbook Square 64pp: Beryl Cook (30 Ways to Grow Old)</t>
  </si>
  <si>
    <t>BOOKBC01</t>
  </si>
  <si>
    <t>Giftbook Square 64pp: IHB (Self: Help For Superheroes)</t>
  </si>
  <si>
    <t>BOOKIH08</t>
  </si>
  <si>
    <t>Giftbook Square 64pp: IHB (Survival Guide: Aliens)</t>
  </si>
  <si>
    <t>BOOKIH05</t>
  </si>
  <si>
    <t>Giftbook Square 64pp: IHB (Survival Guide: Vampires)</t>
  </si>
  <si>
    <t>BOOKIH04</t>
  </si>
  <si>
    <t>Giftbook Square 64pp: IHB (Survival Guide: Zombies)</t>
  </si>
  <si>
    <t>BOOKIH03</t>
  </si>
  <si>
    <t>Giftbook Square 64pp: Jolly Awesome (Let the Fun Be Gin)</t>
  </si>
  <si>
    <t>BOOKJA02</t>
  </si>
  <si>
    <t>Giftbook Square 64pp: Planet Cat (Cat Wisdom)</t>
  </si>
  <si>
    <t>BOOKPC01</t>
  </si>
  <si>
    <t>Giftbook Square 64pp: Thunderbirds (Boss Lady Handbook)</t>
  </si>
  <si>
    <t>BOOKTB01</t>
  </si>
  <si>
    <t>Giftbook Square 64pp: W&amp;G (Lovely Cheese Gromit)</t>
  </si>
  <si>
    <t>BOOKAA01</t>
  </si>
  <si>
    <t>Giftset Mini Book &amp; Espresso Cup: Beryl Cook</t>
  </si>
  <si>
    <t>MBMGBC03</t>
  </si>
  <si>
    <t>Giftset Mini Book &amp; Espresso Cup: Off The Leash</t>
  </si>
  <si>
    <t>MBMGRF03</t>
  </si>
  <si>
    <t>Giftset Mini Book &amp; Espresso Cup: Planet Cat</t>
  </si>
  <si>
    <t>MBMGPC02</t>
  </si>
  <si>
    <t>Giftset Mini Book &amp; Espresso Cup: Wallace &amp; Gromit</t>
  </si>
  <si>
    <t>MBMGAA03</t>
  </si>
  <si>
    <t>Giftset Mug &amp; Book : Thunderbirds (Boss Lady Book &amp; Mug Set)</t>
  </si>
  <si>
    <t>BKMGTB01</t>
  </si>
  <si>
    <t>Giftset Mug &amp; Book: Beryl Cook (30 Ways to Grow Old)</t>
  </si>
  <si>
    <t>BKMGBC01</t>
  </si>
  <si>
    <t>Giftset Mug &amp; Book: Wallace &amp; Gromit (A Grand Day Out)</t>
  </si>
  <si>
    <t>BKMGAA04</t>
  </si>
  <si>
    <t>GIMBLE - FOREST GREEN</t>
  </si>
  <si>
    <t>GIMBLE TRAVELLER PINK</t>
  </si>
  <si>
    <t>Gin Stones - S/9, 9cm</t>
  </si>
  <si>
    <t>Glasses Case - Golden Wattle</t>
  </si>
  <si>
    <t>GC015</t>
  </si>
  <si>
    <t>Glasses Case - Planet Cat (Smallest Feline)</t>
  </si>
  <si>
    <t>GLSCSPC01</t>
  </si>
  <si>
    <t>Glasses Case - Tropical Koala</t>
  </si>
  <si>
    <t>GC016</t>
  </si>
  <si>
    <t>Glasses Case - William Morris (Willow Blue)</t>
  </si>
  <si>
    <t>GLSCSWM01</t>
  </si>
  <si>
    <t>Glasses Case - William Morris (Willow Ochre)</t>
  </si>
  <si>
    <t>GLSCSWM02</t>
  </si>
  <si>
    <t>Glasses Cases WDU</t>
  </si>
  <si>
    <t>GlassWear Black &amp; White Striped Crystal - Silver Alloy</t>
  </si>
  <si>
    <t>GW013</t>
  </si>
  <si>
    <t>USA ONLY</t>
  </si>
  <si>
    <t>GlassWear</t>
  </si>
  <si>
    <t>GlassWear Black Spinal - Stainless Steel</t>
  </si>
  <si>
    <t>GW002</t>
  </si>
  <si>
    <t>GlassWear Black Stretch Silk - Silver Alloy</t>
  </si>
  <si>
    <t>GW005</t>
  </si>
  <si>
    <t>GlassWear Black Twisted Leather - Stainless</t>
  </si>
  <si>
    <t>GW008</t>
  </si>
  <si>
    <t>GlassWear Burgandy Leather - Rose Gold</t>
  </si>
  <si>
    <t>GW006</t>
  </si>
  <si>
    <t>GlassWear Faceted Spaced Beads - Silver Alloy</t>
  </si>
  <si>
    <t>GW012</t>
  </si>
  <si>
    <t>GLASSWEAR MDF STAND</t>
  </si>
  <si>
    <t>CDUGW</t>
  </si>
  <si>
    <t>GlassWear Roma Red Acrylic Seed - Silver Alloy</t>
  </si>
  <si>
    <t>GW014</t>
  </si>
  <si>
    <t>GlassWear Silver Chain - Stainless Steel</t>
  </si>
  <si>
    <t>GW004</t>
  </si>
  <si>
    <t>GlassWear Striped Pyrite - Silver Alloy</t>
  </si>
  <si>
    <t>GW009</t>
  </si>
  <si>
    <t>GlassWear Turquoise Acrylic Seed - Silver Alloy</t>
  </si>
  <si>
    <t>GW010</t>
  </si>
  <si>
    <t>GlassWear White Twisted Leather - Rose Gold</t>
  </si>
  <si>
    <t>GW007</t>
  </si>
  <si>
    <t>GlassWear Wood Bead - Silver Alloy</t>
  </si>
  <si>
    <t>GW011</t>
  </si>
  <si>
    <t>GLOVES &amp; SECATEURS SET - MIDNIGHT GROVE</t>
  </si>
  <si>
    <t>RFS11737</t>
  </si>
  <si>
    <t>GLOVES &amp; TROWEL SET - MIDNIGHT GROVE</t>
  </si>
  <si>
    <t>RFS11736</t>
  </si>
  <si>
    <t>Gold Tassel</t>
  </si>
  <si>
    <t>GT</t>
  </si>
  <si>
    <t>Golden Wattle - Australian Made Wooden Fridge Magnet</t>
  </si>
  <si>
    <t>WFM010</t>
  </si>
  <si>
    <t>Golden Wattle - Australian Made Wooden Key Ring</t>
  </si>
  <si>
    <t>WK010</t>
  </si>
  <si>
    <t>GRANDAD &amp; ME JOURNAL</t>
  </si>
  <si>
    <t>GDMJ</t>
  </si>
  <si>
    <t>GRANDMA &amp; ME JOURNAL</t>
  </si>
  <si>
    <t>GMMJ</t>
  </si>
  <si>
    <t>Green Fluorite - Inner Peace</t>
  </si>
  <si>
    <t>HS005</t>
  </si>
  <si>
    <t>Greeting Cards Floor Stand</t>
  </si>
  <si>
    <t>GCFS</t>
  </si>
  <si>
    <t>Greeting Cards Table Top Display</t>
  </si>
  <si>
    <t>GCTD</t>
  </si>
  <si>
    <t>Grooved Wooden Bookmark - Galah</t>
  </si>
  <si>
    <t>WBG018</t>
  </si>
  <si>
    <t>Grooved Wooden Bookmark - Hydangea</t>
  </si>
  <si>
    <t>WBG005</t>
  </si>
  <si>
    <t>Grooved Wooden Bookmark - Koala</t>
  </si>
  <si>
    <t>WBG020</t>
  </si>
  <si>
    <t>Grooved Wooden Bookmark - Rainbow Lorikeet</t>
  </si>
  <si>
    <t>WBG023</t>
  </si>
  <si>
    <t>Grooved Wooden Bookmark - Sunflower</t>
  </si>
  <si>
    <t>WBG003</t>
  </si>
  <si>
    <t>Grooved Wooden Bookmark - Tulip</t>
  </si>
  <si>
    <t>WBG002</t>
  </si>
  <si>
    <t>Grumpy Cat Calendar</t>
  </si>
  <si>
    <t>SWC007</t>
  </si>
  <si>
    <t>GUESS WHO - A5 NOTEBOOK</t>
  </si>
  <si>
    <t>GR170112</t>
  </si>
  <si>
    <t>GUESS WHO - PORCELAIN MUG</t>
  </si>
  <si>
    <t>GR170111</t>
  </si>
  <si>
    <t>GUESS WHO - TEA TOWEL</t>
  </si>
  <si>
    <t>GR170110</t>
  </si>
  <si>
    <t>HWSU Deleted</t>
  </si>
  <si>
    <t>Hair Wraps WDU</t>
  </si>
  <si>
    <t>Hand Cream - Australian Natives</t>
  </si>
  <si>
    <t>CR035</t>
  </si>
  <si>
    <t>Hand Cream - Golden Wattle</t>
  </si>
  <si>
    <t>CR036</t>
  </si>
  <si>
    <t>Hand Cream - Tropical Koala</t>
  </si>
  <si>
    <t>CR049</t>
  </si>
  <si>
    <t>Hand Cream Tester - Van Gogh Sunflowers</t>
  </si>
  <si>
    <t>CRT02</t>
  </si>
  <si>
    <t>HARDBACK NOTEBOOK - BRIGHT IDEAS</t>
  </si>
  <si>
    <t>GR170048</t>
  </si>
  <si>
    <t>HARDBACK NOTEBOOK - SHOPPING LIST</t>
  </si>
  <si>
    <t>GR170047</t>
  </si>
  <si>
    <t>HARLEQUIN GAMES - SEPT LAUNCH OFFER MINOR</t>
  </si>
  <si>
    <t>HGSLO</t>
  </si>
  <si>
    <t>HARLEQUIN GAMES Bag Toss</t>
  </si>
  <si>
    <t>HQ009</t>
  </si>
  <si>
    <t>HARLEQUIN GAMES SEP LAUNCH OFFER - MAJOR</t>
  </si>
  <si>
    <t>HQMAJ</t>
  </si>
  <si>
    <t>HARLEQUIN GAMES SEP LAUNCH OFFER - MINOR</t>
  </si>
  <si>
    <t>HQMIN</t>
  </si>
  <si>
    <t>Head Band Set Up and free scrunchies</t>
  </si>
  <si>
    <t>SPHBFS</t>
  </si>
  <si>
    <t>Head Bands WDU</t>
  </si>
  <si>
    <t>Heart Stones Display Box</t>
  </si>
  <si>
    <t>HSDISP</t>
  </si>
  <si>
    <t>Heat Belt</t>
  </si>
  <si>
    <t>HB</t>
  </si>
  <si>
    <t>Heatstones Set Up</t>
  </si>
  <si>
    <t>HSCDU</t>
  </si>
  <si>
    <t>Helvetica Clip On Bookmark Set Up</t>
  </si>
  <si>
    <t>00HB</t>
  </si>
  <si>
    <t>HELVETICA CLIP-ON BOOKMARK A</t>
  </si>
  <si>
    <t>HELVETICA CLIP-ON BOOKMARK B</t>
  </si>
  <si>
    <t>HELVETICA CLIP-ON BOOKMARK C</t>
  </si>
  <si>
    <t>HELVETICA CLIP-ON BOOKMARK D</t>
  </si>
  <si>
    <t>HELVETICA CLIP-ON BOOKMARK E</t>
  </si>
  <si>
    <t>HELVETICA CLIP-ON BOOKMARK F</t>
  </si>
  <si>
    <t>HELVETICA CLIP-ON BOOKMARK G</t>
  </si>
  <si>
    <t>HELVETICA CLIP-ON BOOKMARK H</t>
  </si>
  <si>
    <t>HELVETICA CLIP-ON BOOKMARK I</t>
  </si>
  <si>
    <t>HELVETICA CLIP-ON BOOKMARK J</t>
  </si>
  <si>
    <t>HELVETICA CLIP-ON BOOKMARK K</t>
  </si>
  <si>
    <t>HELVETICA CLIP-ON BOOKMARK L</t>
  </si>
  <si>
    <t>HELVETICA CLIP-ON BOOKMARK M</t>
  </si>
  <si>
    <t>HELVETICA CLIP-ON BOOKMARK N</t>
  </si>
  <si>
    <t>HELVETICA CLIP-ON BOOKMARK O</t>
  </si>
  <si>
    <t>HELVETICA CLIP-ON BOOKMARK P</t>
  </si>
  <si>
    <t>HELVETICA CLIP-ON BOOKMARK R</t>
  </si>
  <si>
    <t>HELVETICA CLIP-ON BOOKMARK S</t>
  </si>
  <si>
    <t>HELVETICA CLIP-ON BOOKMARK STAND</t>
  </si>
  <si>
    <t>CDU929</t>
  </si>
  <si>
    <t>HELVETICA CLIP-ON BOOKMARK T</t>
  </si>
  <si>
    <t>HELVETICA CLIP-ON BOOKMARK U</t>
  </si>
  <si>
    <t>HELVETICA CLIP-ON BOOKMARK V</t>
  </si>
  <si>
    <t>HELVETICA CLIP-ON BOOKMARK W</t>
  </si>
  <si>
    <t>HELVETICA CLIP-ON BOOKMARK Y</t>
  </si>
  <si>
    <t>HELVETICA CLIP-ON BOOKMARK Z</t>
  </si>
  <si>
    <t>HI VIX STICKER 1200 SET UP: 25 EACH OF DESIGNS PLUS STAND</t>
  </si>
  <si>
    <t>RSHV</t>
  </si>
  <si>
    <t>HI VIZ- GREEN ALIEN</t>
  </si>
  <si>
    <t>SGAL</t>
  </si>
  <si>
    <t>HI VIZ- GREEN BATS</t>
  </si>
  <si>
    <t>SGBA</t>
  </si>
  <si>
    <t>HI VIZ- GREEN BUTTERFLIY</t>
  </si>
  <si>
    <t>SGBU</t>
  </si>
  <si>
    <t>HI VIZ- GREEN CATS</t>
  </si>
  <si>
    <t>SGCA</t>
  </si>
  <si>
    <t>HI VIZ- GREEN ELEPHANT</t>
  </si>
  <si>
    <t>SGEL</t>
  </si>
  <si>
    <t>HI VIZ- GREEN FEET</t>
  </si>
  <si>
    <t>SGFE</t>
  </si>
  <si>
    <t>HI VIZ- GREEN HEARTS</t>
  </si>
  <si>
    <t>SGHE</t>
  </si>
  <si>
    <t>HI VIZ- GREEN LIPS</t>
  </si>
  <si>
    <t>SGLI</t>
  </si>
  <si>
    <t>HI VIZ- GREEN LOVE</t>
  </si>
  <si>
    <t>SGLO</t>
  </si>
  <si>
    <t>HI VIZ- GREEN PENGUIN</t>
  </si>
  <si>
    <t>SGPE</t>
  </si>
  <si>
    <t>HI VIZ- GREEN RABBITS</t>
  </si>
  <si>
    <t>SGRA</t>
  </si>
  <si>
    <t>HI VIZ- GREEN SMILEY</t>
  </si>
  <si>
    <t>SGSM</t>
  </si>
  <si>
    <t>HI VIZ- ORANGE ALIEN</t>
  </si>
  <si>
    <t>SOAL</t>
  </si>
  <si>
    <t>HI VIZ- ORANGE BATS</t>
  </si>
  <si>
    <t>SOBA</t>
  </si>
  <si>
    <t>HI VIZ- ORANGE BUTTERFLY</t>
  </si>
  <si>
    <t>SOBU</t>
  </si>
  <si>
    <t>HI VIZ- ORANGE CATS</t>
  </si>
  <si>
    <t>SOCA</t>
  </si>
  <si>
    <t>HI VIZ- ORANGE ELEPHANT</t>
  </si>
  <si>
    <t>SOEL</t>
  </si>
  <si>
    <t>HI VIZ- ORANGE FEET</t>
  </si>
  <si>
    <t>SOFE</t>
  </si>
  <si>
    <t>HI VIZ- ORANGE HEARTS</t>
  </si>
  <si>
    <t>SOHE</t>
  </si>
  <si>
    <t>HI VIZ- ORANGE LIPS</t>
  </si>
  <si>
    <t>SOLI</t>
  </si>
  <si>
    <t>HI VIZ- ORANGE LOVE</t>
  </si>
  <si>
    <t>SOLO</t>
  </si>
  <si>
    <t>HI VIZ- ORANGE PENGUIN</t>
  </si>
  <si>
    <t>SOPE</t>
  </si>
  <si>
    <t>HI VIZ- ORANGE RABBITS</t>
  </si>
  <si>
    <t>SORA</t>
  </si>
  <si>
    <t>HI VIZ- ORANGE SMILEY</t>
  </si>
  <si>
    <t>SOSM</t>
  </si>
  <si>
    <t>HI VIZ- RED ALIEN</t>
  </si>
  <si>
    <t>SRAL</t>
  </si>
  <si>
    <t>HI VIZ- RED BATS</t>
  </si>
  <si>
    <t>SRBA</t>
  </si>
  <si>
    <t>HI VIZ- RED BUTTERFLY</t>
  </si>
  <si>
    <t>SRBU</t>
  </si>
  <si>
    <t>HI VIZ- RED CATS</t>
  </si>
  <si>
    <t>SRCA</t>
  </si>
  <si>
    <t>HI VIZ- RED ELEPHANT</t>
  </si>
  <si>
    <t>SREL</t>
  </si>
  <si>
    <t>HI VIZ- RED FEET</t>
  </si>
  <si>
    <t>SRFE</t>
  </si>
  <si>
    <t>HI VIZ- RED HEARTS</t>
  </si>
  <si>
    <t>SRHE</t>
  </si>
  <si>
    <t>HI VIZ- RED LIPS</t>
  </si>
  <si>
    <t>SRLI</t>
  </si>
  <si>
    <t>HI VIZ- RED LOVE</t>
  </si>
  <si>
    <t>SRLO</t>
  </si>
  <si>
    <t>HI VIZ- RED PENGUIN</t>
  </si>
  <si>
    <t>SRPE</t>
  </si>
  <si>
    <t>HI VIZ- RED RABBITS</t>
  </si>
  <si>
    <t>SRRA</t>
  </si>
  <si>
    <t>HI VIZ- RED SMILEY</t>
  </si>
  <si>
    <t>SRSM</t>
  </si>
  <si>
    <t>HI VIZ- YELLOW ALIEN</t>
  </si>
  <si>
    <t>SYAL</t>
  </si>
  <si>
    <t>HI VIZ- YELLOW BATS</t>
  </si>
  <si>
    <t>SYBA</t>
  </si>
  <si>
    <t>HI VIZ- YELLOW BUTTERFLY</t>
  </si>
  <si>
    <t>SYBU</t>
  </si>
  <si>
    <t>HI VIZ- YELLOW CATS</t>
  </si>
  <si>
    <t>SYCA</t>
  </si>
  <si>
    <t>HI VIZ- YELLOW ELEPHANT</t>
  </si>
  <si>
    <t>SYEL</t>
  </si>
  <si>
    <t>HI VIZ- YELLOW FEET</t>
  </si>
  <si>
    <t>SYFE</t>
  </si>
  <si>
    <t>HI VIZ- YELLOW HEARTS</t>
  </si>
  <si>
    <t>SYHE</t>
  </si>
  <si>
    <t>HI VIZ- YELLOW LIPS</t>
  </si>
  <si>
    <t>SYLI</t>
  </si>
  <si>
    <t>HI VIZ- YELLOW LOVE</t>
  </si>
  <si>
    <t>SYLO</t>
  </si>
  <si>
    <t>HI VIZ- YELLOW PENGUIN</t>
  </si>
  <si>
    <t>SYPE</t>
  </si>
  <si>
    <t>HI VIZ- YELLOW RABBITS</t>
  </si>
  <si>
    <t>SYRA</t>
  </si>
  <si>
    <t>HI VIZ- YELLOW SMILEY</t>
  </si>
  <si>
    <t>SYSM</t>
  </si>
  <si>
    <t>HINGED COFFEE TIN - I COOK WITH WINE</t>
  </si>
  <si>
    <t>TINZ7518</t>
  </si>
  <si>
    <t>Historic Maps Slim Calendar</t>
  </si>
  <si>
    <t>HMC002</t>
  </si>
  <si>
    <t>Historic Maps Square Calendar</t>
  </si>
  <si>
    <t>HMC001</t>
  </si>
  <si>
    <t>Historic Maps Year Planner</t>
  </si>
  <si>
    <t>HMC003</t>
  </si>
  <si>
    <t>Historical Sales Data</t>
  </si>
  <si>
    <t>HSD</t>
  </si>
  <si>
    <t>Craft</t>
  </si>
  <si>
    <t>Horses &amp; Stable Sleeve</t>
  </si>
  <si>
    <t>CS30</t>
  </si>
  <si>
    <t>Hydrangea - Australian Made Wooden Fridge Magnet</t>
  </si>
  <si>
    <t>WFM005</t>
  </si>
  <si>
    <t>Hydrangea - Australian Made Wooden Key Ring</t>
  </si>
  <si>
    <t>WK005</t>
  </si>
  <si>
    <t>Hydrate, Bath &amp; Beauty WDU</t>
  </si>
  <si>
    <t>CDUHBB</t>
  </si>
  <si>
    <t>Ice Hair Wrap</t>
  </si>
  <si>
    <t>Ice Silk Wrap - Golden Wattle</t>
  </si>
  <si>
    <t>ISW05</t>
  </si>
  <si>
    <t>Ice Silk Wrap - Monet's Water Lilies</t>
  </si>
  <si>
    <t>ISW03</t>
  </si>
  <si>
    <t>Ice Silk Wrap - Strawberry Thief</t>
  </si>
  <si>
    <t>ISW01</t>
  </si>
  <si>
    <t>Ice Silk Wrap - Sunflowers</t>
  </si>
  <si>
    <t>ISW02</t>
  </si>
  <si>
    <t>Ice Silk Wrap - Tropical Koala</t>
  </si>
  <si>
    <t>ISW06</t>
  </si>
  <si>
    <t>IN TIN(150 PCS) - DIFFICULT CHILDHOODS</t>
  </si>
  <si>
    <t>PUZZ6725</t>
  </si>
  <si>
    <t>IN TIN(150 PCS) - IF I AGREED WITH YOU</t>
  </si>
  <si>
    <t>PUZZ7157</t>
  </si>
  <si>
    <t>JACKS SET IN A BOX - HARLEQUIN</t>
  </si>
  <si>
    <t>RFS11630</t>
  </si>
  <si>
    <t>JIGSAW COUNTER SPINNER</t>
  </si>
  <si>
    <t>DICS07</t>
  </si>
  <si>
    <t>JIGSAW IN TIN(150 PCS) - GUYS HAVE FEELINGS TOO!</t>
  </si>
  <si>
    <t>PUZZ6758</t>
  </si>
  <si>
    <t>JIGSAW IN TIN(150 PCS) - I PICK SHOES</t>
  </si>
  <si>
    <t>PUZZ6867</t>
  </si>
  <si>
    <t>JIGSAW IN TIN(150 PCS) - MY PROBLEM</t>
  </si>
  <si>
    <t>PUZZ6665</t>
  </si>
  <si>
    <t>JIGSAW IN TIN(150 PCS) - TOO MUCH CAFFEINE</t>
  </si>
  <si>
    <t>PUZZ6709</t>
  </si>
  <si>
    <t>Journal (Lockable) - Planet Cat (Great Thoughts)</t>
  </si>
  <si>
    <t>NBA6PC01</t>
  </si>
  <si>
    <t>Journal - A5 Cats, Coffee and Books Lined</t>
  </si>
  <si>
    <t>J27</t>
  </si>
  <si>
    <t>Journal - A5 Dogs and Books Lined</t>
  </si>
  <si>
    <t>J28</t>
  </si>
  <si>
    <t>Journal - A5 It's Not Hoarding If It's Books Lined</t>
  </si>
  <si>
    <t>J25</t>
  </si>
  <si>
    <t>Journal - A5 Just One More Chapter Lined</t>
  </si>
  <si>
    <t>J24</t>
  </si>
  <si>
    <t>Journal - A5 No Such Thing As Too Many Books Lined</t>
  </si>
  <si>
    <t>J29</t>
  </si>
  <si>
    <t>Journal - A5 Read Books Drink Tea Be Happy Lined</t>
  </si>
  <si>
    <t>J26</t>
  </si>
  <si>
    <t>Journal - A5 Reading is Dreaming With Your Eyes Open Lined</t>
  </si>
  <si>
    <t>J23</t>
  </si>
  <si>
    <t>Journal - A5 Tropical Koala Lined</t>
  </si>
  <si>
    <t>J22</t>
  </si>
  <si>
    <t>Journal - A6 Australian Natives</t>
  </si>
  <si>
    <t>JA608</t>
  </si>
  <si>
    <t>Journal - A6 Golden Wattle</t>
  </si>
  <si>
    <t>JA609</t>
  </si>
  <si>
    <t>Journal - A6 Tropical Koala</t>
  </si>
  <si>
    <t>JA610</t>
  </si>
  <si>
    <t>Journal - A7 Sunflowers w/ Pen</t>
  </si>
  <si>
    <t>JA703</t>
  </si>
  <si>
    <t>Journal - A7 Tropical Koala  w/ Pen</t>
  </si>
  <si>
    <t>JA706</t>
  </si>
  <si>
    <t>Journal - A7 Water Lilies w/ Pen</t>
  </si>
  <si>
    <t>JA702</t>
  </si>
  <si>
    <t>Journal Flexibound 128pp: Beryl Cook (Naked Truth Journal)</t>
  </si>
  <si>
    <t>BOOKBC02</t>
  </si>
  <si>
    <t>Journal Flexibound 128pp: Spencer Wilson (Jog On Journal)</t>
  </si>
  <si>
    <t>BOOKSP01</t>
  </si>
  <si>
    <t>JOURNALS FOR LIFE - Lists for Life</t>
  </si>
  <si>
    <t>JOURNALS FOR LIFE - My Life Through Books</t>
  </si>
  <si>
    <t>JOURNALS FOR LIFE - Night Notes</t>
  </si>
  <si>
    <t>JOURNALS FOR LIFE CDU</t>
  </si>
  <si>
    <t>CDU7100D</t>
  </si>
  <si>
    <t>JOURNALS FOR LIFE Set Up</t>
  </si>
  <si>
    <t>SP7100</t>
  </si>
  <si>
    <t>Kangaroo - Australian Made Wooden Fridge Magnet</t>
  </si>
  <si>
    <t>WFM019</t>
  </si>
  <si>
    <t>Kangaroo - Australian Made Wooden Key Ring</t>
  </si>
  <si>
    <t>WK019</t>
  </si>
  <si>
    <t>Kangaroo - Australian Made Wooden Ornament</t>
  </si>
  <si>
    <t>WO042</t>
  </si>
  <si>
    <t>Kangaroo Boxing - Australian Made Wooden Ornament</t>
  </si>
  <si>
    <t>WO055</t>
  </si>
  <si>
    <t>Kangaroo Paw - Australian Made Wooden Fridge Magnet</t>
  </si>
  <si>
    <t>WFM011</t>
  </si>
  <si>
    <t>Kangaroo Paw - Australian Made Wooden Key Ring</t>
  </si>
  <si>
    <t>WK011</t>
  </si>
  <si>
    <t>Key Ring Display</t>
  </si>
  <si>
    <t>KRWDU</t>
  </si>
  <si>
    <t>Key Ring with Clip</t>
  </si>
  <si>
    <t>KEYRING</t>
  </si>
  <si>
    <t>Kittens Sleeping Slim Calendar</t>
  </si>
  <si>
    <t>KSC002</t>
  </si>
  <si>
    <t>Kittens Sleeping Square Calendar</t>
  </si>
  <si>
    <t>SWC002</t>
  </si>
  <si>
    <t>Kittens Sleeping Year Planner</t>
  </si>
  <si>
    <t>KSC003</t>
  </si>
  <si>
    <t>Kiwi - Australian Made Wooden Ornament</t>
  </si>
  <si>
    <t>WO065</t>
  </si>
  <si>
    <t>Koala - Australian Made Wooden Fridge Magnet</t>
  </si>
  <si>
    <t>WFM020</t>
  </si>
  <si>
    <t>Koala - Australian Made Wooden Key Ring</t>
  </si>
  <si>
    <t>WK020</t>
  </si>
  <si>
    <t>Koala Jet Ski  - Australian Made Wooden Ornament</t>
  </si>
  <si>
    <t>WO053</t>
  </si>
  <si>
    <t>Koala Surf - Australian Made Wooden Ornament</t>
  </si>
  <si>
    <t>WO052</t>
  </si>
  <si>
    <t>Kookaburra - Australian Made Wooden Fridge Magnet</t>
  </si>
  <si>
    <t>WFM021</t>
  </si>
  <si>
    <t>Kookaburra - Australian Made Wooden Key Ring</t>
  </si>
  <si>
    <t>xxWK021</t>
  </si>
  <si>
    <t>Kookaburra - Australian Made Wooden Ornament</t>
  </si>
  <si>
    <t>WO044</t>
  </si>
  <si>
    <t>Koookaburra - Australian Made Wooden Key Ring</t>
  </si>
  <si>
    <t>WK021</t>
  </si>
  <si>
    <t>Krafftman Kit 1</t>
  </si>
  <si>
    <t>Kit1</t>
  </si>
  <si>
    <t>Kraft Paper Bag 16x25cm</t>
  </si>
  <si>
    <t>KPBAG</t>
  </si>
  <si>
    <t>Kraft Shredded 1kg</t>
  </si>
  <si>
    <t>KS02</t>
  </si>
  <si>
    <t>Kraft Shredded Blue 1kg</t>
  </si>
  <si>
    <t>KS01</t>
  </si>
  <si>
    <t>Landmark Australian Made Wooden Bookmarks  72 Units</t>
  </si>
  <si>
    <t>WBLMSP</t>
  </si>
  <si>
    <t>Large Hand Cream - Australian Natives</t>
  </si>
  <si>
    <t>CR037</t>
  </si>
  <si>
    <t>Large Hand Cream - Golden Wattle</t>
  </si>
  <si>
    <t>CR038</t>
  </si>
  <si>
    <t>Large Hand Cream - Tropical Koala</t>
  </si>
  <si>
    <t>CR048</t>
  </si>
  <si>
    <t>Large Hand Cream Display</t>
  </si>
  <si>
    <t>WDULHC</t>
  </si>
  <si>
    <t>Large Pouch - Fruit</t>
  </si>
  <si>
    <t>LP02</t>
  </si>
  <si>
    <t>Large Pouch - Kilburn</t>
  </si>
  <si>
    <t>LP04</t>
  </si>
  <si>
    <t>Large Pouch - Peonie Rose</t>
  </si>
  <si>
    <t>LP03</t>
  </si>
  <si>
    <t>Large Pouch - Strawberry Thief</t>
  </si>
  <si>
    <t>LP01</t>
  </si>
  <si>
    <t>Large Pouch - Sunflowers</t>
  </si>
  <si>
    <t>LP05</t>
  </si>
  <si>
    <t>Large Pouch - Water Lilies</t>
  </si>
  <si>
    <t>LP06</t>
  </si>
  <si>
    <t>LARGE PU JOURNAL - BLACK</t>
  </si>
  <si>
    <t>RFS11907</t>
  </si>
  <si>
    <t>LARGE PU JOURNAL - JADE GREEN</t>
  </si>
  <si>
    <t>RFS11913</t>
  </si>
  <si>
    <t>LARGE PU JOURNAL - MIDNIGHT BLUE</t>
  </si>
  <si>
    <t>RFS11915</t>
  </si>
  <si>
    <t>Large PU Journal Large Set Up 12 units</t>
  </si>
  <si>
    <t>BGJLSP</t>
  </si>
  <si>
    <t>Large Water Bottle - Australian Natives</t>
  </si>
  <si>
    <t>WBL04</t>
  </si>
  <si>
    <t>Water Bottle</t>
  </si>
  <si>
    <t>Large Water Bottle - Golden Wattle</t>
  </si>
  <si>
    <t>WBL05</t>
  </si>
  <si>
    <t>Large Water Bottle - Monet Water Lilies</t>
  </si>
  <si>
    <t>WBL02</t>
  </si>
  <si>
    <t>Large Water Bottle - Strawberry Thief</t>
  </si>
  <si>
    <t>WBL01</t>
  </si>
  <si>
    <t>Large Water Bottle - Van Gogh Sunflowers</t>
  </si>
  <si>
    <t>WBL03</t>
  </si>
  <si>
    <t>Leopard Kit 1</t>
  </si>
  <si>
    <t>Kit7</t>
  </si>
  <si>
    <t>LETTER BOOK PLATES - A</t>
  </si>
  <si>
    <t>LETTER BOOK PLATES - B</t>
  </si>
  <si>
    <t>LETTER BOOK PLATES - C</t>
  </si>
  <si>
    <t>LETTER BOOK PLATES - D</t>
  </si>
  <si>
    <t>LETTER BOOK PLATES - E</t>
  </si>
  <si>
    <t>LETTER BOOK PLATES - H</t>
  </si>
  <si>
    <t>LETTER BOOK PLATES - J</t>
  </si>
  <si>
    <t>LETTER BOOK PLATES - K</t>
  </si>
  <si>
    <t>LETTER BOOK PLATES - L</t>
  </si>
  <si>
    <t>LETTER BOOK PLATES - M</t>
  </si>
  <si>
    <t>LETTER BOOK PLATES - R</t>
  </si>
  <si>
    <t>LETTER BOOK PLATES - S</t>
  </si>
  <si>
    <t>LETTER BOOKPLATES CDU</t>
  </si>
  <si>
    <t>CDU415</t>
  </si>
  <si>
    <t>LETTER BOOKPLATES SET UP 36 PIECES</t>
  </si>
  <si>
    <t>SP415</t>
  </si>
  <si>
    <t>LITTLE BOOK HOLDER - BLUE</t>
  </si>
  <si>
    <t>LITTLE BOOK HOLDER - GREY</t>
  </si>
  <si>
    <t>LITTLE BOOK HOLDER - LILAC</t>
  </si>
  <si>
    <t>LITTLE BOOK HOLDER - MINT</t>
  </si>
  <si>
    <t>LITTLE BOOK HOLDER - PINK</t>
  </si>
  <si>
    <t>LITTLE BOOK HOLDER SET UP</t>
  </si>
  <si>
    <t>SP70</t>
  </si>
  <si>
    <t>LITTLE BOOKHOLDER CDU</t>
  </si>
  <si>
    <t>CDU7000C</t>
  </si>
  <si>
    <t>Llama Love Calendar</t>
  </si>
  <si>
    <t>SWC006</t>
  </si>
  <si>
    <t>Loudmouth - Jack Sparrow</t>
  </si>
  <si>
    <t>LM025</t>
  </si>
  <si>
    <t>Sound Cards</t>
  </si>
  <si>
    <t>LOVE STORIES</t>
  </si>
  <si>
    <t>LS</t>
  </si>
  <si>
    <t>LTTLE BOOK HOLDER CDU</t>
  </si>
  <si>
    <t>CDU70</t>
  </si>
  <si>
    <t>Lunch Bag - Australian Natives</t>
  </si>
  <si>
    <t>LB07</t>
  </si>
  <si>
    <t>Lunch Bag - Golden Wattle</t>
  </si>
  <si>
    <t>LB08</t>
  </si>
  <si>
    <t>Lunch Bag - Monet Water Lilies</t>
  </si>
  <si>
    <t>LB10</t>
  </si>
  <si>
    <t>Lunch Bag - Strawberry Thief Blue</t>
  </si>
  <si>
    <t>LB09</t>
  </si>
  <si>
    <t>Lunch Bag - Tropical Koala</t>
  </si>
  <si>
    <t>LB12</t>
  </si>
  <si>
    <t>Lunch Bag - Van Gogh's Sunflowers</t>
  </si>
  <si>
    <t>LB11</t>
  </si>
  <si>
    <t>MAGIC BALL &amp; VASE SET IN A BOX</t>
  </si>
  <si>
    <t>RFS10908</t>
  </si>
  <si>
    <t>MAGIC COIN CASE SET IN A BOX</t>
  </si>
  <si>
    <t>RFS10909</t>
  </si>
  <si>
    <t>MAGIC CUP &amp; BALL SET IN A BOX</t>
  </si>
  <si>
    <t>RFS10911</t>
  </si>
  <si>
    <t>MAGIC ROPE TRICK</t>
  </si>
  <si>
    <t>RFS11046</t>
  </si>
  <si>
    <t>MAGIC SPIKED COIN SET IN A BOX</t>
  </si>
  <si>
    <t>RFS10912</t>
  </si>
  <si>
    <t>MAGNET - CHILDREN:THE GIFT THAT KEEPS ON TAKING</t>
  </si>
  <si>
    <t>MG7020</t>
  </si>
  <si>
    <t>MAGNET - DIFFICULT CHILDHOODS</t>
  </si>
  <si>
    <t>MG6725</t>
  </si>
  <si>
    <t>MAGNET - HIDING EVERYTHING IS SO MUCH</t>
  </si>
  <si>
    <t>MG7004</t>
  </si>
  <si>
    <t>MAGNET - HOORAY !</t>
  </si>
  <si>
    <t>MG6017</t>
  </si>
  <si>
    <t>MAGNET - I CAN ONLY PLEASE ONE PERSON PER</t>
  </si>
  <si>
    <t>MG7661</t>
  </si>
  <si>
    <t>MAGNET - I COOK WITH WINE</t>
  </si>
  <si>
    <t>MG7518</t>
  </si>
  <si>
    <t>MAGNET - I DRINK COFFEE BECAUSE I NEED IT</t>
  </si>
  <si>
    <t>MG7073</t>
  </si>
  <si>
    <t>MAGNET - I HAD A MIND ONCE</t>
  </si>
  <si>
    <t>EPH8077</t>
  </si>
  <si>
    <t>MAGNET - I JUST WANT PEOPLE</t>
  </si>
  <si>
    <t>MG6917</t>
  </si>
  <si>
    <t>MAGNET - I LIKETO THINK COFFEE</t>
  </si>
  <si>
    <t>MG6728</t>
  </si>
  <si>
    <t>MAGNET - I LOOKED UP</t>
  </si>
  <si>
    <t>MG6727</t>
  </si>
  <si>
    <t>MAGNET - I MAKE BAD DECISIONS</t>
  </si>
  <si>
    <t>MG6663</t>
  </si>
  <si>
    <t>MAGNET - I TRIED BEING NICE</t>
  </si>
  <si>
    <t>MG6614</t>
  </si>
  <si>
    <t>MAGNET - IF YOU WANT TO CHANGE MAN</t>
  </si>
  <si>
    <t>MG7402</t>
  </si>
  <si>
    <t>MAGNET - LET ME GET THIS STRAIGHT</t>
  </si>
  <si>
    <t>MG6984</t>
  </si>
  <si>
    <t>MAGNET - MAKE CHOCOLATE CAKE</t>
  </si>
  <si>
    <t>MG7537</t>
  </si>
  <si>
    <t>MAGNET - MY FANTASY</t>
  </si>
  <si>
    <t>MG6869</t>
  </si>
  <si>
    <t>MAGNET - MY KIDS DRIVE ME CRAZY</t>
  </si>
  <si>
    <t>EPH7978</t>
  </si>
  <si>
    <t>MAGNET - OH. I 'M SORRY YOU MUST BE</t>
  </si>
  <si>
    <t>MG7998</t>
  </si>
  <si>
    <t>MAGNET - PEOPLE WHO GO</t>
  </si>
  <si>
    <t>MG6858</t>
  </si>
  <si>
    <t>MAGNET - SMILE AND THE WORLD THINKS</t>
  </si>
  <si>
    <t>MG7023</t>
  </si>
  <si>
    <t>MAGNET - SOMETIMES I WRESTLE WITH MY DEMONS</t>
  </si>
  <si>
    <t>MG6919</t>
  </si>
  <si>
    <t>MAGNET - TEQUILA!</t>
  </si>
  <si>
    <t>MG7539</t>
  </si>
  <si>
    <t>MAGNET - THE OLDER I GET</t>
  </si>
  <si>
    <t>MG02</t>
  </si>
  <si>
    <t>MAGNET - TRY ORGANIC FOOD</t>
  </si>
  <si>
    <t>MG7528</t>
  </si>
  <si>
    <t>MAGNET - YEAH, I'M INTO FITNESS</t>
  </si>
  <si>
    <t>MG11</t>
  </si>
  <si>
    <t>Magnet 30x30mm</t>
  </si>
  <si>
    <t>MG30</t>
  </si>
  <si>
    <t>Magnet Display</t>
  </si>
  <si>
    <t>FMWDU</t>
  </si>
  <si>
    <t>Magnet</t>
  </si>
  <si>
    <t>Magnet Display 2</t>
  </si>
  <si>
    <t>FMWDU2</t>
  </si>
  <si>
    <t>MAGNET-A RECENT STUDY</t>
  </si>
  <si>
    <t>MG6582</t>
  </si>
  <si>
    <t>MAGNET-BOTH OF US</t>
  </si>
  <si>
    <t>MG6013</t>
  </si>
  <si>
    <t>MAGNET-I INVENTED A NEW YOGA</t>
  </si>
  <si>
    <t>MG6643</t>
  </si>
  <si>
    <t>MAGNET-I'VE BEEN ON A DIET</t>
  </si>
  <si>
    <t>MG6587</t>
  </si>
  <si>
    <t>MAGNET-NO-ONE LOOKS BACK ON A LIFE</t>
  </si>
  <si>
    <t>MG6714</t>
  </si>
  <si>
    <t>Magnetic Dart Board</t>
  </si>
  <si>
    <t>RFS11634</t>
  </si>
  <si>
    <t>MAGNETIC SHOPPING PLANNER - VINTAGE MAP</t>
  </si>
  <si>
    <t>RFS9568</t>
  </si>
  <si>
    <t>MAKE UP BAG ABSOLUTELY GORGEOUS</t>
  </si>
  <si>
    <t>MBA6025</t>
  </si>
  <si>
    <t>Manicure Set - Australian Natives</t>
  </si>
  <si>
    <t>MCS012</t>
  </si>
  <si>
    <t>Manicure Set - Golden Wattle</t>
  </si>
  <si>
    <t>MCS013</t>
  </si>
  <si>
    <t>Manicure Set - William Morris Rose Gold Larkspur</t>
  </si>
  <si>
    <t>WM010</t>
  </si>
  <si>
    <t>Manicure Sets WDU</t>
  </si>
  <si>
    <t>CDUMS</t>
  </si>
  <si>
    <t>MAP BOOKMARKS DISPLAY</t>
  </si>
  <si>
    <t>CDUMBM</t>
  </si>
  <si>
    <t>MARANDA NOTEBOOK DISPLAY</t>
  </si>
  <si>
    <t>CDUMN</t>
  </si>
  <si>
    <t>Maranda Pu Pill Boxes</t>
  </si>
  <si>
    <t>MPUPB24</t>
  </si>
  <si>
    <t>Torches</t>
  </si>
  <si>
    <t>MARANDA TORCHES DISPLAY</t>
  </si>
  <si>
    <t>CDUMT</t>
  </si>
  <si>
    <t>Mi Note Amelia</t>
  </si>
  <si>
    <t>MIN006</t>
  </si>
  <si>
    <t>Mi Note Noir</t>
  </si>
  <si>
    <t>MIN009</t>
  </si>
  <si>
    <t>Mi Note Piano</t>
  </si>
  <si>
    <t>MIN008</t>
  </si>
  <si>
    <t>Mi Note Sophia</t>
  </si>
  <si>
    <t>MIN007</t>
  </si>
  <si>
    <t>MI Torch - Poetry</t>
  </si>
  <si>
    <t>MT151</t>
  </si>
  <si>
    <t>Mi Torch 8 Designs Kimono Setup 48 units</t>
  </si>
  <si>
    <t>MTK48</t>
  </si>
  <si>
    <t>Mi Torch 8 Francois Setup 48 units</t>
  </si>
  <si>
    <t>MTF48</t>
  </si>
  <si>
    <t>Mi Torch 8 Glamour Setup 48 units</t>
  </si>
  <si>
    <t>MTG48</t>
  </si>
  <si>
    <t>Mi Torch Amelia</t>
  </si>
  <si>
    <t>MT115</t>
  </si>
  <si>
    <t>Mi Torch Arc de Triomphe</t>
  </si>
  <si>
    <t>MT242</t>
  </si>
  <si>
    <t>Mi Torch Boulevard Cafe</t>
  </si>
  <si>
    <t>MT247</t>
  </si>
  <si>
    <t>Mi Torch Butterfly Silk</t>
  </si>
  <si>
    <t>MT255</t>
  </si>
  <si>
    <t>Mi Torch China Blue</t>
  </si>
  <si>
    <t>MT250</t>
  </si>
  <si>
    <t>Mi Torch Eiffel Tower Cafe</t>
  </si>
  <si>
    <t>MT244</t>
  </si>
  <si>
    <t>Mi Torch Grace</t>
  </si>
  <si>
    <t>MT253</t>
  </si>
  <si>
    <t>Mi Torch Le Jardin</t>
  </si>
  <si>
    <t>MT119</t>
  </si>
  <si>
    <t>Mi Torch Magnolia</t>
  </si>
  <si>
    <t>MT150</t>
  </si>
  <si>
    <t>Mi Torch Mystique</t>
  </si>
  <si>
    <t>MT221</t>
  </si>
  <si>
    <t>Mi Torch Noir</t>
  </si>
  <si>
    <t>MT112</t>
  </si>
  <si>
    <t>Mi Torch Oriental Rose</t>
  </si>
  <si>
    <t>MT223</t>
  </si>
  <si>
    <t>Mi Torch Painted Silk</t>
  </si>
  <si>
    <t>MT251</t>
  </si>
  <si>
    <t>Mi Torch Paper Lanterns</t>
  </si>
  <si>
    <t>MT254</t>
  </si>
  <si>
    <t>Mi Torch Peacock Blue</t>
  </si>
  <si>
    <t>MT252</t>
  </si>
  <si>
    <t>Mi Torch Piano</t>
  </si>
  <si>
    <t>MT152</t>
  </si>
  <si>
    <t>Mi Torch Pimlico with flowers</t>
  </si>
  <si>
    <t>MT222</t>
  </si>
  <si>
    <t>Mi Torch Pinot Noir</t>
  </si>
  <si>
    <t>MT240</t>
  </si>
  <si>
    <t>Mi Torch Tour de Eiffel</t>
  </si>
  <si>
    <t>MT243</t>
  </si>
  <si>
    <t>Mi Torch Travel to Paris</t>
  </si>
  <si>
    <t>MT241</t>
  </si>
  <si>
    <t>Mi Torch Vintage Love</t>
  </si>
  <si>
    <t>MT245</t>
  </si>
  <si>
    <t>Mi Torch Wine Store Errand</t>
  </si>
  <si>
    <t>MT246</t>
  </si>
  <si>
    <t>MIND READING MAGIC TRICKS</t>
  </si>
  <si>
    <t>RFS11645</t>
  </si>
  <si>
    <t>Mindful Sloth Calendar</t>
  </si>
  <si>
    <t>SWC004</t>
  </si>
  <si>
    <t>MINI-MARK COOKERY</t>
  </si>
  <si>
    <t>MINI-MARK GARDENING</t>
  </si>
  <si>
    <t>MINI-MARK HORROR</t>
  </si>
  <si>
    <t>MINI-MARK MIND BODY SPIRIT</t>
  </si>
  <si>
    <t>MINI-MARK MUSIC</t>
  </si>
  <si>
    <t>MINI-MARK ROMANCE</t>
  </si>
  <si>
    <t>MINI-MARK SCI FI</t>
  </si>
  <si>
    <t>MINI-MARK TRAVEL</t>
  </si>
  <si>
    <t>MINI-MARK WILDLIFE</t>
  </si>
  <si>
    <t>MODEL PLANE - HARLEQUIN</t>
  </si>
  <si>
    <t>RFS11636</t>
  </si>
  <si>
    <t>MONEY BOX - CAR FUND</t>
  </si>
  <si>
    <t>MBOX6858</t>
  </si>
  <si>
    <t>MONEY BOX - SAVING UP FOR A DEPOSIT</t>
  </si>
  <si>
    <t>MBOX7788</t>
  </si>
  <si>
    <t>MONEY BOX - SAVING UP TO BUY SHOES</t>
  </si>
  <si>
    <t>MT7422</t>
  </si>
  <si>
    <t>MONEY BOX - SWEAR BOX</t>
  </si>
  <si>
    <t>MBOXEP07</t>
  </si>
  <si>
    <t>MONEY BOX - THE GIFT THAT KEEPS ON TAKING</t>
  </si>
  <si>
    <t>MBOX7020</t>
  </si>
  <si>
    <t>MONOPOLY COIN PURSE 10</t>
  </si>
  <si>
    <t>GR170102</t>
  </si>
  <si>
    <t>Moon Stone - Protection</t>
  </si>
  <si>
    <t>HS006</t>
  </si>
  <si>
    <t>MOTIF JOURNAL - BEE - DARK BLUE</t>
  </si>
  <si>
    <t>RFS11985</t>
  </si>
  <si>
    <t>MOTIF JOURNAL - BIKE - FAWN</t>
  </si>
  <si>
    <t>RFS11986</t>
  </si>
  <si>
    <t>MOTIF JOURNAL - BRIGHT SPARK -RED</t>
  </si>
  <si>
    <t>RFS11982</t>
  </si>
  <si>
    <t>MOTIF JOURNAL - CAT - DEEP PURPLE</t>
  </si>
  <si>
    <t>RFS11974</t>
  </si>
  <si>
    <t>MOTIF JOURNAL -BIRD -TEAL</t>
  </si>
  <si>
    <t>RFS11981</t>
  </si>
  <si>
    <t>Motif Notebook 24 units</t>
  </si>
  <si>
    <t>SPMOTIF</t>
  </si>
  <si>
    <t>Movie Socks - Cable Knot Women</t>
  </si>
  <si>
    <t>MS005</t>
  </si>
  <si>
    <t>Reading Socks</t>
  </si>
  <si>
    <t>Movie Socks - Grey and White Top</t>
  </si>
  <si>
    <t>MS004</t>
  </si>
  <si>
    <t>Movie Socks - Grey Plait Knot Womens</t>
  </si>
  <si>
    <t>MS002</t>
  </si>
  <si>
    <t>Movie Socks - Pink Cable Knot Women</t>
  </si>
  <si>
    <t>MS001</t>
  </si>
  <si>
    <t>Movie Socks - Silver Fox</t>
  </si>
  <si>
    <t>MS006</t>
  </si>
  <si>
    <t>Mug Boxed (350ml) - William Morris (Have Nothing)</t>
  </si>
  <si>
    <t>MUGBWM01</t>
  </si>
  <si>
    <t>Mug Boxed (350ml) - William Morris (True Secret)</t>
  </si>
  <si>
    <t>MUGBWM02</t>
  </si>
  <si>
    <t>Mug Boxed - Bluhen (Black Floral)</t>
  </si>
  <si>
    <t>BH050</t>
  </si>
  <si>
    <t>Mug Boxed - Bluhen (Peonie Rose)</t>
  </si>
  <si>
    <t>BH051</t>
  </si>
  <si>
    <t>Mug Boxed - Planet Cat (Time Spent With A Cat)</t>
  </si>
  <si>
    <t>MUGBPC01</t>
  </si>
  <si>
    <t>Mug Boxed - Planet Cat (What Greater Love)</t>
  </si>
  <si>
    <t>MUGBPC02</t>
  </si>
  <si>
    <t>MUM &amp; ME JOURNAL</t>
  </si>
  <si>
    <t>MMJ</t>
  </si>
  <si>
    <t>MUSICAL GIFT SET IN A PRINTED BOX - HARLEQUIN</t>
  </si>
  <si>
    <t>RFS11796</t>
  </si>
  <si>
    <t>Name A Star Certificate Envelope</t>
  </si>
  <si>
    <t>NASCE</t>
  </si>
  <si>
    <t>Nano Light Set Up</t>
  </si>
  <si>
    <t>SPNL</t>
  </si>
  <si>
    <t>Napkins - 9 to Wine, Pk20, 25cm</t>
  </si>
  <si>
    <t>Napkins - Lemons, Pk20, 25cm</t>
  </si>
  <si>
    <t>Napkins - Prosecco, Pk20, 25cm</t>
  </si>
  <si>
    <t>NAT GEO 52 AMAZING ANIMALS</t>
  </si>
  <si>
    <t>NAT GEO 52 BRILLIANT BIRDS</t>
  </si>
  <si>
    <t>NAT GEO 52 EXTRAORDINARY EARTH</t>
  </si>
  <si>
    <t>NAT GEO 52 MAGNIFICENT MANKIND</t>
  </si>
  <si>
    <t>NAT GEO 52 SPECTACULAR SEA LIFE</t>
  </si>
  <si>
    <t>NAT GEO 52 WEIRD BUT TRUE</t>
  </si>
  <si>
    <t>NAT GEO BOTTLENOSE DOLPHIN</t>
  </si>
  <si>
    <t>NAT GEO EMPEROR PENGUIN</t>
  </si>
  <si>
    <t>NAT GEO MOON JELLY FISH</t>
  </si>
  <si>
    <t>NAT GEO SPACE SHUTTLE DISCOVERY</t>
  </si>
  <si>
    <t>NZ Bkmk - Captain Cook</t>
  </si>
  <si>
    <t>NZ003</t>
  </si>
  <si>
    <t>NZ Bkmk - Hooker's Sea Bear</t>
  </si>
  <si>
    <t>NZ011</t>
  </si>
  <si>
    <t>NZ Bkmk - Kakapo</t>
  </si>
  <si>
    <t>NZ009</t>
  </si>
  <si>
    <t>NZ Bkmk - King Fisher</t>
  </si>
  <si>
    <t>NZ010</t>
  </si>
  <si>
    <t>NZ Bkmk - Kiwi</t>
  </si>
  <si>
    <t>NZ007</t>
  </si>
  <si>
    <t>NZ Bkmk - Little Spotted Kiwi</t>
  </si>
  <si>
    <t>NZ005</t>
  </si>
  <si>
    <t>NZ Bkmk - Maori War Canoe</t>
  </si>
  <si>
    <t>NZ002</t>
  </si>
  <si>
    <t>NZ Bkmk - Moa</t>
  </si>
  <si>
    <t>NZ004</t>
  </si>
  <si>
    <t>NZ Bkmk - Moho</t>
  </si>
  <si>
    <t>NZ008</t>
  </si>
  <si>
    <t>NZ Bkmk - New Zealand Man</t>
  </si>
  <si>
    <t>NZ001</t>
  </si>
  <si>
    <t>NZ Bkmk - Penguin</t>
  </si>
  <si>
    <t>NZ006</t>
  </si>
  <si>
    <t>NZ Bookmark Set Up 72 units</t>
  </si>
  <si>
    <t>NZBMSP</t>
  </si>
  <si>
    <t>NZ BOOKMARKS DISPLAY</t>
  </si>
  <si>
    <t>CDUNZBM</t>
  </si>
  <si>
    <t>Oh! Mag Light Blue</t>
  </si>
  <si>
    <t>Oh! Mag Purple Hue</t>
  </si>
  <si>
    <t>Oh! Mag Radient Red</t>
  </si>
  <si>
    <t>Oh! Mag Vivid Grey</t>
  </si>
  <si>
    <t>OH! MAGNIFIER DISPLAY</t>
  </si>
  <si>
    <t>CDU918</t>
  </si>
  <si>
    <t>Opera House - Australian Made Wooden Ornament</t>
  </si>
  <si>
    <t>WO061</t>
  </si>
  <si>
    <t>Ornament Tree Display</t>
  </si>
  <si>
    <t>OTD</t>
  </si>
  <si>
    <t>Oven Glove - Australian Natives</t>
  </si>
  <si>
    <t>OG04</t>
  </si>
  <si>
    <t>Oven Gloves</t>
  </si>
  <si>
    <t>Oven Glove - Golden Wattle</t>
  </si>
  <si>
    <t>OG05</t>
  </si>
  <si>
    <t>Oven Glove - Monet's Water Lilies</t>
  </si>
  <si>
    <t>OG03</t>
  </si>
  <si>
    <t>Oven Glove - Strawberry Thief</t>
  </si>
  <si>
    <t>OG01</t>
  </si>
  <si>
    <t>Oven Glove - Sunflowers</t>
  </si>
  <si>
    <t>OG02</t>
  </si>
  <si>
    <t>Oven Glove - Tropical Koala</t>
  </si>
  <si>
    <t>OG06</t>
  </si>
  <si>
    <t>OVEN GLOVES - FIRST CLASS CHEF</t>
  </si>
  <si>
    <t>GR900061</t>
  </si>
  <si>
    <t>OVEN GLOVES - MULTI COLOUR STAMP</t>
  </si>
  <si>
    <t>GR900065</t>
  </si>
  <si>
    <t>OVEN MITT SINGLE - THE BARBEQUE</t>
  </si>
  <si>
    <t>OGTA1</t>
  </si>
  <si>
    <t>Packaging - Black Floral Hair Wrap</t>
  </si>
  <si>
    <t>BH007B</t>
  </si>
  <si>
    <t>Packaging - Black Floral Satin Eyemask and Scrunchie</t>
  </si>
  <si>
    <t>BH023B</t>
  </si>
  <si>
    <t>Packaging - Black Floral Satin Pillow</t>
  </si>
  <si>
    <t>BH031B</t>
  </si>
  <si>
    <t>Packaging - Black Floral Satin Sleep Bonnet</t>
  </si>
  <si>
    <t>BH027B</t>
  </si>
  <si>
    <t>Packaging - Black Floral Shower Cap</t>
  </si>
  <si>
    <t>BH003B</t>
  </si>
  <si>
    <t>Packaging - Black Floral Slippers</t>
  </si>
  <si>
    <t>BH035B</t>
  </si>
  <si>
    <t>Packaging - Black Floral Spa Head Band</t>
  </si>
  <si>
    <t>BH015B</t>
  </si>
  <si>
    <t>Packaging - Black Floral Towling Scrunchie</t>
  </si>
  <si>
    <t>BH011B</t>
  </si>
  <si>
    <t>Packaging - Ice Roller</t>
  </si>
  <si>
    <t>BH017B</t>
  </si>
  <si>
    <t>Packaging - Jade Roller</t>
  </si>
  <si>
    <t>BH019B</t>
  </si>
  <si>
    <t>Packaging - Leopard Print Hair Wrap</t>
  </si>
  <si>
    <t>BH005B</t>
  </si>
  <si>
    <t>Packaging - Leopard Print Satin Eyemask and Scrunchie</t>
  </si>
  <si>
    <t>BH021B</t>
  </si>
  <si>
    <t>Packaging - Leopard Print Satin Pillow</t>
  </si>
  <si>
    <t>BH029B</t>
  </si>
  <si>
    <t>Packaging - Leopard Print Satin Sleep Bonnet</t>
  </si>
  <si>
    <t>BH025B</t>
  </si>
  <si>
    <t>Packaging - Leopard Print Shower Cap</t>
  </si>
  <si>
    <t>BH001B</t>
  </si>
  <si>
    <t>Packaging - Leopard Print Slippers</t>
  </si>
  <si>
    <t>BH033B</t>
  </si>
  <si>
    <t>Packaging - Leopard Print Spa Head Band</t>
  </si>
  <si>
    <t>BH013B</t>
  </si>
  <si>
    <t>Packaging - Leopard Print Towling Scrunchie</t>
  </si>
  <si>
    <t>BH009B</t>
  </si>
  <si>
    <t>Packaging - Micro Derma Roller</t>
  </si>
  <si>
    <t>BH018B</t>
  </si>
  <si>
    <t>Packaging - Peonie Rose Hair Wrap</t>
  </si>
  <si>
    <t>BH008B</t>
  </si>
  <si>
    <t>Packaging - Peonie Rose Satin Eyemask and Scrunchie</t>
  </si>
  <si>
    <t>BH024B</t>
  </si>
  <si>
    <t>Packaging - Peonie Rose Satin Pillow</t>
  </si>
  <si>
    <t>BH032B</t>
  </si>
  <si>
    <t>Packaging - Peonie Rose Satin Sleep Bonnet</t>
  </si>
  <si>
    <t>BH028B</t>
  </si>
  <si>
    <t>Packaging - Peonie Rose Shower Cap</t>
  </si>
  <si>
    <t>BH004B</t>
  </si>
  <si>
    <t>Packaging - Peonie Rose Slippers</t>
  </si>
  <si>
    <t>BH036B</t>
  </si>
  <si>
    <t>Packaging - Peonie Rose Spa Head Band</t>
  </si>
  <si>
    <t>BH016B</t>
  </si>
  <si>
    <t>Packaging - Peonie Rose Towling Scrunchie</t>
  </si>
  <si>
    <t>BH012B</t>
  </si>
  <si>
    <t>Packaging - Pink Polka Dot Hair Wrap</t>
  </si>
  <si>
    <t>BH006B</t>
  </si>
  <si>
    <t>Packaging - Pink Polka Dot Satin Eyemask and Scrunchie</t>
  </si>
  <si>
    <t>BH022B</t>
  </si>
  <si>
    <t>Packaging - Pink Polka Dot Satin Pillow</t>
  </si>
  <si>
    <t>BH030B</t>
  </si>
  <si>
    <t>Packaging - Pink Polka Dot Satin Sleep Bonnet</t>
  </si>
  <si>
    <t>BH026B</t>
  </si>
  <si>
    <t>Packaging - Pink Polka Dot Shower Cap</t>
  </si>
  <si>
    <t>BH002B</t>
  </si>
  <si>
    <t>Packaging - Pink Polka Dot Slippers</t>
  </si>
  <si>
    <t>BH034B</t>
  </si>
  <si>
    <t>Packaging - Pink Polka Dot Spa Head Band</t>
  </si>
  <si>
    <t>BH014B</t>
  </si>
  <si>
    <t>Packaging - Pink Polka Dot Towling Scrunchie</t>
  </si>
  <si>
    <t>BH010B</t>
  </si>
  <si>
    <t>Packaging - Rose Quartz Roller</t>
  </si>
  <si>
    <t>BH020B</t>
  </si>
  <si>
    <t>Packaging for Amber Rechargeable Black</t>
  </si>
  <si>
    <t>PABL001</t>
  </si>
  <si>
    <t>Packaging for Amber Rechargeable White</t>
  </si>
  <si>
    <t>PABL009</t>
  </si>
  <si>
    <t>Packaging for Flexi Booklight Battery - Black</t>
  </si>
  <si>
    <t>PFB001</t>
  </si>
  <si>
    <t>Packaging for Flexi Booklight Battery - Blue</t>
  </si>
  <si>
    <t>PFB003</t>
  </si>
  <si>
    <t>Packaging for Flexi Booklight Battery - Pink</t>
  </si>
  <si>
    <t>PFB004</t>
  </si>
  <si>
    <t>Packaging for Flexi Booklight Battery - White</t>
  </si>
  <si>
    <t>PFB002</t>
  </si>
  <si>
    <t>Packaging for Flexi Rechargeable - Blank</t>
  </si>
  <si>
    <t>PRCBL001</t>
  </si>
  <si>
    <t>Packaging for Flexi Rechargeable - Blue</t>
  </si>
  <si>
    <t>PRCBL003</t>
  </si>
  <si>
    <t>Packaging for Flexi Rechargeable - Pink</t>
  </si>
  <si>
    <t>PRCBL002</t>
  </si>
  <si>
    <t>Packaging for Flexi Rechargeable - White</t>
  </si>
  <si>
    <t>PRCBL004</t>
  </si>
  <si>
    <t>Packaging for Ultra Rechargeable Black</t>
  </si>
  <si>
    <t>PUBL01</t>
  </si>
  <si>
    <t>Packaging for Wrap Light Rechargeable Black</t>
  </si>
  <si>
    <t>PWL002</t>
  </si>
  <si>
    <t>Packaging for Wrap Light Rechargeable White</t>
  </si>
  <si>
    <t>PWL003</t>
  </si>
  <si>
    <t>Packaging Hobby House - Baby Closet Dividers</t>
  </si>
  <si>
    <t>HH03P</t>
  </si>
  <si>
    <t>Packaging Hobby House - Baby Milestones Set 1</t>
  </si>
  <si>
    <t>HH01P</t>
  </si>
  <si>
    <t>Packaging Hobby House - Baby Milestones Set 2</t>
  </si>
  <si>
    <t>HH02P</t>
  </si>
  <si>
    <t>Packaging Paint &amp; Create - African Safari</t>
  </si>
  <si>
    <t>PC02P</t>
  </si>
  <si>
    <t>Packaging Paint &amp; Create - Australian Animals</t>
  </si>
  <si>
    <t>PC01P</t>
  </si>
  <si>
    <t>Packaging Paint &amp; Create - Christmas House 1</t>
  </si>
  <si>
    <t>PC12P</t>
  </si>
  <si>
    <t>Packaging Paint &amp; Create - Christmas House 2</t>
  </si>
  <si>
    <t>PC13P</t>
  </si>
  <si>
    <t>Packaging Paint &amp; Create - Christmas Ornaments 1</t>
  </si>
  <si>
    <t>PC08P</t>
  </si>
  <si>
    <t>Packaging Paint &amp; Create - Christmas Ornaments 2</t>
  </si>
  <si>
    <t>PC09P</t>
  </si>
  <si>
    <t>Packaging Paint &amp; Create - Christmas Wreath</t>
  </si>
  <si>
    <t>PC14P</t>
  </si>
  <si>
    <t>Packaging Paint &amp; Create - Dinosaurs</t>
  </si>
  <si>
    <t>PC03P</t>
  </si>
  <si>
    <t>Packaging Paint &amp; Create - Mermaids</t>
  </si>
  <si>
    <t>PC04P</t>
  </si>
  <si>
    <t>Packaging Paint &amp; Create - Merry Christmas</t>
  </si>
  <si>
    <t>PC15P</t>
  </si>
  <si>
    <t>Packaging Paint &amp; Create - Nativity Set</t>
  </si>
  <si>
    <t>PC10P</t>
  </si>
  <si>
    <t>Packaging Paint &amp; Create - Rockets &amp; Space</t>
  </si>
  <si>
    <t>PC06P</t>
  </si>
  <si>
    <t>Packaging Paint &amp; Create - Santa's Letter Box</t>
  </si>
  <si>
    <t>PC11P</t>
  </si>
  <si>
    <t>Packaging Paint &amp; Create - Trucks</t>
  </si>
  <si>
    <t>PC07P</t>
  </si>
  <si>
    <t>Packaging Paint &amp; Create - Unicorns</t>
  </si>
  <si>
    <t>PC05P</t>
  </si>
  <si>
    <t>Packaging Paint &amp; Create - World's Best Auntie</t>
  </si>
  <si>
    <t>PC19P</t>
  </si>
  <si>
    <t>Packaging Paint &amp; Create - World's Best Dad</t>
  </si>
  <si>
    <t>PC16P</t>
  </si>
  <si>
    <t>Packaging Paint &amp; Create - World's Best Grandad</t>
  </si>
  <si>
    <t>PC20P</t>
  </si>
  <si>
    <t>Packaging Paint &amp; Create - World's Best Grandma</t>
  </si>
  <si>
    <t>PC21P</t>
  </si>
  <si>
    <t>Packaging Paint &amp; Create - World's Best Mum</t>
  </si>
  <si>
    <t>PC17P</t>
  </si>
  <si>
    <t>Packaging Paint &amp; Create - World's Best Nanna</t>
  </si>
  <si>
    <t>PC22P</t>
  </si>
  <si>
    <t>Packaging Paint &amp; Create - World's Best Pop</t>
  </si>
  <si>
    <t>PC23P</t>
  </si>
  <si>
    <t>Packaging Paint &amp; Create - World's Best Uncle</t>
  </si>
  <si>
    <t>PC18P</t>
  </si>
  <si>
    <t>PAGE POINTERS - BLUE</t>
  </si>
  <si>
    <t>PAGE POINTERS - GREEN</t>
  </si>
  <si>
    <t>PAGE POINTERS - GREY</t>
  </si>
  <si>
    <t>PAGE POINTERS - ORANGE</t>
  </si>
  <si>
    <t>PAGE POINTERS - PINK</t>
  </si>
  <si>
    <t>PAGE POINTERS - PURPLE</t>
  </si>
  <si>
    <t>Paint &amp; Create - Barn &amp; Farm Animals Painting Kit</t>
  </si>
  <si>
    <t>PC29</t>
  </si>
  <si>
    <t>Paint &amp; Create - Christmas Gingerbread House</t>
  </si>
  <si>
    <t>Paint &amp; Create - Christmas Snowman House</t>
  </si>
  <si>
    <t>Paint &amp; Create - Dinosaur Range Painting Kit</t>
  </si>
  <si>
    <t>PC32</t>
  </si>
  <si>
    <t>Paint &amp; Create - Fairy Garden Set</t>
  </si>
  <si>
    <t>PC24</t>
  </si>
  <si>
    <t>Paint &amp; Create - Horses &amp; Stable Painting Kit</t>
  </si>
  <si>
    <t>PC30</t>
  </si>
  <si>
    <t>Paint &amp; Create - Sew &amp; Create Tote Bag - Brown AUS Animals</t>
  </si>
  <si>
    <t>PC34</t>
  </si>
  <si>
    <t>Paint &amp; Create - Sew &amp; Create Tote Bag - Pink Unicorn</t>
  </si>
  <si>
    <t>PC33</t>
  </si>
  <si>
    <t>Paint &amp; Create - Unicorns &amp; Rainbow Painting Kit</t>
  </si>
  <si>
    <t>PC31</t>
  </si>
  <si>
    <t>Paint &amp; Create - World's Best Auntie</t>
  </si>
  <si>
    <t>PC19</t>
  </si>
  <si>
    <t>Paint &amp; Create - World's Best Uncle</t>
  </si>
  <si>
    <t>PC18</t>
  </si>
  <si>
    <t>Paint &amp; Create Fridge Magnet Painting Kit - Australian Animals</t>
  </si>
  <si>
    <t>PC47</t>
  </si>
  <si>
    <t>Paint &amp; Create Fridge Magnet Painting Kit - Dinosaur</t>
  </si>
  <si>
    <t>PC48</t>
  </si>
  <si>
    <t>Paint &amp; Create Fridge Magnet Painting Kit - Trucks and Rockets</t>
  </si>
  <si>
    <t>PC46</t>
  </si>
  <si>
    <t>Paint &amp; Create Fridge Magnet Painting Kit - Unicorn and Mermaid</t>
  </si>
  <si>
    <t>PC45</t>
  </si>
  <si>
    <t>Paint &amp; Create- Bird House Painting Kit</t>
  </si>
  <si>
    <t>PC42</t>
  </si>
  <si>
    <t>Paint &amp; Create- Bookmarks Painting Kit</t>
  </si>
  <si>
    <t>PC44</t>
  </si>
  <si>
    <t>Paint &amp; Create- Butterfly House Painting Kit</t>
  </si>
  <si>
    <t>PC43</t>
  </si>
  <si>
    <t>Paint &amp; Create- Sew &amp; Create Coin Purse - Blue Dinosaur</t>
  </si>
  <si>
    <t>PC38</t>
  </si>
  <si>
    <t>Paint &amp; Create- Sew &amp; Create Coin Purse - Brown AUS Animals</t>
  </si>
  <si>
    <t>PC37</t>
  </si>
  <si>
    <t>Paint &amp; Create- Sew &amp; Create Coin Purse - Pink Unicorn</t>
  </si>
  <si>
    <t>PC36</t>
  </si>
  <si>
    <t>Paint &amp; Create- Sew &amp; Create Hand Bag - Pink Unicorn</t>
  </si>
  <si>
    <t>PC35</t>
  </si>
  <si>
    <t>Paint &amp; Create- Sew &amp; Create Pencil Case - Blue Dinosaur</t>
  </si>
  <si>
    <t>PC41</t>
  </si>
  <si>
    <t>Paint &amp; Create- Sew &amp; Create Pencil Case - Brown AUS Animals</t>
  </si>
  <si>
    <t>PC40</t>
  </si>
  <si>
    <t>Paint &amp; Create- Sew &amp; Create Pencil Case - Pink Unicorn</t>
  </si>
  <si>
    <t>PC39</t>
  </si>
  <si>
    <t>Paint Set 8/2</t>
  </si>
  <si>
    <t>DIY1</t>
  </si>
  <si>
    <t>Pallet</t>
  </si>
  <si>
    <t>Paper Film Heat Seal 20cm</t>
  </si>
  <si>
    <t>PFHS20</t>
  </si>
  <si>
    <t>Paper Film Heat Seal 35cm</t>
  </si>
  <si>
    <t>PFHS35</t>
  </si>
  <si>
    <t>Party Stones - Warming</t>
  </si>
  <si>
    <t>Party Stones - Whisky S/9 Natural 9cm</t>
  </si>
  <si>
    <t>Patypus - Australian Made Wooden Fridge Magnet</t>
  </si>
  <si>
    <t>WFM022</t>
  </si>
  <si>
    <t>Pencil Case - William Morris (Strawberry Thief Blue)</t>
  </si>
  <si>
    <t>PENCWM01</t>
  </si>
  <si>
    <t>Pencils Set of 6 - Planet Cat (Great Thoughts)</t>
  </si>
  <si>
    <t>STATPC01</t>
  </si>
  <si>
    <t>Pencils Set Of 6 - RHS (Irises &amp; Hellebores)</t>
  </si>
  <si>
    <t>STATRHS01</t>
  </si>
  <si>
    <t>Peonie Rose Kit 1</t>
  </si>
  <si>
    <t>Kit6</t>
  </si>
  <si>
    <t>Photo Frame</t>
  </si>
  <si>
    <t>Photo Frame 5x7 - William Morris (Willow Blue)</t>
  </si>
  <si>
    <t>FRAMWM01</t>
  </si>
  <si>
    <t>Photo Frame 5x7 - William Morris (Willow Ochre)</t>
  </si>
  <si>
    <t>FRAMWM02</t>
  </si>
  <si>
    <t>Pill Box - Australian Natives</t>
  </si>
  <si>
    <t>PB11</t>
  </si>
  <si>
    <t>Pill Box - Golden Wattle</t>
  </si>
  <si>
    <t>PB12</t>
  </si>
  <si>
    <t>Pill Box - Strawberry Thief</t>
  </si>
  <si>
    <t>PB05</t>
  </si>
  <si>
    <t>Pill Box - Sunflowers</t>
  </si>
  <si>
    <t>PB09</t>
  </si>
  <si>
    <t>Pill Box - Tropical Koala</t>
  </si>
  <si>
    <t>PB13</t>
  </si>
  <si>
    <t>Pill Box - Water Lilies</t>
  </si>
  <si>
    <t>PB10</t>
  </si>
  <si>
    <t>Pill Box Fruit</t>
  </si>
  <si>
    <t>PB06</t>
  </si>
  <si>
    <t>Pill Box Kilburn</t>
  </si>
  <si>
    <t>PB08</t>
  </si>
  <si>
    <t>Pill Box Peonie Rose</t>
  </si>
  <si>
    <t>PB07</t>
  </si>
  <si>
    <t>Pill Boxes - Assorted 24 Units</t>
  </si>
  <si>
    <t>PBASS24</t>
  </si>
  <si>
    <t>Pink Rock Lily - Australian Made Wooden Fridge Magnet</t>
  </si>
  <si>
    <t>WFM006</t>
  </si>
  <si>
    <t>Pink Rock Lily - Australian Made Wooden Key Ring</t>
  </si>
  <si>
    <t>WK006</t>
  </si>
  <si>
    <t>PLANET CAT COASTERS DISPLAY</t>
  </si>
  <si>
    <t>CDUPCC</t>
  </si>
  <si>
    <t>Planet Cat Coasters Set Up 36 Units</t>
  </si>
  <si>
    <t>PACBPC02</t>
  </si>
  <si>
    <t>Plastic Hooks for Display</t>
  </si>
  <si>
    <t>PH</t>
  </si>
  <si>
    <t>Platypus - Australian Made Wooden Key Ring</t>
  </si>
  <si>
    <t>WK022</t>
  </si>
  <si>
    <t>Platypus - Australian Made Wooden Ornament</t>
  </si>
  <si>
    <t>WO045</t>
  </si>
  <si>
    <t>Playing Card &amp; Dice Set in a Flat Brushed Tin</t>
  </si>
  <si>
    <t>RFS11559</t>
  </si>
  <si>
    <t>Plush slippers 8-10  Size- Peonie Rose</t>
  </si>
  <si>
    <t>Plush Slippers WDU</t>
  </si>
  <si>
    <t>CDUPS</t>
  </si>
  <si>
    <t>Pocket Bag - Bee</t>
  </si>
  <si>
    <t>PB005</t>
  </si>
  <si>
    <t>Shoppers</t>
  </si>
  <si>
    <t>Pocket Bag - Duck</t>
  </si>
  <si>
    <t>PB003</t>
  </si>
  <si>
    <t>Pocket Bag - Fish</t>
  </si>
  <si>
    <t>PB002</t>
  </si>
  <si>
    <t>Pocket Bag - Grape</t>
  </si>
  <si>
    <t>PB008</t>
  </si>
  <si>
    <t>Pocket Bag - Monkey</t>
  </si>
  <si>
    <t>PB004</t>
  </si>
  <si>
    <t>Pocket Bag - Pineapple</t>
  </si>
  <si>
    <t>PB009</t>
  </si>
  <si>
    <t>Pocket Bag - Rose Purple</t>
  </si>
  <si>
    <t>PB007</t>
  </si>
  <si>
    <t>Pocket Bag - Rose Red</t>
  </si>
  <si>
    <t>PB006</t>
  </si>
  <si>
    <t>Pocket Bag - Strawberry</t>
  </si>
  <si>
    <t>PB010</t>
  </si>
  <si>
    <t>Pocket Bag -Dog</t>
  </si>
  <si>
    <t>PB001</t>
  </si>
  <si>
    <t>POCKET PU JOURNAL - BOWLING GREEN</t>
  </si>
  <si>
    <t>RFS12036</t>
  </si>
  <si>
    <t>POCKET PU JOURNAL - DEEP PURPLE</t>
  </si>
  <si>
    <t>RFS12038</t>
  </si>
  <si>
    <t>POCKET PU JOURNAL - JADE GREEN</t>
  </si>
  <si>
    <t>RFS12039</t>
  </si>
  <si>
    <t>POCKET PU JOURNAL - RASPBERRY PINK</t>
  </si>
  <si>
    <t>RFS12041</t>
  </si>
  <si>
    <t>Politically Incorrect - David Attenborough</t>
  </si>
  <si>
    <t>PI3506</t>
  </si>
  <si>
    <t>Politically Incorrect - Gordon Ramsey</t>
  </si>
  <si>
    <t>PI3503</t>
  </si>
  <si>
    <t>Politically Incorrect - Jeremy Clarkson</t>
  </si>
  <si>
    <t>PI3511</t>
  </si>
  <si>
    <t>Politically Incorrect - Trump 40th</t>
  </si>
  <si>
    <t>PI4001</t>
  </si>
  <si>
    <t>Politically Incorrect - Trump 50th</t>
  </si>
  <si>
    <t>PI4002</t>
  </si>
  <si>
    <t>Politically Incorrect - Trump 60th</t>
  </si>
  <si>
    <t>PI4003</t>
  </si>
  <si>
    <t>POLITICALLY INCORRECT DISPLAY</t>
  </si>
  <si>
    <t>SCD</t>
  </si>
  <si>
    <t>Polyester Fabric - Australian Natives</t>
  </si>
  <si>
    <t>PYFABAN</t>
  </si>
  <si>
    <t>Polyester Fabric - Golden Wattle</t>
  </si>
  <si>
    <t>PYFABGW</t>
  </si>
  <si>
    <t>Polyester Fabric - Strawberry Thief</t>
  </si>
  <si>
    <t>PYFABST</t>
  </si>
  <si>
    <t>Polyester Fabric - Sunflowers</t>
  </si>
  <si>
    <t>PYFABSF</t>
  </si>
  <si>
    <t>Polyester Fabric - Water Lilies</t>
  </si>
  <si>
    <t>PYFABWL</t>
  </si>
  <si>
    <t>Postcards WORTH SAVING</t>
  </si>
  <si>
    <t>01WH06</t>
  </si>
  <si>
    <t>Postcards WORTHINGTON</t>
  </si>
  <si>
    <t>01FAD02</t>
  </si>
  <si>
    <t>Postcards WRAPPERS</t>
  </si>
  <si>
    <t>01CAD13</t>
  </si>
  <si>
    <t>Postcards WRIGHTS SOAP</t>
  </si>
  <si>
    <t>01BA04</t>
  </si>
  <si>
    <t>POSTER ART SET SQUARE - PETER RABBIT ADVENTURES</t>
  </si>
  <si>
    <t>RFS11499</t>
  </si>
  <si>
    <t>POSTER ART SET SQUARE - PETER RABBIT BLUE</t>
  </si>
  <si>
    <t>RFS10042</t>
  </si>
  <si>
    <t>POSTER ART SET SQUARE - PETER RABBIT BLUE PETER</t>
  </si>
  <si>
    <t>RFS10112</t>
  </si>
  <si>
    <t>Pre-tied Leather Cord</t>
  </si>
  <si>
    <t>PLCORD</t>
  </si>
  <si>
    <t>PU Fabric - Australian Natives</t>
  </si>
  <si>
    <t>PUFABAN</t>
  </si>
  <si>
    <t>PU Fabric - Golden Wattle</t>
  </si>
  <si>
    <t>PUFABGW</t>
  </si>
  <si>
    <t>PU Fabric - Strawberry Thief</t>
  </si>
  <si>
    <t>PUFABST</t>
  </si>
  <si>
    <t>PU Fabric - Sunflowers</t>
  </si>
  <si>
    <t>PUFABSF</t>
  </si>
  <si>
    <t>PU Fabric - Water Lilies</t>
  </si>
  <si>
    <t>PUFABWL</t>
  </si>
  <si>
    <t>Pu Leather Y1570 Blue</t>
  </si>
  <si>
    <t>Y1570Blue</t>
  </si>
  <si>
    <t>Pu Leather Y1570 Pink</t>
  </si>
  <si>
    <t>Y1570Pink</t>
  </si>
  <si>
    <t>Pu Leather Y569 Brown</t>
  </si>
  <si>
    <t>Y569Brown</t>
  </si>
  <si>
    <t>Puncture Repair Kit</t>
  </si>
  <si>
    <t>RFS11788</t>
  </si>
  <si>
    <t>Puppies Running Slim Calendar</t>
  </si>
  <si>
    <t>PRC002</t>
  </si>
  <si>
    <t>Puppies Running Square Calendar</t>
  </si>
  <si>
    <t>PRC001</t>
  </si>
  <si>
    <t>Puppies Running Year Planner</t>
  </si>
  <si>
    <t>PRC003</t>
  </si>
  <si>
    <t>Purple Apatite - Strength</t>
  </si>
  <si>
    <t>HS004</t>
  </si>
  <si>
    <t>Rainbow Lorikeet - Australian Made Wooden Fridge Magnet</t>
  </si>
  <si>
    <t>WFM023</t>
  </si>
  <si>
    <t>Rainbow Lorikeet - Australian Made Wooden Key Ring</t>
  </si>
  <si>
    <t>WK023</t>
  </si>
  <si>
    <t>Rainbow Lorikeet - Australian Made Wooden Ornament</t>
  </si>
  <si>
    <t>WO046</t>
  </si>
  <si>
    <t>Rattling friends</t>
  </si>
  <si>
    <t>Rattling Friends Display WDU</t>
  </si>
  <si>
    <t>Drinking Accessories</t>
  </si>
  <si>
    <t>RCBL Replacement Lead</t>
  </si>
  <si>
    <t>RCBLRL</t>
  </si>
  <si>
    <t>Reading Friend - Crocodile</t>
  </si>
  <si>
    <t>RF022</t>
  </si>
  <si>
    <t>Reading Friend - Ginger Cat</t>
  </si>
  <si>
    <t>RF021</t>
  </si>
  <si>
    <t>Reading Friend - Labrador</t>
  </si>
  <si>
    <t>RF023</t>
  </si>
  <si>
    <t>Reading Friend - Panda</t>
  </si>
  <si>
    <t>RF020</t>
  </si>
  <si>
    <t>Reading Friend - Pink Unicorn</t>
  </si>
  <si>
    <t>RF024</t>
  </si>
  <si>
    <t>Reading Friend 3 Pack - Unicorn, Koala, Dog</t>
  </si>
  <si>
    <t>RF019</t>
  </si>
  <si>
    <t>READING GLASSES - DAVID COPPERFIELD - Strength +1</t>
  </si>
  <si>
    <t>RFS11547+1</t>
  </si>
  <si>
    <t>READING GLASSES - DAVID COPPERFIELD - Strength +3</t>
  </si>
  <si>
    <t>RFS11547+3</t>
  </si>
  <si>
    <t>READING GLASSES - GREAT EXPECTATIONS - Strength +1</t>
  </si>
  <si>
    <t>RFS11549+1</t>
  </si>
  <si>
    <t>READING GLASSES - GREAT EXPECTATIONS - Strength +2.5</t>
  </si>
  <si>
    <t>RFS11549+2.5</t>
  </si>
  <si>
    <t>READING GLASSES - GREAT EXPECTATIONS - Strength +3</t>
  </si>
  <si>
    <t>RFS11549+3</t>
  </si>
  <si>
    <t>READING GLASSES - GREAT GATSBY - Strength +1</t>
  </si>
  <si>
    <t>RFS11551+1</t>
  </si>
  <si>
    <t>READING GLASSES - GREAT GATSBY - Strength +3</t>
  </si>
  <si>
    <t>RFS11551+3</t>
  </si>
  <si>
    <t>READING GLASSES - JANE EYRE - Strength +1</t>
  </si>
  <si>
    <t>RFS11546+1</t>
  </si>
  <si>
    <t>READING GLASSES - JANE EYRE - Strength +3</t>
  </si>
  <si>
    <t>RFS11546+3</t>
  </si>
  <si>
    <t>READING GLASSES - SPARE PAIR - Strength +2.5</t>
  </si>
  <si>
    <t>READING GLASSES - WAR &amp; PEACE - Strengths +3</t>
  </si>
  <si>
    <t>RFS11550+3</t>
  </si>
  <si>
    <t>Reading Socks - Black Cable Knot Men</t>
  </si>
  <si>
    <t>RS006</t>
  </si>
  <si>
    <t>Reading Socks - Black Llama Kids</t>
  </si>
  <si>
    <t>RS001</t>
  </si>
  <si>
    <t>Reading Socks - Black Llama Women</t>
  </si>
  <si>
    <t>RS002</t>
  </si>
  <si>
    <t>Reading Socks - Ginger Cat Medium</t>
  </si>
  <si>
    <t>Reading Socks - Glitter Women</t>
  </si>
  <si>
    <t>RS004</t>
  </si>
  <si>
    <t>Reading Socks - Grey Cable Knot Women</t>
  </si>
  <si>
    <t>RS005</t>
  </si>
  <si>
    <t>Reading Socks - Koala Medium</t>
  </si>
  <si>
    <t>Reading Socks - Pink Llama Women</t>
  </si>
  <si>
    <t>RS003</t>
  </si>
  <si>
    <t>Reading Socks Option 1 2025</t>
  </si>
  <si>
    <t>RSSUD125</t>
  </si>
  <si>
    <t>Reading Socks Option 2 2025</t>
  </si>
  <si>
    <t>RSSUD225</t>
  </si>
  <si>
    <t>Reading Socks Option 3 2025</t>
  </si>
  <si>
    <t>RSSUD325</t>
  </si>
  <si>
    <t>Reading Socks Option 4 2025</t>
  </si>
  <si>
    <t>RSSUD425</t>
  </si>
  <si>
    <t>Reading Socks Packaging</t>
  </si>
  <si>
    <t>RSPG</t>
  </si>
  <si>
    <t>Reading Socks Set Up NO STAND</t>
  </si>
  <si>
    <t>RSNS</t>
  </si>
  <si>
    <t>REALLY TINY B'KLIGHT BLACK</t>
  </si>
  <si>
    <t>REALLY TINY B'KLIGHT BLUE</t>
  </si>
  <si>
    <t>REALLY TINY B'KLIGHT MINT GREEN</t>
  </si>
  <si>
    <t>REALLY TINY B'KLIGHT PINK</t>
  </si>
  <si>
    <t>REALLY TINY B'KLIGHT PURPLE</t>
  </si>
  <si>
    <t>REALLY TINY B'KLIGHT SKY BLUE</t>
  </si>
  <si>
    <t>Really Tiny Booklight Starter Pack 36 units</t>
  </si>
  <si>
    <t>SP51</t>
  </si>
  <si>
    <t>RECHARGEABLE BOOKLIGHT DISPLAY</t>
  </si>
  <si>
    <t>CDURBL</t>
  </si>
  <si>
    <t>Rollerball Pen - Australian Natives</t>
  </si>
  <si>
    <t>PEN08</t>
  </si>
  <si>
    <t>Rollerball Pen - Fruit</t>
  </si>
  <si>
    <t>PEN02</t>
  </si>
  <si>
    <t>Rollerball Pen - Golden Wattle</t>
  </si>
  <si>
    <t>PEN09</t>
  </si>
  <si>
    <t>Rollerball Pen - Kilburn</t>
  </si>
  <si>
    <t>PEN04</t>
  </si>
  <si>
    <t>Rollerball Pen - Peonie Rose</t>
  </si>
  <si>
    <t>PEN03</t>
  </si>
  <si>
    <t>Rollerball Pen - Strawberry Thief</t>
  </si>
  <si>
    <t>PEN01</t>
  </si>
  <si>
    <t>Rollerball Pen - Strawberry Thief Red</t>
  </si>
  <si>
    <t>PEN07</t>
  </si>
  <si>
    <t>Rollerball Pen - Sunflowers</t>
  </si>
  <si>
    <t>PEN05</t>
  </si>
  <si>
    <t>Rollerball Pen - Tropical Koala</t>
  </si>
  <si>
    <t>PEN10</t>
  </si>
  <si>
    <t>Rollerball Pen - Water Lilies</t>
  </si>
  <si>
    <t>PEN06</t>
  </si>
  <si>
    <t>Rollerball Pens Setup</t>
  </si>
  <si>
    <t>SPRB</t>
  </si>
  <si>
    <t>Rollerball Pens WDU</t>
  </si>
  <si>
    <t>CDURB</t>
  </si>
  <si>
    <t>Rollers WDU</t>
  </si>
  <si>
    <t>Romantasy Set Up - Bookmarks and Tote Bags</t>
  </si>
  <si>
    <t>BKTBSP</t>
  </si>
  <si>
    <t>Romantasy</t>
  </si>
  <si>
    <t>Romantasy Tote Bag - To The Stars Who Listen</t>
  </si>
  <si>
    <t>TB037</t>
  </si>
  <si>
    <t>Rose - Australian Made Wooden Fridge Magnet</t>
  </si>
  <si>
    <t>WFM001</t>
  </si>
  <si>
    <t>Rose - Australian Made Wooden Key Ring</t>
  </si>
  <si>
    <t>WK001</t>
  </si>
  <si>
    <t>Rose Quartz - Love</t>
  </si>
  <si>
    <t>HS002</t>
  </si>
  <si>
    <t>RSSU Reading Socks Set Up</t>
  </si>
  <si>
    <t>RSSU</t>
  </si>
  <si>
    <t>Rude Card - Happy Birthday</t>
  </si>
  <si>
    <t>FC001</t>
  </si>
  <si>
    <t>Rude Card - You're How Old</t>
  </si>
  <si>
    <t>FC002</t>
  </si>
  <si>
    <t>Rude Set Up Australian Made Wooden Greeting Cards 36pcs</t>
  </si>
  <si>
    <t>SPGCR</t>
  </si>
  <si>
    <t>Santa Dirt Bike  - Australian Made Wooden Ornament</t>
  </si>
  <si>
    <t>WO054</t>
  </si>
  <si>
    <t>Santa Surf - Australian Made Wooden Ornament</t>
  </si>
  <si>
    <t>WO050</t>
  </si>
  <si>
    <t>Candles</t>
  </si>
  <si>
    <t>Sassy Scent Candle - Happy Birthday</t>
  </si>
  <si>
    <t>SSC001</t>
  </si>
  <si>
    <t>Sassy Scent Candle - Queen of</t>
  </si>
  <si>
    <t>SSC005</t>
  </si>
  <si>
    <t>Satin Pillowcases WDU</t>
  </si>
  <si>
    <t>Satin Sleep Bonnets WDU</t>
  </si>
  <si>
    <t>Save A Koala</t>
  </si>
  <si>
    <t>SA001</t>
  </si>
  <si>
    <t>Save The Reef</t>
  </si>
  <si>
    <t>SA002</t>
  </si>
  <si>
    <t>SAY IT WITH SOCKS - CONGRATS!</t>
  </si>
  <si>
    <t>SWS005</t>
  </si>
  <si>
    <t>SAY IT WITH SOCKS - SO PROUD</t>
  </si>
  <si>
    <t>SWS007</t>
  </si>
  <si>
    <t>SAY IT WITH SOCKS - SOCK IT TO ME SANTA</t>
  </si>
  <si>
    <t>SWS009S</t>
  </si>
  <si>
    <t>SAY IT WITH SOCKS - THANK YOU</t>
  </si>
  <si>
    <t>SWS006</t>
  </si>
  <si>
    <t>SAY IT WITH SOCKS - XMAS SANTA FACE</t>
  </si>
  <si>
    <t>SWS009T</t>
  </si>
  <si>
    <t>Scarf - Blush</t>
  </si>
  <si>
    <t>SCA010</t>
  </si>
  <si>
    <t>Scarf - Golden Wattle</t>
  </si>
  <si>
    <t>SCA012</t>
  </si>
  <si>
    <t>Scarf - RHS (Geo Coral)</t>
  </si>
  <si>
    <t>SCARHS01</t>
  </si>
  <si>
    <t>Scarf - RHS (Irises &amp; Hellebores)</t>
  </si>
  <si>
    <t>SCARHS04</t>
  </si>
  <si>
    <t>Scarf - Tropical Koala</t>
  </si>
  <si>
    <t>SCA014</t>
  </si>
  <si>
    <t>Scarf - William Morris (Strawberry Thief Blue)</t>
  </si>
  <si>
    <t>SCAWM01</t>
  </si>
  <si>
    <t>Scarf - William Morris (Willow Grey)</t>
  </si>
  <si>
    <t>SCAWM02</t>
  </si>
  <si>
    <t>Scrunchies WDU</t>
  </si>
  <si>
    <t>Sew &amp; Create AUS Animals Coin Purse Sleeve</t>
  </si>
  <si>
    <t>CS37</t>
  </si>
  <si>
    <t>Sew &amp; Create AUS Animals Pencil Case Sleeve</t>
  </si>
  <si>
    <t>CS40</t>
  </si>
  <si>
    <t>Sew &amp; Create AUS Animals Tote Bag Sleeve</t>
  </si>
  <si>
    <t>CS34</t>
  </si>
  <si>
    <t>Sew &amp; Create Dinosaur Coin Purse Sleeve</t>
  </si>
  <si>
    <t>CS38</t>
  </si>
  <si>
    <t>Sew &amp; Create Dinosaur Pencil Case Sleeve</t>
  </si>
  <si>
    <t>CS41</t>
  </si>
  <si>
    <t>Sew &amp; Create Unicorn Coin Purse Sleeve</t>
  </si>
  <si>
    <t>CS36</t>
  </si>
  <si>
    <t>Sew &amp; Create Unicorn Hand Bag Sleeve</t>
  </si>
  <si>
    <t>CS35</t>
  </si>
  <si>
    <t>Sew &amp; Create Unicorn Pencil Case Sleeve</t>
  </si>
  <si>
    <t>CS39</t>
  </si>
  <si>
    <t>Sew &amp; Create Unicorn Tote Bag Sleeve</t>
  </si>
  <si>
    <t>CS33</t>
  </si>
  <si>
    <t>Shoe Polish Set in a Flat Brushed Tin</t>
  </si>
  <si>
    <t>RFS11965</t>
  </si>
  <si>
    <t>SHOPPER BAG - DOMESTIC GODDESS</t>
  </si>
  <si>
    <t>SB6020</t>
  </si>
  <si>
    <t>SHOW OFF KEY RINGS DISPLAY STAND</t>
  </si>
  <si>
    <t>CDU327</t>
  </si>
  <si>
    <t>SHOW OFF KEYS - ADRENALINE JUNKIE</t>
  </si>
  <si>
    <t>SHOW OFF KEYS - BANK VAULT</t>
  </si>
  <si>
    <t>SHOW OFF KEYS - BIKE</t>
  </si>
  <si>
    <t>SHOW OFF KEYS - BILLIONAIRE</t>
  </si>
  <si>
    <t>SHOW OFF KEYS - BROOMSTICK</t>
  </si>
  <si>
    <t>SHOW OFF KEYS - CHASTITY BELT</t>
  </si>
  <si>
    <t>SHOW OFF KEYS - GENIUS</t>
  </si>
  <si>
    <t>SHOW OFF KEYS - GETAWAY CAR</t>
  </si>
  <si>
    <t>SHOW OFF KEYS - GYM GOD</t>
  </si>
  <si>
    <t>SHOW OFF KEYS - HQ</t>
  </si>
  <si>
    <t>SHOW OFF KEYS - INTERNET SENSATION</t>
  </si>
  <si>
    <t>SHOW OFF KEYS - MAN CAVE</t>
  </si>
  <si>
    <t>SHOW OFF KEYS - MIDLIFE CRISIS</t>
  </si>
  <si>
    <t>SHOW OFF KEYS - OCD</t>
  </si>
  <si>
    <t>SHOW OFF KEYS - PENTHOUSE</t>
  </si>
  <si>
    <t>SHOW OFF KEYS - PRIVATE JET</t>
  </si>
  <si>
    <t>SHOW OFF KEYS - REALITY TV STAR</t>
  </si>
  <si>
    <t>SHOW OFF KEYS - SERVANTS</t>
  </si>
  <si>
    <t>SHOW OFF KEYS - Set Up</t>
  </si>
  <si>
    <t>00sok</t>
  </si>
  <si>
    <t>SHOW OFF KEYS - SHOW OFF</t>
  </si>
  <si>
    <t>SHOW OFF KEYS - TAXI</t>
  </si>
  <si>
    <t>SHOW OFF KEYS - THE BOSS</t>
  </si>
  <si>
    <t>SHOW OFF KEYS - THE YACHT</t>
  </si>
  <si>
    <t>SHOW OFF KEYS - WHATEVER</t>
  </si>
  <si>
    <t>SHOW OFF KEYS - WHITE VAN</t>
  </si>
  <si>
    <t>SHOW OFF KEYS - WINE TASTER</t>
  </si>
  <si>
    <t>SHOW OFF KEYS STARTER PACK 54 units</t>
  </si>
  <si>
    <t>SP327</t>
  </si>
  <si>
    <t>Shower Caps WDU</t>
  </si>
  <si>
    <t>Silicone Bear and Box</t>
  </si>
  <si>
    <t>ABL115</t>
  </si>
  <si>
    <t>Silicone Cat and Box</t>
  </si>
  <si>
    <t>ABL117</t>
  </si>
  <si>
    <t>Silicone Dog and Box</t>
  </si>
  <si>
    <t>ABL114</t>
  </si>
  <si>
    <t>Silicone Heat Bag - Fruit</t>
  </si>
  <si>
    <t>HP02</t>
  </si>
  <si>
    <t>Heat Pack</t>
  </si>
  <si>
    <t>Silicone Heat Bag - Peonie Rose</t>
  </si>
  <si>
    <t>HP04</t>
  </si>
  <si>
    <t>Silicone Heat Bag - Strawberry Thief</t>
  </si>
  <si>
    <t>HP01</t>
  </si>
  <si>
    <t>Silicone Heat Bag - Sunflowers</t>
  </si>
  <si>
    <t>HP03</t>
  </si>
  <si>
    <t>Silicone T-Rex and Box</t>
  </si>
  <si>
    <t>ABL112</t>
  </si>
  <si>
    <t>Silicone Unicorn and Box</t>
  </si>
  <si>
    <t>ABL113</t>
  </si>
  <si>
    <t>ABL122</t>
  </si>
  <si>
    <t>Silver - Australian Made Wooden Ornament</t>
  </si>
  <si>
    <t>WO066</t>
  </si>
  <si>
    <t>SINGLE CANISTER - CADBURY</t>
  </si>
  <si>
    <t>32CAN04</t>
  </si>
  <si>
    <t>SINGLE PLAYING CARD TIN IN CDU - BOLD STRIPE &amp; GEO SPOT</t>
  </si>
  <si>
    <t>RFS11878</t>
  </si>
  <si>
    <t>SINGLE PLAYING CARD TIN IN CDU - PIZAZZ CACTUS PRINT</t>
  </si>
  <si>
    <t>RFS11879</t>
  </si>
  <si>
    <t>SINGLE PLAYING CARD TIN IN CDU - VINTAGE MAP</t>
  </si>
  <si>
    <t>RFS10996</t>
  </si>
  <si>
    <t>Sleep Spray - Australian Natives</t>
  </si>
  <si>
    <t>CR039</t>
  </si>
  <si>
    <t>Sleep Spray - Golden Wattle</t>
  </si>
  <si>
    <t>CR040</t>
  </si>
  <si>
    <t>Sleep Spray - Tropical Koala</t>
  </si>
  <si>
    <t>CR046</t>
  </si>
  <si>
    <t>Small Pouch - Australian Natives</t>
  </si>
  <si>
    <t>SP07</t>
  </si>
  <si>
    <t>Small Pouch - Fruit</t>
  </si>
  <si>
    <t>SP02</t>
  </si>
  <si>
    <t>Small Pouch - Golden Wattle</t>
  </si>
  <si>
    <t>SP08</t>
  </si>
  <si>
    <t>Small Pouch - Kilburn</t>
  </si>
  <si>
    <t>SP04</t>
  </si>
  <si>
    <t>Small Pouch - Peonie Rose</t>
  </si>
  <si>
    <t>SP03</t>
  </si>
  <si>
    <t>Small Pouch - Strawberry Thief</t>
  </si>
  <si>
    <t>SP01</t>
  </si>
  <si>
    <t>Small Pouch - Sunflowers</t>
  </si>
  <si>
    <t>SP05</t>
  </si>
  <si>
    <t>Small Pouch - Tropical Koala</t>
  </si>
  <si>
    <t>SP09</t>
  </si>
  <si>
    <t>Small Pouch - Water Lilies</t>
  </si>
  <si>
    <t>SP06</t>
  </si>
  <si>
    <t>Keep Cup</t>
  </si>
  <si>
    <t>Space Calendar</t>
  </si>
  <si>
    <t>SWC001</t>
  </si>
  <si>
    <t>Space Slim Calendar</t>
  </si>
  <si>
    <t>SC002</t>
  </si>
  <si>
    <t>Space Square Calendar</t>
  </si>
  <si>
    <t>SC001</t>
  </si>
  <si>
    <t>Space Year Planner</t>
  </si>
  <si>
    <t>SC003</t>
  </si>
  <si>
    <t>Spare Boxes for Tea For One</t>
  </si>
  <si>
    <t>SB001</t>
  </si>
  <si>
    <t>SPECIAL ORDER</t>
  </si>
  <si>
    <t>SO</t>
  </si>
  <si>
    <t>Star Trek Bookmark Bones</t>
  </si>
  <si>
    <t>Star Trek Bookmark James T Kirk</t>
  </si>
  <si>
    <t>Star Trek Bookmark Scotty</t>
  </si>
  <si>
    <t>Star Trek Bookmark Uhura</t>
  </si>
  <si>
    <t>Steam Punk Ukulele</t>
  </si>
  <si>
    <t>RFS12068</t>
  </si>
  <si>
    <t>STICKA GLITTER</t>
  </si>
  <si>
    <t>RSSGR</t>
  </si>
  <si>
    <t>STICKA GLITTER 1300 SET UP: 25 EACH OF 52 PLUS STAND</t>
  </si>
  <si>
    <t>RSSG</t>
  </si>
  <si>
    <t>STICKERS 4 FUN 1300 SET UP: 25 EACH OF DESIGNS PLUS STAND</t>
  </si>
  <si>
    <t>RSS4M</t>
  </si>
  <si>
    <t>STICKERS 4 FUN REFILL</t>
  </si>
  <si>
    <t>RSS4M R</t>
  </si>
  <si>
    <t>Sticky Notes (Folio) - Planet Cat (Time Spent)</t>
  </si>
  <si>
    <t>STNTPC01</t>
  </si>
  <si>
    <t>Strawberry Quartz - Friendship</t>
  </si>
  <si>
    <t>HS001</t>
  </si>
  <si>
    <t>Strawberry Thief Blue Kit 1</t>
  </si>
  <si>
    <t>Kit8</t>
  </si>
  <si>
    <t>Strip Display Box - Flexible Booklight</t>
  </si>
  <si>
    <t>SDB02</t>
  </si>
  <si>
    <t>Strip Display Box - Smart Light</t>
  </si>
  <si>
    <t>SDB01</t>
  </si>
  <si>
    <t>SUCCESS BOOKMARKS DISPLAY</t>
  </si>
  <si>
    <t>CDUSBM</t>
  </si>
  <si>
    <t>Success Bookmarks False Item</t>
  </si>
  <si>
    <t>001SM</t>
  </si>
  <si>
    <t>Sugar Scrub Set - Australian Natives</t>
  </si>
  <si>
    <t>CR043</t>
  </si>
  <si>
    <t>Sugar Scrub Set - Golden Wattle</t>
  </si>
  <si>
    <t>CR044</t>
  </si>
  <si>
    <t>Sugar Scrub Set - Tropical Koala</t>
  </si>
  <si>
    <t>CR045</t>
  </si>
  <si>
    <t>Sunflower - Australian Made Wooden Fridge Magnet</t>
  </si>
  <si>
    <t>WFM003</t>
  </si>
  <si>
    <t>Sunflower - Australian Made Wooden Key Ring</t>
  </si>
  <si>
    <t>WK003</t>
  </si>
  <si>
    <t>Surfboard - Australian Made Wooden Ornament</t>
  </si>
  <si>
    <t>WO058</t>
  </si>
  <si>
    <t>Table Tennis Set</t>
  </si>
  <si>
    <t>RFS10233</t>
  </si>
  <si>
    <t>TAMBOURINE IN A PRINTED BOX - HARLEQUIN</t>
  </si>
  <si>
    <t>RFS11650</t>
  </si>
  <si>
    <t>Tasmanian Devil - Australian Made Wooden Fridge Magnet</t>
  </si>
  <si>
    <t>WFM024</t>
  </si>
  <si>
    <t>Tasmanian Devil - Australian Made Wooden Key Ring</t>
  </si>
  <si>
    <t>WK024</t>
  </si>
  <si>
    <t>Tasmanian Devil - Australian Made Wooden Ornament</t>
  </si>
  <si>
    <t>WO047</t>
  </si>
  <si>
    <t>Tea For One - Fruit</t>
  </si>
  <si>
    <t>TFO02</t>
  </si>
  <si>
    <t>Tea For One - Monet's Water Lilies</t>
  </si>
  <si>
    <t>TFO04</t>
  </si>
  <si>
    <t>Tea For One - Strawberry Thief</t>
  </si>
  <si>
    <t>TFO01</t>
  </si>
  <si>
    <t>Tea For One - Van Gogh's Sunflowers</t>
  </si>
  <si>
    <t>TFO03</t>
  </si>
  <si>
    <t>Tea Infuser Mug - Australian Natives</t>
  </si>
  <si>
    <t>BM11</t>
  </si>
  <si>
    <t>Tea Infuser Mug - Cats, Coffee, and Books</t>
  </si>
  <si>
    <t>BM19</t>
  </si>
  <si>
    <t>Tea Infuser Mug - Dogs and Books</t>
  </si>
  <si>
    <t>BM18</t>
  </si>
  <si>
    <t>Tea Infuser Mug - Golden Wattle</t>
  </si>
  <si>
    <t>BM12</t>
  </si>
  <si>
    <t>Tea Infuser Mug - It's Not Hoarding If It's Books</t>
  </si>
  <si>
    <t>BM14</t>
  </si>
  <si>
    <t>Tea Infuser Mug - Monet's Water Lilies</t>
  </si>
  <si>
    <t>BM09</t>
  </si>
  <si>
    <t>Tea Infuser Mug - No Such Thing As Too Many Books</t>
  </si>
  <si>
    <t>BM15</t>
  </si>
  <si>
    <t>Tea Infuser Mug - One More Chapter</t>
  </si>
  <si>
    <t>BM20</t>
  </si>
  <si>
    <t>Tea Infuser Mug - Read Books Drink Tea</t>
  </si>
  <si>
    <t>BM13</t>
  </si>
  <si>
    <t>Tea Infuser Mug - Reading is Dreaming</t>
  </si>
  <si>
    <t>BM17</t>
  </si>
  <si>
    <t>Tea Infuser Mug - Tropical Koala</t>
  </si>
  <si>
    <t>BM16</t>
  </si>
  <si>
    <t>Tea Infuser Mug - Van Gogh's Sunflowers</t>
  </si>
  <si>
    <t>BM10</t>
  </si>
  <si>
    <t>Tea Towel - Australian Natives</t>
  </si>
  <si>
    <t>TT07</t>
  </si>
  <si>
    <t>Tea Towel</t>
  </si>
  <si>
    <t>TEA TOWEL - DRYING UP IS MURDER</t>
  </si>
  <si>
    <t>GR170002</t>
  </si>
  <si>
    <t>Tea Towel - Fruit</t>
  </si>
  <si>
    <t>TT02</t>
  </si>
  <si>
    <t>Tea Towel - Golden Wattle</t>
  </si>
  <si>
    <t>TT08</t>
  </si>
  <si>
    <t>Tea Towel - Kilburn</t>
  </si>
  <si>
    <t>TT03</t>
  </si>
  <si>
    <t>Tea Towel - Monet Water Lilies</t>
  </si>
  <si>
    <t>TT06</t>
  </si>
  <si>
    <t>TEA TOWEL - MULTICOLOUR STAMP</t>
  </si>
  <si>
    <t>GR900064</t>
  </si>
  <si>
    <t>Tea Towel - Peonie Rose</t>
  </si>
  <si>
    <t>TT04</t>
  </si>
  <si>
    <t>Tea Towel - Planet Cat (Life Is Simple)</t>
  </si>
  <si>
    <t>TWTLPC01</t>
  </si>
  <si>
    <t>Tea Towel - Strawberry Thief</t>
  </si>
  <si>
    <t>TT01</t>
  </si>
  <si>
    <t>Tea Towel - Tropical Koala</t>
  </si>
  <si>
    <t>TT09</t>
  </si>
  <si>
    <t>Tea Towel - Van Gogh Sunflowers</t>
  </si>
  <si>
    <t>TT05</t>
  </si>
  <si>
    <t>Tea Towels Set Up</t>
  </si>
  <si>
    <t>SPTT</t>
  </si>
  <si>
    <t>Teeth Marks - Bat</t>
  </si>
  <si>
    <t>Teeth Marks Starter Pack 36 units</t>
  </si>
  <si>
    <t>SP369</t>
  </si>
  <si>
    <t>Teeth Marks-Bear</t>
  </si>
  <si>
    <t>Teeth Marks-Hippo</t>
  </si>
  <si>
    <t>Teeth Marks-Shark</t>
  </si>
  <si>
    <t>Teeth Marks-T-Rex</t>
  </si>
  <si>
    <t>Teeth Marks-Wolf</t>
  </si>
  <si>
    <t>TEETHMARKS DISPLAY</t>
  </si>
  <si>
    <t>CDU369</t>
  </si>
  <si>
    <t>Telescopic Pouch</t>
  </si>
  <si>
    <t>Terra Aus Bkmk - Emu of Port Jackson</t>
  </si>
  <si>
    <t>TA003</t>
  </si>
  <si>
    <t>Terra Aus Bkmk - King Island Wombat</t>
  </si>
  <si>
    <t>TA004</t>
  </si>
  <si>
    <t>Terra Aus Bkmk - Kookaburra</t>
  </si>
  <si>
    <t>TA011</t>
  </si>
  <si>
    <t>Terra Aus Bkmk - Leafy Sea Dragon</t>
  </si>
  <si>
    <t>TA008</t>
  </si>
  <si>
    <t>Terra Aus Bkmk - Salvadori's Cassowary</t>
  </si>
  <si>
    <t>TA002</t>
  </si>
  <si>
    <t>Terra Aus Bkmk - Tasmanian Devil</t>
  </si>
  <si>
    <t>TA005</t>
  </si>
  <si>
    <t>Terra Australis Bookmarks 72 units</t>
  </si>
  <si>
    <t>TASP</t>
  </si>
  <si>
    <t>TERRA AUSTRALIS BOOKMARKS DISPLAY</t>
  </si>
  <si>
    <t>CDUTA</t>
  </si>
  <si>
    <t>Test FF Beta</t>
  </si>
  <si>
    <t>91716a</t>
  </si>
  <si>
    <t>THE BOOK LAMP - CLASSIC CREAM</t>
  </si>
  <si>
    <t>THE BOOK LAMP - RETRO RED</t>
  </si>
  <si>
    <t>The Flexi Book Light Rechargeable New - Black</t>
  </si>
  <si>
    <t>FBL01</t>
  </si>
  <si>
    <t>The Flexi Book Light Rechargeable New - Blue</t>
  </si>
  <si>
    <t>FBL03</t>
  </si>
  <si>
    <t>The Flexi Book Light Rechargeable New - Pink</t>
  </si>
  <si>
    <t>FBL02</t>
  </si>
  <si>
    <t>The Flexi Book Light Rechargeable New - White</t>
  </si>
  <si>
    <t>FBL04</t>
  </si>
  <si>
    <t>THE HANDS STAND - AUBERGINE</t>
  </si>
  <si>
    <t>THE HANDS STAND - SCARLET</t>
  </si>
  <si>
    <t>THE READING LOG</t>
  </si>
  <si>
    <t>J4</t>
  </si>
  <si>
    <t>The Rechargeable Book Light Set Up False Item</t>
  </si>
  <si>
    <t>00RB</t>
  </si>
  <si>
    <t>THE TABLET HOLDER - GREY</t>
  </si>
  <si>
    <t>THE TABLET HOLDER - RED</t>
  </si>
  <si>
    <t>The Ultimate Book Light BATTERY - White</t>
  </si>
  <si>
    <t>ULB002</t>
  </si>
  <si>
    <t>The Ultimate Book Light Rechargeable - White</t>
  </si>
  <si>
    <t>UBR002</t>
  </si>
  <si>
    <t>THE WORLD WAITED FOR YOU</t>
  </si>
  <si>
    <t>T2W</t>
  </si>
  <si>
    <t>Thong - Australian Made Wooden Ornament</t>
  </si>
  <si>
    <t>WO057</t>
  </si>
  <si>
    <t>TINY BOOK LIGHT STAND</t>
  </si>
  <si>
    <t>CDU51</t>
  </si>
  <si>
    <t>Tiny Emotional Support Set Up Australian Made Wooden Greeting Cards 36pcs</t>
  </si>
  <si>
    <t>SPGCTES</t>
  </si>
  <si>
    <t>Tote Bag - Australian Natives</t>
  </si>
  <si>
    <t>TB027</t>
  </si>
  <si>
    <t>Tote Bag - be here now</t>
  </si>
  <si>
    <t>TB005</t>
  </si>
  <si>
    <t>Tote Bag - Bluhen Monet's Water Lilies</t>
  </si>
  <si>
    <t>TB023</t>
  </si>
  <si>
    <t>Tote Bag - Bluhen Van Gogh Sunflowers</t>
  </si>
  <si>
    <t>TB022</t>
  </si>
  <si>
    <t>Tote Bag - Golden Wattle</t>
  </si>
  <si>
    <t>TB028</t>
  </si>
  <si>
    <t>Tote Bag - No Drama Llama</t>
  </si>
  <si>
    <t>TB004</t>
  </si>
  <si>
    <t>Tote Bag - Reading is Dreaming With Your Eyes Open</t>
  </si>
  <si>
    <t>TB029</t>
  </si>
  <si>
    <t>Tote Bag - Smile</t>
  </si>
  <si>
    <t>TB006</t>
  </si>
  <si>
    <t>Tote Bag - Tropical Koala</t>
  </si>
  <si>
    <t>TB030</t>
  </si>
  <si>
    <t>Tote Bag - William Morris Blue Larkspur</t>
  </si>
  <si>
    <t>Tram Green - Australian Made Wooden Ornament</t>
  </si>
  <si>
    <t>WO064</t>
  </si>
  <si>
    <t>Tram Red - Australian Made Wooden Ornament</t>
  </si>
  <si>
    <t>WO063</t>
  </si>
  <si>
    <t>Travel Case - Fruit</t>
  </si>
  <si>
    <t>TC023</t>
  </si>
  <si>
    <t>Travel Case - Golden Wattle</t>
  </si>
  <si>
    <t>TC031</t>
  </si>
  <si>
    <t>Travel Case - Kilburn</t>
  </si>
  <si>
    <t>TC027</t>
  </si>
  <si>
    <t>Travel Case - Monet Water Lilies</t>
  </si>
  <si>
    <t>TC024</t>
  </si>
  <si>
    <t>Travel Case - Peonie Rose</t>
  </si>
  <si>
    <t>TC022</t>
  </si>
  <si>
    <t>Travel Case - Tropical Koala</t>
  </si>
  <si>
    <t>TC032</t>
  </si>
  <si>
    <t>Travel Case - Van Gogh Sunflowers</t>
  </si>
  <si>
    <t>TC021</t>
  </si>
  <si>
    <t>Travel Case Display WDU</t>
  </si>
  <si>
    <t>TCD</t>
  </si>
  <si>
    <t>Travel Cases Setup</t>
  </si>
  <si>
    <t>SPTC</t>
  </si>
  <si>
    <t>TRAVEL JOURNAL DISPLAY</t>
  </si>
  <si>
    <t>CDUTJ</t>
  </si>
  <si>
    <t>Travel Mug (Bamboo) - Planet Cat (Slow Down)</t>
  </si>
  <si>
    <t>MUGTPC01</t>
  </si>
  <si>
    <t>TRAVEL READING REST - SCARLET</t>
  </si>
  <si>
    <t>TRAVEL READING REST - TAN</t>
  </si>
  <si>
    <t>Traveller Book Light Rechargeable - Black</t>
  </si>
  <si>
    <t>TBL01</t>
  </si>
  <si>
    <t>Traveller Book Light Rechargeable - White</t>
  </si>
  <si>
    <t>TBL02</t>
  </si>
  <si>
    <t>Traveller Book Light Rechargeable Set Up</t>
  </si>
  <si>
    <t>TBLRSP</t>
  </si>
  <si>
    <t>Triangle Kraft Envelope</t>
  </si>
  <si>
    <t>TKE</t>
  </si>
  <si>
    <t>Tulip - Australian Made Wooden Fridge Magnet</t>
  </si>
  <si>
    <t>WFM002</t>
  </si>
  <si>
    <t>Tulip - Australian Made Wooden Key Ring</t>
  </si>
  <si>
    <t>WK002</t>
  </si>
  <si>
    <t>Twist Fan - Australian Natives</t>
  </si>
  <si>
    <t>TF04</t>
  </si>
  <si>
    <t>Twist Fan - Golden Wattle</t>
  </si>
  <si>
    <t>TF05</t>
  </si>
  <si>
    <t>Twist Fan - Monet's Water Lilies</t>
  </si>
  <si>
    <t>TF03</t>
  </si>
  <si>
    <t>Twist Fan - Strawberry Thief</t>
  </si>
  <si>
    <t>TF01</t>
  </si>
  <si>
    <t>Twist Fan - Sunflowers</t>
  </si>
  <si>
    <t>TF02</t>
  </si>
  <si>
    <t>Twist Fan - Tropical Koala</t>
  </si>
  <si>
    <t>TF06</t>
  </si>
  <si>
    <t>Twist Fan CDU</t>
  </si>
  <si>
    <t>TFCDU</t>
  </si>
  <si>
    <t>Twist Fan Set Up</t>
  </si>
  <si>
    <t>TFSU</t>
  </si>
  <si>
    <t>Umbrella - Australian Natives</t>
  </si>
  <si>
    <t>BH58</t>
  </si>
  <si>
    <t>Umbrella - Golden Wattle</t>
  </si>
  <si>
    <t>BH59</t>
  </si>
  <si>
    <t>Umbrella - RHS (Irises &amp; Hellebores)</t>
  </si>
  <si>
    <t>UMBRRHS01</t>
  </si>
  <si>
    <t>Umbrella - Tropical Koala</t>
  </si>
  <si>
    <t>BH60</t>
  </si>
  <si>
    <t>Umbrella - William Morris (Strawberry Thief)</t>
  </si>
  <si>
    <t>UMBRWM01</t>
  </si>
  <si>
    <t>Umbrella - William Morris Sweet Briar (Auto)</t>
  </si>
  <si>
    <t>WM035A</t>
  </si>
  <si>
    <t>Umbrella Small - Golden Wattle</t>
  </si>
  <si>
    <t>UMB013</t>
  </si>
  <si>
    <t>Umbrella Small - Tropical Koala</t>
  </si>
  <si>
    <t>UMB011</t>
  </si>
  <si>
    <t>Umbrella Small-Monet's Water Lilies</t>
  </si>
  <si>
    <t>UMB010</t>
  </si>
  <si>
    <t>Umbrella Small-Strawberry Thief Blue</t>
  </si>
  <si>
    <t>UMB007</t>
  </si>
  <si>
    <t>Umbrella Small-Van Gogh Sunflowers</t>
  </si>
  <si>
    <t>UMB009</t>
  </si>
  <si>
    <t>Unicorn Slim Calendar</t>
  </si>
  <si>
    <t>UC002</t>
  </si>
  <si>
    <t>Unicorn Square Calendar</t>
  </si>
  <si>
    <t>SWC003</t>
  </si>
  <si>
    <t>Unicorn Year Planner</t>
  </si>
  <si>
    <t>UC003</t>
  </si>
  <si>
    <t>Unicorns &amp; Rainbows Sleeve</t>
  </si>
  <si>
    <t>CS31</t>
  </si>
  <si>
    <t>US WLB Reading Friend - Wolf</t>
  </si>
  <si>
    <t>USWLBRF009</t>
  </si>
  <si>
    <t>Reading Friends</t>
  </si>
  <si>
    <t>USFBA Animal Book Light Rechargeable - Unicorn</t>
  </si>
  <si>
    <t>USFBAABL002</t>
  </si>
  <si>
    <t>Amazon</t>
  </si>
  <si>
    <t>USFBA Beaches Calendar 2026</t>
  </si>
  <si>
    <t>CA2604</t>
  </si>
  <si>
    <t>USFBA Book Lovers Calendar 2026</t>
  </si>
  <si>
    <t>USFBA Cats and Flowers</t>
  </si>
  <si>
    <t>USFBASWC016</t>
  </si>
  <si>
    <t>USFBA Cats and Flowers 2026</t>
  </si>
  <si>
    <t>CA2607</t>
  </si>
  <si>
    <t>USFBA Dinosaur Calendar 2026</t>
  </si>
  <si>
    <t>CA2609</t>
  </si>
  <si>
    <t>USFBA Dog Pooping Calendar 2026</t>
  </si>
  <si>
    <t>75-3J8M-MNKY</t>
  </si>
  <si>
    <t>USFBA Horses Calendar 2026</t>
  </si>
  <si>
    <t>CA2602</t>
  </si>
  <si>
    <t>USFBA Kitten Dreams 2026</t>
  </si>
  <si>
    <t>CA2611</t>
  </si>
  <si>
    <t>USFBA Loudmouth - Donald Trump</t>
  </si>
  <si>
    <t>USFBALM005</t>
  </si>
  <si>
    <t>USFBA Loudmouth - Marilyn Monroe</t>
  </si>
  <si>
    <t>USFBALM012</t>
  </si>
  <si>
    <t>USFBA Nature's Dicks Calendar 2026</t>
  </si>
  <si>
    <t>CG-0CZX-IK8G</t>
  </si>
  <si>
    <t>USFBA Reading Friend - Dinosaur</t>
  </si>
  <si>
    <t>USFBARF010</t>
  </si>
  <si>
    <t>USFBA Reading Friend - Koala</t>
  </si>
  <si>
    <t>USFBARF005</t>
  </si>
  <si>
    <t>USFBA Reading Friend - Unicorn</t>
  </si>
  <si>
    <t>USFBARF001</t>
  </si>
  <si>
    <t>USFBA Reading Friend - Wolf</t>
  </si>
  <si>
    <t>USFBARF009</t>
  </si>
  <si>
    <t>USFBA Reading Friend Unicorn Dog Koala</t>
  </si>
  <si>
    <t>USFBARFUDK</t>
  </si>
  <si>
    <t>USFBA Sloth Calendar 2026</t>
  </si>
  <si>
    <t>CA2610</t>
  </si>
  <si>
    <t>USFBA Space Calendar 2026</t>
  </si>
  <si>
    <t>CA2608</t>
  </si>
  <si>
    <t>USFBA The Ultimate Book Light Rechargeable - Black</t>
  </si>
  <si>
    <t>USFBAUBR001</t>
  </si>
  <si>
    <t>USFBA The Ultimate Book Light Rechargeable - White</t>
  </si>
  <si>
    <t>USFBAUBL002</t>
  </si>
  <si>
    <t>USFBA Unicorn Calendar 2026</t>
  </si>
  <si>
    <t>CA2605</t>
  </si>
  <si>
    <t>USFBA USA World Scratch Map</t>
  </si>
  <si>
    <t>USFBASM001</t>
  </si>
  <si>
    <t>USFBA Wolves Calendar 2026</t>
  </si>
  <si>
    <t>CA2603</t>
  </si>
  <si>
    <t>USFBAUSA Flag Scratch Map</t>
  </si>
  <si>
    <t>USFBASM008</t>
  </si>
  <si>
    <t>USFBM Book Lovers Calendar</t>
  </si>
  <si>
    <t>USFBMSWC008</t>
  </si>
  <si>
    <t>USFBM Cat Dreams Square Calendar</t>
  </si>
  <si>
    <t>USFBMSWC002</t>
  </si>
  <si>
    <t>USFBM Dog Shaming Calendar</t>
  </si>
  <si>
    <t>USFBMSWC005</t>
  </si>
  <si>
    <t>USFBM Llama Love Calendar</t>
  </si>
  <si>
    <t>USFBMSWC006</t>
  </si>
  <si>
    <t>USFBM Mindful Sloth Calendar</t>
  </si>
  <si>
    <t>USFBMSWC004</t>
  </si>
  <si>
    <t>USFBM Nature's Dicks Calendar</t>
  </si>
  <si>
    <t>USFBMSWC012</t>
  </si>
  <si>
    <t>Calendars and Diaries</t>
  </si>
  <si>
    <t>USFBM Unicorn Square Calendar</t>
  </si>
  <si>
    <t>USFBMSWC003</t>
  </si>
  <si>
    <t>USWLB 101 Books Scratch Poster</t>
  </si>
  <si>
    <t>USWLBSM007</t>
  </si>
  <si>
    <t>USWLB BReading Friend - Koala</t>
  </si>
  <si>
    <t>USWLBRF005</t>
  </si>
  <si>
    <t>USWLB Kids Animal Scratch Map</t>
  </si>
  <si>
    <t>USWLBSM004</t>
  </si>
  <si>
    <t>USWLB Reading Friend - Bear</t>
  </si>
  <si>
    <t>USWLBRF007</t>
  </si>
  <si>
    <t>USWLB Reading Friend - Dog</t>
  </si>
  <si>
    <t>USWLBRF003</t>
  </si>
  <si>
    <t>USWLB Reading Friend - Kangaroo</t>
  </si>
  <si>
    <t>USWLBRF006</t>
  </si>
  <si>
    <t>USWLB Reading Friend - Llama</t>
  </si>
  <si>
    <t>USWLBRF002</t>
  </si>
  <si>
    <t>USWLB Reading Friend - Unicorn</t>
  </si>
  <si>
    <t>USWLBRF001</t>
  </si>
  <si>
    <t>USWLB Reading Socks - Black Cable Knot Men</t>
  </si>
  <si>
    <t>USWLBRS006</t>
  </si>
  <si>
    <t>USWLB Reading Socks - Black Llama Kids</t>
  </si>
  <si>
    <t>USWLBRS001</t>
  </si>
  <si>
    <t>USWLB Reading Socks - Black Llama Women</t>
  </si>
  <si>
    <t>USWLBRS002</t>
  </si>
  <si>
    <t>USWLB Reading Socks - Glitter Women</t>
  </si>
  <si>
    <t>USWLBRS004</t>
  </si>
  <si>
    <t>USWLB Reading Socks - Grey Cable Knot Women</t>
  </si>
  <si>
    <t>USWLBRS005</t>
  </si>
  <si>
    <t>USWLB Reading Socks - Pink Llama Women</t>
  </si>
  <si>
    <t>USWLBRS003</t>
  </si>
  <si>
    <t>USWLB Star Scratch Map</t>
  </si>
  <si>
    <t>USWLBSM005</t>
  </si>
  <si>
    <t>USWLB The Flexi Book Light Rechargeable - Black</t>
  </si>
  <si>
    <t>USWLBRCBL001</t>
  </si>
  <si>
    <t>USWLB The Flexi Book Light Rechargeable - Blue</t>
  </si>
  <si>
    <t>USWLBRCBL003</t>
  </si>
  <si>
    <t>USWLB The Flexi Book Light Rechargeable - Pink</t>
  </si>
  <si>
    <t>USWLBRCBL002</t>
  </si>
  <si>
    <t>USWLB The Flexi Book Light Rechargeable - White</t>
  </si>
  <si>
    <t>USWLBRCBL004</t>
  </si>
  <si>
    <t>USWLB The Smart Light - Black</t>
  </si>
  <si>
    <t>USWLBSL001</t>
  </si>
  <si>
    <t>USWLB The Smart Light - Midnight Blue</t>
  </si>
  <si>
    <t>USWLBSL005</t>
  </si>
  <si>
    <t>USWLB The Smart Light - Pink</t>
  </si>
  <si>
    <t>USWLBSL004</t>
  </si>
  <si>
    <t>USWLB The Smart Light - Purple</t>
  </si>
  <si>
    <t>USWLBSL002</t>
  </si>
  <si>
    <t>USWLB The Smart Light - Red</t>
  </si>
  <si>
    <t>USWLBSL006</t>
  </si>
  <si>
    <t>USWLB The Smart Light - Turquoise</t>
  </si>
  <si>
    <t>USWLBSL003</t>
  </si>
  <si>
    <t>V&amp;A BOOK JACKET BORAGE</t>
  </si>
  <si>
    <t>V&amp;A BOOK JACKET MEMPHIS</t>
  </si>
  <si>
    <t>V&amp;A BOOK JACKET ORCHARD</t>
  </si>
  <si>
    <t>V&amp;A BOOK JACKET TEXTILE</t>
  </si>
  <si>
    <t>V&amp;A BOOKMKS - CRAY</t>
  </si>
  <si>
    <t>V&amp;A BOOKMKS - DESIGN</t>
  </si>
  <si>
    <t>V&amp;A BOOKMKS - DRESS FABRIC</t>
  </si>
  <si>
    <t>V&amp;A BOOKMKS - MICHAELMAS</t>
  </si>
  <si>
    <t>V&amp;A BOOKMKS - POMEGRANITE</t>
  </si>
  <si>
    <t>V&amp;A BOOKMKS - SEAGULLS</t>
  </si>
  <si>
    <t>V&amp;A BOOKMKS - THE OWL</t>
  </si>
  <si>
    <t>VARIETY OF MAGIC TRICKS</t>
  </si>
  <si>
    <t>RFS11647</t>
  </si>
  <si>
    <t>VINTAGE MAP P/CARD &amp; DICE SET IN A FLAT BRUSHED TIN</t>
  </si>
  <si>
    <t>RFS11561</t>
  </si>
  <si>
    <t>Vitals Stones WDU</t>
  </si>
  <si>
    <t>Wallace &amp; Gromit: Little Book of Cheese</t>
  </si>
  <si>
    <t>BOOKAA03</t>
  </si>
  <si>
    <t>Waratah - Australian Made Wooden Fridge Magnet</t>
  </si>
  <si>
    <t>WFM009</t>
  </si>
  <si>
    <t>Waratah - Australian Made Wooden Key Ring</t>
  </si>
  <si>
    <t>WK009</t>
  </si>
  <si>
    <t>Water Bottle (Metal) - Batman</t>
  </si>
  <si>
    <t>WBOTBA01</t>
  </si>
  <si>
    <t>Water Bottle (Metal) 500ml – Planet Cat (Eat, Drink &amp; Pet)</t>
  </si>
  <si>
    <t>WTRBPC01</t>
  </si>
  <si>
    <t>WB04</t>
  </si>
  <si>
    <t>Welcome To The World</t>
  </si>
  <si>
    <t>oo1WTTW</t>
  </si>
  <si>
    <t>WHERE'S WALLY - SINGLE COASTER</t>
  </si>
  <si>
    <t>CSTWAL02</t>
  </si>
  <si>
    <t>Where's Wally</t>
  </si>
  <si>
    <t>WHERE'S WALLY - WALLET</t>
  </si>
  <si>
    <t>WWWAL01</t>
  </si>
  <si>
    <t>White Round 3 Tier display</t>
  </si>
  <si>
    <t>WRD</t>
  </si>
  <si>
    <t>William Morris Bookmarks Starter Pack</t>
  </si>
  <si>
    <t>William Morris Scarf - Sweet Briar</t>
  </si>
  <si>
    <t>Wine Kit - Connosieur 32cm</t>
  </si>
  <si>
    <t>Wine Kit - Friends 32cm</t>
  </si>
  <si>
    <t>Wine Kit 1</t>
  </si>
  <si>
    <t>Kit4</t>
  </si>
  <si>
    <t>Wine Opening Tool - w/Box</t>
  </si>
  <si>
    <t>Wine Pourer - Chill Rod</t>
  </si>
  <si>
    <t>Wire Hooks</t>
  </si>
  <si>
    <t>WH1</t>
  </si>
  <si>
    <t>Wombat - Australian Made Wooden Ornament</t>
  </si>
  <si>
    <t>WO056</t>
  </si>
  <si>
    <t>WONDERS OF LEARNING MODEL SET - DINOSAUR</t>
  </si>
  <si>
    <t>WOLNMS02A</t>
  </si>
  <si>
    <t>Wonders of Learning</t>
  </si>
  <si>
    <t>Wonders of Learning Model Set - Dinosaurs False Item</t>
  </si>
  <si>
    <t>00wm2</t>
  </si>
  <si>
    <t>Wonders of learning Model Set - Mega Structures False Item</t>
  </si>
  <si>
    <t>00wol1</t>
  </si>
  <si>
    <t>WONDERS OF LEARNING TIN SET - EARTH</t>
  </si>
  <si>
    <t>WOLNTS05</t>
  </si>
  <si>
    <t>Wood Flexible Booklight Display</t>
  </si>
  <si>
    <t>FBLD</t>
  </si>
  <si>
    <t>Wood Glue</t>
  </si>
  <si>
    <t>DIY2</t>
  </si>
  <si>
    <t>Wooden Bookmarks Barcode Sticker Set</t>
  </si>
  <si>
    <t>AWBSS</t>
  </si>
  <si>
    <t>WOW WDU</t>
  </si>
  <si>
    <t>Wrap Light Rechargeable</t>
  </si>
  <si>
    <t>WL001</t>
  </si>
  <si>
    <t>Writing Set - RHS (Irises &amp; Hellebores)</t>
  </si>
  <si>
    <t>SSETRHS01</t>
  </si>
  <si>
    <t>WRITING SETS - VINTAGE MAP</t>
  </si>
  <si>
    <t>RFS9969</t>
  </si>
  <si>
    <t>xSurfing Koala - Australian Made Wooden Bookmark</t>
  </si>
  <si>
    <t>xxWB032</t>
  </si>
  <si>
    <t>xxA5 FABRIC JOURNALS WDU</t>
  </si>
  <si>
    <t>xxCDUA5FJ</t>
  </si>
  <si>
    <t>xxA6 FABRIC JOURNALS WDU</t>
  </si>
  <si>
    <t>xxCDUA6FJ</t>
  </si>
  <si>
    <t>xxAll Display 6</t>
  </si>
  <si>
    <t>xxCDU6</t>
  </si>
  <si>
    <t>xxAll Display 8</t>
  </si>
  <si>
    <t>xxCDU8</t>
  </si>
  <si>
    <t>xxAusie Thongs - Australian Made Wooden Bookmark</t>
  </si>
  <si>
    <t>xxWB025</t>
  </si>
  <si>
    <t>xxAustralia - Australian Made Wooden Ornament</t>
  </si>
  <si>
    <t>xxWO035</t>
  </si>
  <si>
    <t>xxAustralian Made Wooden LOGO</t>
  </si>
  <si>
    <t>xxAMWL</t>
  </si>
  <si>
    <t>xxAustralian Made Wooden Ornament - Best Teacher</t>
  </si>
  <si>
    <t>xxWO034</t>
  </si>
  <si>
    <t>xxAustralian Made Wooden Ornament - Black Cat</t>
  </si>
  <si>
    <t>xxWO016</t>
  </si>
  <si>
    <t>xxAustralian Made Wooden Ornament - Candy Cane</t>
  </si>
  <si>
    <t>xxWO006</t>
  </si>
  <si>
    <t>xxAustralian Made Wooden Ornament - Christmas Tree</t>
  </si>
  <si>
    <t>xxWO004</t>
  </si>
  <si>
    <t>xxAustralian Made Wooden Ornament - Cockatoo</t>
  </si>
  <si>
    <t>xxWO022</t>
  </si>
  <si>
    <t>xxAustralian Made Wooden Ornament - Echidna</t>
  </si>
  <si>
    <t>xxWO019</t>
  </si>
  <si>
    <t>xxAustralian Made Wooden Ornament - French Bulldog</t>
  </si>
  <si>
    <t>xxWO015</t>
  </si>
  <si>
    <t>xxAustralian Made Wooden Ornament - Ginger Cat</t>
  </si>
  <si>
    <t>xxWO017</t>
  </si>
  <si>
    <t>xxAustralian Made Wooden Ornament - Gingerbread Man</t>
  </si>
  <si>
    <t>xxWO005</t>
  </si>
  <si>
    <t>xxAustralian Made Wooden Ornament - Horse</t>
  </si>
  <si>
    <t>xxWO029</t>
  </si>
  <si>
    <t>xxAustralian Made Wooden Ornament - Kangaroo 1</t>
  </si>
  <si>
    <t>xxWO025</t>
  </si>
  <si>
    <t>xxAustralian Made Wooden Ornament - Koala 1</t>
  </si>
  <si>
    <t>xxWO027</t>
  </si>
  <si>
    <t>xxAustralian Made Wooden Ornament - Koala 2</t>
  </si>
  <si>
    <t>xxWO028</t>
  </si>
  <si>
    <t>xxAustralian Made Wooden Ornament - Kookaburra</t>
  </si>
  <si>
    <t>xxWO033</t>
  </si>
  <si>
    <t>xxAustralian Made Wooden Ornament - Labrador</t>
  </si>
  <si>
    <t>xxWO013</t>
  </si>
  <si>
    <t>xxAustralian Made Wooden Ornament - Penguin</t>
  </si>
  <si>
    <t>xxWO032</t>
  </si>
  <si>
    <t>xxAustralian Made Wooden Ornament - Platypus 1</t>
  </si>
  <si>
    <t>xxWO023</t>
  </si>
  <si>
    <t>xxAustralian Made Wooden Ornament - Platypus 2</t>
  </si>
  <si>
    <t>xxWO024</t>
  </si>
  <si>
    <t>xxAustralian Made Wooden Ornament - Rainbow Lorikeet</t>
  </si>
  <si>
    <t>xxWO021</t>
  </si>
  <si>
    <t>xxAustralian Made Wooden Ornament - Reindeer</t>
  </si>
  <si>
    <t>xxWO002</t>
  </si>
  <si>
    <t>xxAustralian Made Wooden Ornament - Santa</t>
  </si>
  <si>
    <t>xxWO001</t>
  </si>
  <si>
    <t>xxAustralian Made Wooden Ornament - Scruffy Dog</t>
  </si>
  <si>
    <t>xxWO014</t>
  </si>
  <si>
    <t>xxAustralian Made Wooden Ornament - Sleigh</t>
  </si>
  <si>
    <t>xxWO008</t>
  </si>
  <si>
    <t>xxAustralian Made Wooden Ornament - Snow Flake</t>
  </si>
  <si>
    <t>xxWO007</t>
  </si>
  <si>
    <t>xxAustralian Made Wooden Ornament - Snowman</t>
  </si>
  <si>
    <t>xxWO003</t>
  </si>
  <si>
    <t>xxAustralian Made Wooden Ornament - Star</t>
  </si>
  <si>
    <t>xxWO010</t>
  </si>
  <si>
    <t>xxAustralian Made Wooden Ornament - Stocking</t>
  </si>
  <si>
    <t>xxWO009</t>
  </si>
  <si>
    <t>xxAustralian Made Wooden Ornament - T Rex</t>
  </si>
  <si>
    <t>xxWO011</t>
  </si>
  <si>
    <t>xxAustralian Made Wooden Ornament - Tasmanian Devil</t>
  </si>
  <si>
    <t>xxWO020</t>
  </si>
  <si>
    <t>xxAustralian Made Wooden Ornament - Unicorn</t>
  </si>
  <si>
    <t>xxWO030</t>
  </si>
  <si>
    <t>xxAustralian Made Wooden Ornament - White Cat</t>
  </si>
  <si>
    <t>xxWO018</t>
  </si>
  <si>
    <t>xxAustralian Made Wooden Ornament -Triceratops</t>
  </si>
  <si>
    <t>xxWO012</t>
  </si>
  <si>
    <t>xxAustralian Made Wooden Ornament -Wolf</t>
  </si>
  <si>
    <t>xxWO031</t>
  </si>
  <si>
    <t>xxAustralian Map - Australian Made Wooden Ornament</t>
  </si>
  <si>
    <t>xxWO059</t>
  </si>
  <si>
    <t>xxBamboo Fans WDU</t>
  </si>
  <si>
    <t>xxCDUBF</t>
  </si>
  <si>
    <t>xxBanksia - Australian Made Wooden Bookmark</t>
  </si>
  <si>
    <t>xxWB007</t>
  </si>
  <si>
    <t>xxBanksia - Australian Made Wooden Fridge Magnet</t>
  </si>
  <si>
    <t>xxWFM007</t>
  </si>
  <si>
    <t>xxBanksia - Australian Made Wooden Key Ring</t>
  </si>
  <si>
    <t>xxWK007</t>
  </si>
  <si>
    <t>xxBeach - Australian Made Wooden Bookmark</t>
  </si>
  <si>
    <t>xxWB026</t>
  </si>
  <si>
    <t>xxBin Chicken - Australian Made Wooden Ornament</t>
  </si>
  <si>
    <t>xxWO049</t>
  </si>
  <si>
    <t>xxBin Cricket Stumps - Australian Made Wooden Ornament</t>
  </si>
  <si>
    <t>xxWO048</t>
  </si>
  <si>
    <t>xxBondi Beach Driving Kangaroo - Australian Made Custom Wooden Bookmark</t>
  </si>
  <si>
    <t>xxWB051</t>
  </si>
  <si>
    <t>xxBondi Beach Driving Kangaroo - Australian Made Custom Wooden Fridge Magnet</t>
  </si>
  <si>
    <t>xxWFM031</t>
  </si>
  <si>
    <t>xxBondi Beach Driving Koala - Australian Made Custom Wooden Bookmark</t>
  </si>
  <si>
    <t>xxWB048</t>
  </si>
  <si>
    <t>xxBondi Beach Driving Koala - Australian Made Custom Wooden Fridge Magnet</t>
  </si>
  <si>
    <t>xxWFM028</t>
  </si>
  <si>
    <t>xxBondi Beach Kangaroo - Australian Made Custom Wooden Bookmark</t>
  </si>
  <si>
    <t>xxWB049</t>
  </si>
  <si>
    <t>xxBondi Beach Kangaroo - Australian Made Custom Wooden Fridge Magnet</t>
  </si>
  <si>
    <t>xxWFM029</t>
  </si>
  <si>
    <t>xxBondi Beach Koala - Australian Made Custom Wooden Bookmark</t>
  </si>
  <si>
    <t>xxWB046</t>
  </si>
  <si>
    <t>xxBondi Beach Koala - Australian Made Custom Wooden Fridge Magnet</t>
  </si>
  <si>
    <t>xxWFM026</t>
  </si>
  <si>
    <t>xxBondi Beach Lifeguard Kangaroo - Australian Made Custom Wooden Bookmark</t>
  </si>
  <si>
    <t>xxWB050</t>
  </si>
  <si>
    <t>xxBondi Beach Lifeguard Kangaroo - Australian Made Custom Wooden Fridge Magnet</t>
  </si>
  <si>
    <t>xxWFM030</t>
  </si>
  <si>
    <t>xxBondi Beach Lifeguard Koala - Australian Made Custom Wooden Bookmark</t>
  </si>
  <si>
    <t>xxWB047</t>
  </si>
  <si>
    <t>xxBondi Beach Lifeguard Koala - Australian Made Custom Wooden Fridge Magnet</t>
  </si>
  <si>
    <t>xxWFM027</t>
  </si>
  <si>
    <t>xxBondi Beach Surf Board - Australian Made Custom Wooden Bookmark</t>
  </si>
  <si>
    <t>xxWB045</t>
  </si>
  <si>
    <t>xxBondi Beach Surf Board - Australian Made Custom Wooden Fridge Magnet</t>
  </si>
  <si>
    <t>xxWFM025</t>
  </si>
  <si>
    <t>xxBoomerang - Australian Made Wooden Ornament</t>
  </si>
  <si>
    <t>xxWO060</t>
  </si>
  <si>
    <t>xxBottle Brush - Australian Made Wooden Bookmark</t>
  </si>
  <si>
    <t>xxWB008</t>
  </si>
  <si>
    <t>xxBottle Brush - Australian Made Wooden Fridge Magnet</t>
  </si>
  <si>
    <t>xxWFM008</t>
  </si>
  <si>
    <t>xxBottle Brush - Australian Made Wooden Key Ring</t>
  </si>
  <si>
    <t>xxWK008</t>
  </si>
  <si>
    <t>xxBridge - Australian Made Wooden Ornament</t>
  </si>
  <si>
    <t>xxWO062</t>
  </si>
  <si>
    <t>xxCanberra Bell - Australian Made Wooden Bookmark</t>
  </si>
  <si>
    <t>xxWB012</t>
  </si>
  <si>
    <t>xxCanberra Bell - Australian Made Wooden Fridge Magnet</t>
  </si>
  <si>
    <t>xxWFM012</t>
  </si>
  <si>
    <t>xxCanberra Bell - Australian Made Wooden Key Ring</t>
  </si>
  <si>
    <t>xxWK012</t>
  </si>
  <si>
    <t>xxCarnation - Australian Made Wooden Bookmark</t>
  </si>
  <si>
    <t>xxWB004</t>
  </si>
  <si>
    <t>xxCarnation - Australian Made Wooden Fridge Magnet</t>
  </si>
  <si>
    <t>xxWFM004</t>
  </si>
  <si>
    <t>xxCarnation - Australian Made Wooden Key Ring</t>
  </si>
  <si>
    <t>xxWK004</t>
  </si>
  <si>
    <t>xxCassowary - Australian Made Wooden Bookmark</t>
  </si>
  <si>
    <t>xxWB013</t>
  </si>
  <si>
    <t>xxCassowary - Australian Made Wooden Fridge Magnet</t>
  </si>
  <si>
    <t>xxWFM013</t>
  </si>
  <si>
    <t>xxCassowary - Australian Made Wooden Key Ring</t>
  </si>
  <si>
    <t>xxWK013</t>
  </si>
  <si>
    <t>xxCassowary - Australian Made Wooden Ornament</t>
  </si>
  <si>
    <t>xxWO036</t>
  </si>
  <si>
    <t>xxCDU BTB and Story of Us</t>
  </si>
  <si>
    <t>xxCDUQ1</t>
  </si>
  <si>
    <t>xxCDU Timeless</t>
  </si>
  <si>
    <t>xxCDUQ2</t>
  </si>
  <si>
    <t>xxChapter &amp; Sole Sock Display</t>
  </si>
  <si>
    <t>xxCSWDU</t>
  </si>
  <si>
    <t>xxCockatoo - Australian Made Wooden Bookmark</t>
  </si>
  <si>
    <t>xxWB014</t>
  </si>
  <si>
    <t>xxCockatoo - Australian Made Wooden Fridge Magnet</t>
  </si>
  <si>
    <t>xxWFM014</t>
  </si>
  <si>
    <t>xxCockatoo - Australian Made Wooden Key Ring</t>
  </si>
  <si>
    <t>xxWK014</t>
  </si>
  <si>
    <t>xxCockatoo - Australian Made Wooden Ornament</t>
  </si>
  <si>
    <t>xxWO037</t>
  </si>
  <si>
    <t>xxDouble Sided Table Top Display (Christmas Ornaments)</t>
  </si>
  <si>
    <t>xxDSTD</t>
  </si>
  <si>
    <t>xxEchidna  - Australian Made Wooden Bookmark</t>
  </si>
  <si>
    <t>xxWB015</t>
  </si>
  <si>
    <t>xxEchidna - Australian Made Wooden Fridge Magnet</t>
  </si>
  <si>
    <t>xxWFM015</t>
  </si>
  <si>
    <t>xxEchidna - Australian Made Wooden Key Ring</t>
  </si>
  <si>
    <t>xxWK015</t>
  </si>
  <si>
    <t>xxEchidna - Australian Made Wooden Ornament</t>
  </si>
  <si>
    <t>xxWO038</t>
  </si>
  <si>
    <t>xxEmu - Australian Made Wooden Bookmark</t>
  </si>
  <si>
    <t>xxWB016</t>
  </si>
  <si>
    <t>xxEmu - Australian Made Wooden Fridge Magnet</t>
  </si>
  <si>
    <t>xxWFM016</t>
  </si>
  <si>
    <t>xxEmu - Australian Made Wooden Key Ring</t>
  </si>
  <si>
    <t>xxWK016</t>
  </si>
  <si>
    <t>xxEmu - Australian Made Wooden Ornament</t>
  </si>
  <si>
    <t>xxWO039</t>
  </si>
  <si>
    <t>xxEnemies To Lovers - Australian Made Wooden Bookmark</t>
  </si>
  <si>
    <t>xxWB042</t>
  </si>
  <si>
    <t>xxEye Masks WDU</t>
  </si>
  <si>
    <t>xxCDUEM</t>
  </si>
  <si>
    <t>Eye Masks</t>
  </si>
  <si>
    <t>xxFairy Penguin - Australian Made Wooden Bookmark</t>
  </si>
  <si>
    <t>xxWB017</t>
  </si>
  <si>
    <t>xxFairy Penguin - Australian Made Wooden Fridge Magnet</t>
  </si>
  <si>
    <t>xxWFM017</t>
  </si>
  <si>
    <t>xxFairy Penguin - Australian Made Wooden Key Ring</t>
  </si>
  <si>
    <t>xxWK017</t>
  </si>
  <si>
    <t>xxFairy Penguin - Australian Made Wooden Ornament</t>
  </si>
  <si>
    <t>xxWO040</t>
  </si>
  <si>
    <t>xxFLEXIBLE BOOKLIGHT DISPLAY</t>
  </si>
  <si>
    <t>xxCDUFB</t>
  </si>
  <si>
    <t>xxFlinders Street Station - Australian Made Wooden Bookmark</t>
  </si>
  <si>
    <t>xxWB027</t>
  </si>
  <si>
    <t>xxFly Or Die - Australian Made Wooden Bookmark</t>
  </si>
  <si>
    <t>xxWB040</t>
  </si>
  <si>
    <t>xxFood Cart</t>
  </si>
  <si>
    <t>xxFC</t>
  </si>
  <si>
    <t>xxGalah - Australian Made Wooden Bookmark</t>
  </si>
  <si>
    <t>xxWB018</t>
  </si>
  <si>
    <t>xxGalah - Australian Made Wooden Fridge Magnet</t>
  </si>
  <si>
    <t>xxWFM018</t>
  </si>
  <si>
    <t>xxGalah - Australian Made Wooden Key Ring</t>
  </si>
  <si>
    <t>xxWK018</t>
  </si>
  <si>
    <t>xxGalah - Australian Made Wooden Ornament</t>
  </si>
  <si>
    <t>xxWO041</t>
  </si>
  <si>
    <t>xxGIFTING TREE WDU</t>
  </si>
  <si>
    <t>xxCDUCT</t>
  </si>
  <si>
    <t>xxGlasses Cases WDU</t>
  </si>
  <si>
    <t>xxCDUGC</t>
  </si>
  <si>
    <t>xxGolden Wattle - Australian Made Wooden Bookmark</t>
  </si>
  <si>
    <t>xxWB010</t>
  </si>
  <si>
    <t>xxGolden Wattle - Australian Made Wooden Fridge Magnet</t>
  </si>
  <si>
    <t>xxWFM010</t>
  </si>
  <si>
    <t>xxGolden Wattle - Australian Made Wooden Key Ring</t>
  </si>
  <si>
    <t>xxWK010</t>
  </si>
  <si>
    <t>xxGreat Barrier Reef - Australian Made Wooden Bookmark</t>
  </si>
  <si>
    <t>xxWB028</t>
  </si>
  <si>
    <t>xxGreeting Cards Floor Stand</t>
  </si>
  <si>
    <t>xxGCFS</t>
  </si>
  <si>
    <t>xxGreeting Cards Table Top Display</t>
  </si>
  <si>
    <t>xxGCTD</t>
  </si>
  <si>
    <t>xxGrooved Wooden Bookmark - Galah</t>
  </si>
  <si>
    <t>xxWBG018</t>
  </si>
  <si>
    <t>xxGrooved Wooden Bookmark - Hydrangea</t>
  </si>
  <si>
    <t>xxWBG005</t>
  </si>
  <si>
    <t>xxGrooved Wooden Bookmark - Koala</t>
  </si>
  <si>
    <t>xxWBG020</t>
  </si>
  <si>
    <t>xxGrooved Wooden Bookmark - Rainbow Lorikeet</t>
  </si>
  <si>
    <t>xxWBG023</t>
  </si>
  <si>
    <t>xxGrooved Wooden Bookmark - Sunflower</t>
  </si>
  <si>
    <t>xxWBG003</t>
  </si>
  <si>
    <t>xxGrooved Wooden Bookmark - Tulip</t>
  </si>
  <si>
    <t>xxWBG002</t>
  </si>
  <si>
    <t>xxHead Bands WDU</t>
  </si>
  <si>
    <t>xxCDUHB</t>
  </si>
  <si>
    <t>Head Bands</t>
  </si>
  <si>
    <t>xxHydrangea - Australian Made Wooden Bookmark</t>
  </si>
  <si>
    <t>xxWB005</t>
  </si>
  <si>
    <t>xxHydrangea - Australian Made Wooden Fridge Magnet</t>
  </si>
  <si>
    <t>xxWFM005</t>
  </si>
  <si>
    <t>xxHydrangea - Australian Made Wooden Key Ring</t>
  </si>
  <si>
    <t>xxWK005</t>
  </si>
  <si>
    <t>xxHydrate, Bath &amp; Beauty WDU</t>
  </si>
  <si>
    <t>xxCDUHBB</t>
  </si>
  <si>
    <t>xxI Can Fix Him Or Join Him - Australian Made Wooden Bookmark</t>
  </si>
  <si>
    <t>xxWB043</t>
  </si>
  <si>
    <t>xxI Don't Kneel To Fae Kings - Australian Made Wooden Bookmark</t>
  </si>
  <si>
    <t>xxWB041</t>
  </si>
  <si>
    <t>xxIn My Romantasy Era - Australian Made Wooden Bookmark</t>
  </si>
  <si>
    <t>xxWB039</t>
  </si>
  <si>
    <t>xxKangaroo - Australian Made Wooden Bookmark</t>
  </si>
  <si>
    <t>xxWB019</t>
  </si>
  <si>
    <t>xxKangaroo - Australian Made Wooden Fridge Magnet</t>
  </si>
  <si>
    <t>xxWFM019</t>
  </si>
  <si>
    <t>xxKangaroo - Australian Made Wooden Key Ring</t>
  </si>
  <si>
    <t>xxWK019</t>
  </si>
  <si>
    <t>xxKangaroo - Australian Made Wooden Ornament</t>
  </si>
  <si>
    <t>xxWO042</t>
  </si>
  <si>
    <t>xxKangaroo Boxing - Australian Made Wooden Ornament</t>
  </si>
  <si>
    <t>xxWO055</t>
  </si>
  <si>
    <t>xxKangaroo Paw - Australian Made Wooden Bookmark</t>
  </si>
  <si>
    <t>xxWB011</t>
  </si>
  <si>
    <t>xxKangaroo Paw - Australian Made Wooden Fridge Magnet</t>
  </si>
  <si>
    <t>xxWFM011</t>
  </si>
  <si>
    <t>xxKangaroo Paw - Australian Made Wooden Key Ring</t>
  </si>
  <si>
    <t>xxWK011</t>
  </si>
  <si>
    <t>xxKangaroo Surf - Australian Made Wooden Ornament</t>
  </si>
  <si>
    <t>xxWO051</t>
  </si>
  <si>
    <t>xxKey Ring Display</t>
  </si>
  <si>
    <t>xxKRWDU</t>
  </si>
  <si>
    <t>xxKiwi - Australian Made Wooden Ornament</t>
  </si>
  <si>
    <t>xxWO065</t>
  </si>
  <si>
    <t>xxKoala - Australian Made Wooden Bookmark</t>
  </si>
  <si>
    <t>xxWB020</t>
  </si>
  <si>
    <t>xxKoala - Australian Made Wooden Fridge Magnet</t>
  </si>
  <si>
    <t>xxWFM020</t>
  </si>
  <si>
    <t>xxKoala - Australian Made Wooden Key Ring</t>
  </si>
  <si>
    <t>xxWK020</t>
  </si>
  <si>
    <t>xxKoala - Australian Made Wooden Ornament</t>
  </si>
  <si>
    <t>xxWO043</t>
  </si>
  <si>
    <t>xxKoala Jet Ski - Australian Made Wooden Ornament</t>
  </si>
  <si>
    <t>xxWO053</t>
  </si>
  <si>
    <t>xxKoala Surf - Australian Made Wooden Ornament</t>
  </si>
  <si>
    <t>xxWO052</t>
  </si>
  <si>
    <t>xxKookaburra - Australian Made Wooden Bookmark</t>
  </si>
  <si>
    <t>xxWB021</t>
  </si>
  <si>
    <t>xxKookaburra - Australian Made Wooden Fridge Magnet</t>
  </si>
  <si>
    <t>xxWFM021</t>
  </si>
  <si>
    <t>xxKookaburra - Australian Made Wooden Ornament</t>
  </si>
  <si>
    <t>xxWO044</t>
  </si>
  <si>
    <t>xxLarge Hand Cream Display</t>
  </si>
  <si>
    <t>xxWDULHC</t>
  </si>
  <si>
    <t>xxMagnet Display 2</t>
  </si>
  <si>
    <t>xxFMWDU2</t>
  </si>
  <si>
    <t>xxManicure Sets WDU</t>
  </si>
  <si>
    <t>xxCDUMS</t>
  </si>
  <si>
    <t>xxNano Lights Wooden Display</t>
  </si>
  <si>
    <t>xxNLWD</t>
  </si>
  <si>
    <t>Booklights</t>
  </si>
  <si>
    <t>xxOcean Grove Driving Kangaroo - Australian Made Custom Wooden Fridge Magnet</t>
  </si>
  <si>
    <t>xxWFM033</t>
  </si>
  <si>
    <t>xxOcean Grove Driving Kangaroo - Australian Made Custom Wooden Key Ring</t>
  </si>
  <si>
    <t>xxWK026</t>
  </si>
  <si>
    <t>xxOcean Grove Surfing Koala - Australian Made Custom Wooden Fridge Magnet</t>
  </si>
  <si>
    <t>xxWFM032</t>
  </si>
  <si>
    <t>xxOcean Grove Surfing Koala - Australian Made Custom Wooden Key Ring</t>
  </si>
  <si>
    <t>xxWK025</t>
  </si>
  <si>
    <t>xxOpera House - Australian Made Wooden Bookmark</t>
  </si>
  <si>
    <t>xxWB029</t>
  </si>
  <si>
    <t>xxOpera House - Australian Made Wooden Ornament</t>
  </si>
  <si>
    <t>xxWO061</t>
  </si>
  <si>
    <t>xxOrnament Tree Display</t>
  </si>
  <si>
    <t>xxOTD</t>
  </si>
  <si>
    <t>xxPink Rock Lily - Australian Made Wooden Bookmark</t>
  </si>
  <si>
    <t>xxWB006</t>
  </si>
  <si>
    <t>xxPink Rock Lily - Australian Made Wooden Fridge Magnet</t>
  </si>
  <si>
    <t>xxWFM006</t>
  </si>
  <si>
    <t>xxPink Rock Lily - Australian Made Wooden Key Ring</t>
  </si>
  <si>
    <t>xxWK006</t>
  </si>
  <si>
    <t>xxPlatypus - Australian Made Wooden Bookmark</t>
  </si>
  <si>
    <t>xxWB022</t>
  </si>
  <si>
    <t>xxPlatypus - Australian Made Wooden Fridge Magnet</t>
  </si>
  <si>
    <t>xxWFM022</t>
  </si>
  <si>
    <t>xxPlatypus - Australian Made Wooden Key Ring</t>
  </si>
  <si>
    <t>xxWK022</t>
  </si>
  <si>
    <t>xxPlatypus - Australian Made Wooden Ornament</t>
  </si>
  <si>
    <t>xxWO045</t>
  </si>
  <si>
    <t>xxPlush Slippers WDU</t>
  </si>
  <si>
    <t>xxCDUPS</t>
  </si>
  <si>
    <t>xxQBD Double Sided Table Top Display (Christmas Ornaments)</t>
  </si>
  <si>
    <t>xxQBDDSTD</t>
  </si>
  <si>
    <t>xxRainbow Lorikeet - Australian Made Wooden Bookmark</t>
  </si>
  <si>
    <t>xxWB023</t>
  </si>
  <si>
    <t>xxRainbow Lorikeet - Australian Made Wooden Fridge Magnet</t>
  </si>
  <si>
    <t>xxWFM023</t>
  </si>
  <si>
    <t>xxRainbow Lorikeet - Australian Made Wooden Key Ring</t>
  </si>
  <si>
    <t>xxWK023</t>
  </si>
  <si>
    <t>xxRainbow Lorikeet - Australian Made Wooden Ornament</t>
  </si>
  <si>
    <t>xxWO046</t>
  </si>
  <si>
    <t>xxReading Friends Wooden Display</t>
  </si>
  <si>
    <t>xxRFWD</t>
  </si>
  <si>
    <t>xxRocket Ship Display WDU</t>
  </si>
  <si>
    <t>xxRCD</t>
  </si>
  <si>
    <t>xxRollerball Pens WDU</t>
  </si>
  <si>
    <t>xxCDURB</t>
  </si>
  <si>
    <t>Pens</t>
  </si>
  <si>
    <t>xxRollers WDU</t>
  </si>
  <si>
    <t>xxCDUR</t>
  </si>
  <si>
    <t>xxRose - Australian Made Wooden Bookmark</t>
  </si>
  <si>
    <t>xxWB001</t>
  </si>
  <si>
    <t>xxRose - Australian Made Wooden Fridge Magnet</t>
  </si>
  <si>
    <t>xxWFM001</t>
  </si>
  <si>
    <t>xxRose - Australian Made Wooden Key Ring</t>
  </si>
  <si>
    <t>xxWK001</t>
  </si>
  <si>
    <t>xxSanta Dirt Bike - Australian Made Wooden Ornament</t>
  </si>
  <si>
    <t>xxWO054</t>
  </si>
  <si>
    <t>xxSanta Surf - Australian Made Wooden Ornament</t>
  </si>
  <si>
    <t>xxWO050</t>
  </si>
  <si>
    <t>xxScrunchies WDU</t>
  </si>
  <si>
    <t>xxCDUS</t>
  </si>
  <si>
    <t>xxSilver Fern - Australian Made Wooden Ornament</t>
  </si>
  <si>
    <t>xxWO066</t>
  </si>
  <si>
    <t>xxSouthern Lights - Australian Made Wooden Bookmark</t>
  </si>
  <si>
    <t>xxWB030</t>
  </si>
  <si>
    <t>xxSunflower - Australian Made Wooden Bookmark</t>
  </si>
  <si>
    <t>xxWB003</t>
  </si>
  <si>
    <t>xxSunflower - Australian Made Wooden Fridge Magnet</t>
  </si>
  <si>
    <t>xxWFM003</t>
  </si>
  <si>
    <t>xxSunflower - Australian Made Wooden Key Ring</t>
  </si>
  <si>
    <t>xxWK003</t>
  </si>
  <si>
    <t>xxSurfboard - Australian Made Wooden Ornament</t>
  </si>
  <si>
    <t>xxWO058</t>
  </si>
  <si>
    <t>xxSurfing Kangaroo - Australian Made Wooden Bookmark</t>
  </si>
  <si>
    <t>xxWB031</t>
  </si>
  <si>
    <t>xxSydney Harbour - Australian Made Wooden Bookmark</t>
  </si>
  <si>
    <t>xxWB034</t>
  </si>
  <si>
    <t>xxSydney Harbour Bridge - Australian Made Wooden Bookmark</t>
  </si>
  <si>
    <t>xxWB033</t>
  </si>
  <si>
    <t>xxTasmanian Devil - Australian Made Wooden Bookmark</t>
  </si>
  <si>
    <t>xxWB024</t>
  </si>
  <si>
    <t>xxTasmanian Devil - Australian Made Wooden Fridge Magnet</t>
  </si>
  <si>
    <t>xxWFM024</t>
  </si>
  <si>
    <t>xxTasmanian Devil - Australian Made Wooden Key Ring</t>
  </si>
  <si>
    <t>xxWK024</t>
  </si>
  <si>
    <t>xxTasmanian Devil - Australian Made Wooden Ornament</t>
  </si>
  <si>
    <t>xxWO047</t>
  </si>
  <si>
    <t>xxThong - Australian Made Wooden Ornament</t>
  </si>
  <si>
    <t>xxWO057</t>
  </si>
  <si>
    <t>xxThree Sisters - Australian Made Wooden Bookmark</t>
  </si>
  <si>
    <t>xxWB035</t>
  </si>
  <si>
    <t>xxTo The Stars Who Listen - Australian Made Wooden Bookmark</t>
  </si>
  <si>
    <t>xxWB044</t>
  </si>
  <si>
    <t>xxTram - Australian Made Wooden Bookmark</t>
  </si>
  <si>
    <t>xxWB036</t>
  </si>
  <si>
    <t>xxTram Green - Australian Made Wooden Ornament</t>
  </si>
  <si>
    <t>xxWO064</t>
  </si>
  <si>
    <t>xxTram Red - Australian Made Wooden Ornament</t>
  </si>
  <si>
    <t>xxWO063</t>
  </si>
  <si>
    <t>xxTravel Case Display WDU</t>
  </si>
  <si>
    <t>xxTCD</t>
  </si>
  <si>
    <t>xxTulip - Australian Made Wooden Bookmark</t>
  </si>
  <si>
    <t>xxWB002</t>
  </si>
  <si>
    <t>xxTulip - Australian Made Wooden Fridge Magnet</t>
  </si>
  <si>
    <t>xxWFM002</t>
  </si>
  <si>
    <t>xxTulip - Australian Made Wooden Key Ring</t>
  </si>
  <si>
    <t>xxWK002</t>
  </si>
  <si>
    <t>xxTwelve Apostles - Australian Made Wooden Bookmark</t>
  </si>
  <si>
    <t>xxWB037</t>
  </si>
  <si>
    <t>xxUluru - Australian Made Wooden Bookmark</t>
  </si>
  <si>
    <t>xxWB038</t>
  </si>
  <si>
    <t>xxustralian Made Wooden Ornament - Kangaroo 2</t>
  </si>
  <si>
    <t>xxWO026</t>
  </si>
  <si>
    <t>xxWaratah - Australian Made Wooden Bookmark</t>
  </si>
  <si>
    <t>xxWB009</t>
  </si>
  <si>
    <t>xxWaratah - Australian Made Wooden Fridge Magnet</t>
  </si>
  <si>
    <t>xxWFM009</t>
  </si>
  <si>
    <t>xxWaratah - Australian Made Wooden Key Ring</t>
  </si>
  <si>
    <t>xxWK009</t>
  </si>
  <si>
    <t>xxWombat - Australian Made Wooden Ornament</t>
  </si>
  <si>
    <t>xxWO056</t>
  </si>
  <si>
    <t>xxWood Flexi Book Light Display</t>
  </si>
  <si>
    <t>xxFBLD</t>
  </si>
  <si>
    <t>xxWOW WDU</t>
  </si>
  <si>
    <t>xxCDUWOW</t>
  </si>
  <si>
    <t>Zip Portfolio Black Life's An Adventure</t>
  </si>
  <si>
    <t>RFS12007</t>
  </si>
  <si>
    <t>Zip Portfolio Dark Blue with Light Bulb Icon in gold foil with gold zip</t>
  </si>
  <si>
    <t>RFS12009</t>
  </si>
  <si>
    <t>Zip Portfolio Purple with Bee Icon in gold foil with gold zip and tassel</t>
  </si>
  <si>
    <t>RFS12008</t>
  </si>
</sst>
</file>

<file path=xl/styles.xml><?xml version="1.0" encoding="utf-8"?>
<styleSheet xmlns="http://schemas.openxmlformats.org/spreadsheetml/2006/main">
  <numFmts count="11">
    <numFmt formatCode="#0" numFmtId="164"/>
    <numFmt formatCode="[&gt;0]_(&quot;$&quot;* #,##0.00_);[&lt;0]_(&quot;$&quot;* (#,##0.00);_(&quot;$&quot;* &quot;-&quot;#??_);_(@_)" numFmtId="165"/>
    <numFmt formatCode="[&gt;0]_(* #,##0_);[&lt;0]_(* (#,##0);_(* &quot;-&quot;#??_);_(@_)" numFmtId="166"/>
    <numFmt formatCode="#0.00%" numFmtId="167"/>
    <numFmt formatCode="#0%" numFmtId="168"/>
    <numFmt formatCode="mmm-d" numFmtId="169"/>
    <numFmt formatCode="&quot;$&quot;#,##0.00" numFmtId="170"/>
    <numFmt formatCode="yyyy-m-d" numFmtId="171"/>
    <numFmt formatCode="yyyy-m-dd" numFmtId="172"/>
    <numFmt formatCode="yyyy-mm-d" numFmtId="173"/>
    <numFmt formatCode="yyyy-mm-dd" numFmtId="174"/>
  </numFmts>
  <fonts count="37">
    <font>
      <sz val="10"/>
      <color rgb="FF000000"/>
      <name val="Roboto"/>
    </font>
    <font>
      <sz val="11"/>
      <name val="Roboto"/>
    </font>
    <font>
      <b/>
      <sz val="11"/>
      <name val="Roboto"/>
    </font>
    <font>
      <sz val="11"/>
      <color rgb="FF9B59B6"/>
      <name val="Roboto"/>
    </font>
    <font>
      <sz val="11"/>
      <name val="Roboto"/>
    </font>
    <font>
      <sz val="11"/>
      <name val="Roboto"/>
    </font>
    <font>
      <b/>
      <sz val="11"/>
      <name val="Roboto"/>
    </font>
    <font>
      <b/>
      <sz val="11"/>
      <color rgb="FF9B59B6"/>
      <name val="Roboto"/>
    </font>
    <font>
      <sz val="11"/>
      <name val="Roboto"/>
    </font>
    <font>
      <b/>
      <sz val="11"/>
      <name val="Roboto"/>
    </font>
    <font>
      <b/>
      <sz val="11"/>
      <color rgb="FF9B59B6"/>
      <name val="Roboto"/>
    </font>
    <font>
      <b/>
      <sz val="11"/>
      <color rgb="FFFF0000"/>
      <name val="Roboto"/>
    </font>
    <font>
      <sz val="11.0"/>
      <name val="Calibri"/>
    </font>
    <font>
      <sz val="11"/>
      <name val="Roboto"/>
    </font>
    <font>
      <b/>
      <sz val="11"/>
      <color rgb="FFFF0000"/>
      <name val="Roboto"/>
    </font>
    <font>
      <sz val="11"/>
      <color rgb="FFFF0000"/>
      <name val="Roboto"/>
    </font>
    <font>
      <b/>
      <sz val="11"/>
      <color rgb="FFFFFFFF"/>
      <name val="Roboto"/>
    </font>
    <font>
      <sz val="11"/>
      <color rgb="FFE31414"/>
      <name val="Roboto"/>
    </font>
    <font>
      <sz val="11"/>
      <color rgb="FFFF0000"/>
      <name val="Roboto"/>
    </font>
    <font>
      <b/>
      <sz val="11"/>
      <color rgb="FFE31414"/>
      <name val="Roboto"/>
    </font>
    <font>
      <sz val="10"/>
      <name val="Roboto"/>
    </font>
    <font>
      <b/>
      <sz val="11"/>
      <color rgb="FF9B59B6"/>
      <name val="Roboto"/>
    </font>
    <font>
      <b/>
      <sz val="11"/>
      <color rgb="FFFF0000"/>
      <name val="Roboto"/>
    </font>
    <font>
      <sz val="12"/>
      <name val="Roboto"/>
    </font>
    <font>
      <b/>
      <sz val="12"/>
      <color rgb="FFFFFFFF"/>
      <name val="Roboto"/>
    </font>
    <font>
      <sz val="12"/>
      <color rgb="FFFFFFFF"/>
      <name val="Roboto"/>
    </font>
    <font>
      <b/>
      <sz val="12"/>
      <color rgb="FF9B59B6"/>
      <name val="Roboto"/>
    </font>
    <font>
      <b/>
      <sz val="12"/>
      <color rgb="FFFF0000"/>
      <name val="Roboto"/>
    </font>
    <font>
      <sz val="12"/>
      <name val="Roboto"/>
    </font>
    <font>
      <b/>
      <sz val="10"/>
      <name val="Roboto"/>
    </font>
    <font>
      <sz val="11"/>
      <name val="Calibri"/>
    </font>
    <font>
      <sz val="10"/>
      <name val="Inter"/>
    </font>
    <font>
      <sz val="10"/>
      <name val="Roboto"/>
    </font>
    <font>
      <sz val="11.0"/>
      <name val="Roboto"/>
    </font>
    <font>
      <sz val="10"/>
      <color rgb="FFE31414"/>
      <name val="Roboto"/>
    </font>
    <font>
      <sz val="11.0"/>
      <name val="Arial"/>
    </font>
    <font>
      <sz val="10"/>
      <color rgb="FFE31414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D5F5E3"/>
        <bgColor rgb="FFD5F5E3"/>
      </patternFill>
    </fill>
    <fill>
      <patternFill patternType="solid">
        <fgColor rgb="FFF1C40F"/>
        <bgColor rgb="FFF1C40F"/>
      </patternFill>
    </fill>
    <fill>
      <patternFill patternType="solid">
        <fgColor rgb="FF3498DB"/>
        <bgColor rgb="FF3498DB"/>
      </patternFill>
    </fill>
    <fill>
      <patternFill patternType="solid">
        <fgColor rgb="FF2ECC71"/>
        <bgColor rgb="FF2ECC71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6EAF8"/>
        <bgColor rgb="FFD6EAF8"/>
      </patternFill>
    </fill>
    <fill>
      <patternFill patternType="solid">
        <fgColor rgb="FFD7BDE2"/>
        <bgColor rgb="FFD7BDE2"/>
      </patternFill>
    </fill>
    <fill>
      <patternFill patternType="solid">
        <fgColor rgb="FFFCDAE3"/>
        <bgColor rgb="FFFCDAE3"/>
      </patternFill>
    </fill>
    <fill>
      <patternFill patternType="solid">
        <fgColor rgb="FFA8B8CA"/>
        <bgColor rgb="FFA8B8CA"/>
      </patternFill>
    </fill>
    <fill>
      <patternFill patternType="solid">
        <fgColor rgb="FFDBDBDB"/>
        <bgColor rgb="FFDBDBDB"/>
      </patternFill>
    </fill>
    <fill>
      <patternFill patternType="solid">
        <fgColor rgb="FFFCF3CF"/>
        <bgColor rgb="FFFCF3CF"/>
      </patternFill>
    </fill>
    <fill>
      <patternFill patternType="solid">
        <fgColor rgb="FFCCD5D5"/>
        <bgColor rgb="FFCCD5D5"/>
      </patternFill>
    </fill>
    <fill>
      <patternFill patternType="solid">
        <fgColor rgb="FFD5F5E3"/>
        <bgColor rgb="FFD5F5E3"/>
      </patternFill>
    </fill>
    <fill>
      <patternFill patternType="solid">
        <fgColor rgb="FFEBDEF0"/>
        <bgColor rgb="FFEBDEF0"/>
      </patternFill>
    </fill>
    <fill>
      <patternFill patternType="solid">
        <fgColor rgb="FFF8B5C8"/>
        <bgColor rgb="FFF8B5C8"/>
      </patternFill>
    </fill>
    <fill>
      <patternFill patternType="solid">
        <fgColor rgb="FFE7EBEB"/>
        <bgColor rgb="FFE7EBEB"/>
      </patternFill>
    </fill>
    <fill>
      <patternFill patternType="solid">
        <fgColor rgb="FFE9F0FE"/>
        <bgColor rgb="FFE9F0FE"/>
      </patternFill>
    </fill>
    <fill>
      <patternFill patternType="solid">
        <fgColor rgb="FFD3DCE5"/>
        <bgColor rgb="FFD3DCE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borderId="0" fillId="0" fontId="0" numFmtId="0" xfId="0">
      <alignment vertical="top"/>
    </xf>
  </cellStyleXfs>
  <cellXfs count="174">
    <xf borderId="0" fillId="0" fontId="0" numFmtId="0" xfId="0">
      <alignment vertical="top"/>
    </xf>
    <xf borderId="0" fillId="0" fontId="1" numFmtId="0" xfId="0">
      <alignment vertical="top"/>
    </xf>
    <xf borderId="0" fillId="0" fontId="1" numFmtId="0" xfId="0">
      <alignment horizontal="center" vertical="top"/>
    </xf>
    <xf borderId="0" fillId="0" fontId="2" numFmtId="0" xfId="0">
      <alignment vertical="top"/>
    </xf>
    <xf borderId="0" fillId="0" fontId="2" numFmtId="164" xfId="0">
      <alignment vertical="top"/>
    </xf>
    <xf borderId="0" fillId="0" fontId="3" numFmtId="165" xfId="0">
      <alignment vertical="top"/>
    </xf>
    <xf borderId="0" fillId="0" fontId="4" numFmtId="164" xfId="0">
      <alignment vertical="top"/>
    </xf>
    <xf borderId="0" fillId="0" fontId="2" numFmtId="0" xfId="0">
      <alignment horizontal="right" vertical="top"/>
    </xf>
    <xf borderId="0" fillId="0" fontId="4" numFmtId="0" xfId="0">
      <alignment vertical="top"/>
    </xf>
    <xf borderId="0" fillId="0" fontId="2" numFmtId="166" xfId="0">
      <alignment vertical="top"/>
    </xf>
    <xf borderId="0" fillId="2" fontId="5" numFmtId="0" xfId="0">
      <alignment vertical="top"/>
    </xf>
    <xf borderId="0" fillId="0" fontId="2" numFmtId="0" xfId="0">
      <alignment horizontal="center" vertical="top"/>
    </xf>
    <xf borderId="0" fillId="0" fontId="4" numFmtId="0" xfId="0">
      <alignment horizontal="center" vertical="top"/>
    </xf>
    <xf borderId="0" fillId="0" fontId="2" numFmtId="167" xfId="0">
      <alignment vertical="top"/>
    </xf>
    <xf borderId="0" fillId="3" fontId="2" numFmtId="167" xfId="0">
      <alignment vertical="top"/>
    </xf>
    <xf borderId="0" fillId="0" fontId="2" numFmtId="9" xfId="0">
      <alignment vertical="top"/>
    </xf>
    <xf borderId="0" fillId="0" fontId="2" numFmtId="168" xfId="0">
      <alignment vertical="top"/>
    </xf>
    <xf borderId="0" fillId="0" fontId="2" numFmtId="0" xfId="0">
      <alignment horizontal="center" vertical="center"/>
    </xf>
    <xf borderId="0" fillId="4" fontId="6" numFmtId="169" xfId="0">
      <alignment horizontal="center" vertical="center"/>
    </xf>
    <xf borderId="0" fillId="5" fontId="6" numFmtId="169" xfId="0">
      <alignment horizontal="center" vertical="center"/>
    </xf>
    <xf borderId="0" fillId="0" fontId="6" numFmtId="169" xfId="0">
      <alignment horizontal="center" vertical="center"/>
    </xf>
    <xf borderId="0" fillId="6" fontId="6" numFmtId="169" xfId="0">
      <alignment horizontal="center" vertical="center"/>
    </xf>
    <xf borderId="0" fillId="3" fontId="2" numFmtId="166" xfId="0">
      <alignment horizontal="center" vertical="center"/>
    </xf>
    <xf borderId="0" fillId="0" fontId="2" numFmtId="166" xfId="0">
      <alignment horizontal="center" vertical="center"/>
    </xf>
    <xf borderId="0" fillId="0" fontId="2" numFmtId="164" xfId="0">
      <alignment horizontal="center" vertical="center"/>
    </xf>
    <xf borderId="0" fillId="0" fontId="7" numFmtId="165" xfId="0">
      <alignment horizontal="center" vertical="center"/>
    </xf>
    <xf borderId="0" fillId="0" fontId="2" numFmtId="0" xfId="0">
      <alignment horizontal="right" vertical="center"/>
    </xf>
    <xf borderId="0" fillId="0" fontId="4" numFmtId="0" xfId="0">
      <alignment horizontal="right" vertical="center"/>
    </xf>
    <xf borderId="0" fillId="0" fontId="2" numFmtId="0" xfId="0">
      <alignment vertical="center"/>
    </xf>
    <xf borderId="0" fillId="0" fontId="6" numFmtId="0" xfId="0">
      <alignment horizontal="left" vertical="center" wrapText="1"/>
    </xf>
    <xf borderId="0" fillId="0" fontId="6" numFmtId="0" xfId="0">
      <alignment horizontal="center" vertical="center" wrapText="1"/>
    </xf>
    <xf borderId="0" fillId="0" fontId="6" numFmtId="0" xfId="0">
      <alignment horizontal="center" vertical="center" wrapText="1" textRotation="0"/>
    </xf>
    <xf borderId="0" fillId="3" fontId="6" numFmtId="166" xfId="0">
      <alignment horizontal="center" vertical="center" wrapText="1" textRotation="0"/>
    </xf>
    <xf borderId="0" fillId="0" fontId="6" numFmtId="166" xfId="0">
      <alignment horizontal="center" vertical="center" wrapText="1" textRotation="0"/>
    </xf>
    <xf borderId="0" fillId="7" fontId="8" numFmtId="164" xfId="0">
      <alignment horizontal="center" vertical="center" textRotation="0"/>
    </xf>
    <xf borderId="0" fillId="7" fontId="9" numFmtId="164" xfId="0">
      <alignment horizontal="center" vertical="center" textRotation="0"/>
    </xf>
    <xf borderId="0" fillId="0" fontId="10" numFmtId="165" xfId="0">
      <alignment horizontal="center" vertical="center" wrapText="1" textRotation="0"/>
    </xf>
    <xf borderId="0" fillId="0" fontId="6" numFmtId="0" xfId="0">
      <alignment horizontal="center" vertical="top" wrapText="1" textRotation="0"/>
    </xf>
    <xf borderId="0" fillId="0" fontId="11" numFmtId="164" xfId="0">
      <alignment horizontal="left" vertical="center" wrapText="1"/>
    </xf>
    <xf borderId="0" fillId="0" fontId="6" numFmtId="0" xfId="0">
      <alignment horizontal="right" vertical="center" wrapText="1" textRotation="0"/>
    </xf>
    <xf borderId="0" fillId="0" fontId="1" numFmtId="0" xfId="0">
      <alignment vertical="center"/>
    </xf>
    <xf borderId="0" fillId="0" fontId="5" numFmtId="0" xfId="0">
      <alignment vertical="top"/>
    </xf>
    <xf borderId="0" fillId="0" fontId="5" numFmtId="0" xfId="0">
      <alignment horizontal="center" vertical="top"/>
    </xf>
    <xf borderId="0" fillId="0" fontId="12" numFmtId="0" xfId="0">
      <alignment vertical="top"/>
    </xf>
    <xf borderId="0" fillId="0" fontId="3" numFmtId="165" xfId="0">
      <alignment horizontal="right" vertical="top"/>
    </xf>
    <xf borderId="0" fillId="0" fontId="1" numFmtId="164" xfId="0">
      <alignment vertical="top"/>
    </xf>
    <xf borderId="0" fillId="0" fontId="13" numFmtId="0" xfId="0">
      <alignment vertical="top"/>
    </xf>
    <xf borderId="0" fillId="0" fontId="13" numFmtId="0" xfId="0">
      <alignment horizontal="center" vertical="top"/>
    </xf>
    <xf borderId="0" fillId="8" fontId="1" numFmtId="0" xfId="0">
      <alignment vertical="top"/>
    </xf>
    <xf borderId="0" fillId="0" fontId="14" numFmtId="0" xfId="0">
      <alignment vertical="top"/>
    </xf>
    <xf borderId="0" fillId="0" fontId="14" numFmtId="0" xfId="0">
      <alignment horizontal="right" vertical="top"/>
    </xf>
    <xf borderId="0" fillId="3" fontId="2" numFmtId="0" xfId="0">
      <alignment horizontal="right" vertical="top"/>
    </xf>
    <xf borderId="0" fillId="0" fontId="15" numFmtId="0" xfId="0">
      <alignment vertical="top"/>
    </xf>
    <xf borderId="0" fillId="2" fontId="16" numFmtId="0" xfId="0">
      <alignment horizontal="center" vertical="top"/>
    </xf>
    <xf borderId="0" fillId="9" fontId="5" numFmtId="0" xfId="0">
      <alignment vertical="top"/>
    </xf>
    <xf borderId="0" fillId="3" fontId="5" numFmtId="0" xfId="0">
      <alignment horizontal="center" vertical="top"/>
    </xf>
    <xf borderId="0" fillId="10" fontId="5" numFmtId="0" xfId="0">
      <alignment vertical="top"/>
    </xf>
    <xf borderId="0" fillId="9" fontId="5" numFmtId="0" xfId="0">
      <alignment horizontal="center" vertical="top"/>
    </xf>
    <xf borderId="0" fillId="11" fontId="5" numFmtId="0" xfId="0">
      <alignment horizontal="center" vertical="top"/>
    </xf>
    <xf borderId="0" fillId="12" fontId="5" numFmtId="0" xfId="0">
      <alignment vertical="top"/>
    </xf>
    <xf borderId="0" fillId="9" fontId="13" numFmtId="0" xfId="0">
      <alignment horizontal="center" vertical="top"/>
    </xf>
    <xf borderId="0" fillId="3" fontId="13" numFmtId="0" xfId="0">
      <alignment horizontal="center" vertical="top"/>
    </xf>
    <xf borderId="0" fillId="11" fontId="13" numFmtId="0" xfId="0">
      <alignment vertical="top"/>
    </xf>
    <xf borderId="0" fillId="11" fontId="13" numFmtId="0" xfId="0">
      <alignment horizontal="center" vertical="top"/>
    </xf>
    <xf borderId="0" fillId="10" fontId="13" numFmtId="0" xfId="0">
      <alignment horizontal="center" vertical="top"/>
    </xf>
    <xf borderId="0" fillId="12" fontId="13" numFmtId="0" xfId="0">
      <alignment horizontal="center" vertical="top"/>
    </xf>
    <xf borderId="0" fillId="8" fontId="5" numFmtId="0" xfId="0">
      <alignment vertical="top"/>
    </xf>
    <xf borderId="0" fillId="13" fontId="5" numFmtId="0" xfId="0">
      <alignment vertical="top"/>
    </xf>
    <xf borderId="0" fillId="0" fontId="17" numFmtId="0" xfId="0">
      <alignment vertical="top"/>
    </xf>
    <xf borderId="0" fillId="0" fontId="18" numFmtId="0" xfId="0">
      <alignment vertical="top"/>
    </xf>
    <xf borderId="0" fillId="2" fontId="13" numFmtId="0" xfId="0">
      <alignment vertical="top"/>
    </xf>
    <xf borderId="0" fillId="14" fontId="5" numFmtId="0" xfId="0">
      <alignment horizontal="center" vertical="top"/>
    </xf>
    <xf borderId="0" fillId="15" fontId="2" numFmtId="0" xfId="0">
      <alignment horizontal="right" vertical="top"/>
    </xf>
    <xf borderId="0" fillId="2" fontId="14" numFmtId="0" xfId="0">
      <alignment horizontal="right" vertical="top"/>
    </xf>
    <xf borderId="0" fillId="0" fontId="19" numFmtId="0" xfId="0">
      <alignment horizontal="right" vertical="top"/>
    </xf>
    <xf borderId="0" fillId="8" fontId="13" numFmtId="0" xfId="0">
      <alignment vertical="top"/>
    </xf>
    <xf borderId="0" fillId="8" fontId="1" numFmtId="164" xfId="0">
      <alignment vertical="top"/>
    </xf>
    <xf borderId="0" fillId="16" fontId="5" numFmtId="0" xfId="0">
      <alignment horizontal="center" vertical="top"/>
    </xf>
    <xf borderId="0" fillId="2" fontId="1" numFmtId="0" xfId="0">
      <alignment vertical="top"/>
    </xf>
    <xf borderId="0" fillId="17" fontId="1" numFmtId="0" xfId="0">
      <alignment vertical="top"/>
    </xf>
    <xf borderId="0" fillId="0" fontId="20" numFmtId="0" xfId="0">
      <alignment vertical="top"/>
    </xf>
    <xf borderId="0" fillId="17" fontId="1" numFmtId="164" xfId="0">
      <alignment vertical="top"/>
    </xf>
    <xf borderId="0" fillId="18" fontId="1" numFmtId="0" xfId="0">
      <alignment vertical="top"/>
    </xf>
    <xf borderId="0" fillId="9" fontId="1" numFmtId="0" xfId="0">
      <alignment horizontal="center" vertical="top"/>
    </xf>
    <xf borderId="0" fillId="5" fontId="1" numFmtId="0" xfId="0">
      <alignment vertical="top"/>
    </xf>
    <xf borderId="0" fillId="3" fontId="1" numFmtId="0" xfId="0">
      <alignment horizontal="center" vertical="top"/>
    </xf>
    <xf borderId="0" fillId="14" fontId="1" numFmtId="0" xfId="0">
      <alignment horizontal="center" vertical="top"/>
    </xf>
    <xf borderId="0" fillId="9" fontId="1" numFmtId="164" xfId="0">
      <alignment vertical="top"/>
    </xf>
    <xf borderId="0" fillId="9" fontId="1" numFmtId="0" xfId="0">
      <alignment vertical="top"/>
    </xf>
    <xf borderId="0" fillId="2" fontId="1" numFmtId="0" xfId="0">
      <alignment horizontal="center" vertical="top"/>
    </xf>
    <xf borderId="0" fillId="0" fontId="7" numFmtId="165" xfId="0">
      <alignment horizontal="right" vertical="center"/>
    </xf>
    <xf borderId="0" fillId="0" fontId="1" numFmtId="0" xfId="0">
      <alignment horizontal="center" vertical="center"/>
    </xf>
    <xf borderId="0" fillId="0" fontId="7" numFmtId="0" xfId="0">
      <alignment vertical="top"/>
    </xf>
    <xf borderId="0" fillId="0" fontId="7" numFmtId="164" xfId="0">
      <alignment vertical="center"/>
    </xf>
    <xf borderId="0" fillId="0" fontId="1" numFmtId="0" xfId="0">
      <alignment horizontal="right" vertical="top"/>
    </xf>
    <xf borderId="1" fillId="4" fontId="2" numFmtId="0" xfId="0">
      <alignment horizontal="center" vertical="center" wrapText="1"/>
    </xf>
    <xf borderId="1" fillId="4" fontId="9" numFmtId="0" xfId="0">
      <alignment horizontal="center" vertical="center" wrapText="1" textRotation="0"/>
    </xf>
    <xf borderId="1" fillId="4" fontId="21" numFmtId="165" xfId="0">
      <alignment horizontal="right" vertical="center" wrapText="1" textRotation="0"/>
    </xf>
    <xf borderId="1" fillId="4" fontId="6" numFmtId="0" xfId="0">
      <alignment horizontal="center" vertical="center" wrapText="1" textRotation="0"/>
    </xf>
    <xf borderId="1" fillId="4" fontId="22" numFmtId="164" xfId="0">
      <alignment horizontal="center" vertical="center" wrapText="1" textRotation="0"/>
    </xf>
    <xf borderId="1" fillId="4" fontId="8" numFmtId="164" xfId="0">
      <alignment horizontal="center" vertical="center" wrapText="1" textRotation="0"/>
    </xf>
    <xf borderId="1" fillId="4" fontId="9" numFmtId="164" xfId="0">
      <alignment horizontal="center" vertical="center" wrapText="1" textRotation="0"/>
    </xf>
    <xf borderId="1" fillId="4" fontId="21" numFmtId="165" xfId="0">
      <alignment horizontal="center" vertical="center" wrapText="1" textRotation="0"/>
    </xf>
    <xf borderId="1" fillId="0" fontId="1" numFmtId="0" xfId="0">
      <alignment horizontal="center" vertical="top"/>
    </xf>
    <xf borderId="1" fillId="0" fontId="1" numFmtId="0" xfId="0">
      <alignment vertical="top"/>
    </xf>
    <xf borderId="1" fillId="0" fontId="7" numFmtId="170" xfId="0">
      <alignment horizontal="right" vertical="center"/>
    </xf>
    <xf borderId="1" fillId="0" fontId="4" numFmtId="0" xfId="0">
      <alignment horizontal="center" vertical="top"/>
    </xf>
    <xf borderId="1" fillId="0" fontId="1" numFmtId="0" xfId="0">
      <alignment vertical="center"/>
    </xf>
    <xf borderId="1" fillId="0" fontId="14" numFmtId="0" xfId="0">
      <alignment horizontal="right" vertical="center"/>
    </xf>
    <xf borderId="1" fillId="0" fontId="4" numFmtId="0" xfId="0">
      <alignment horizontal="right" vertical="top"/>
    </xf>
    <xf borderId="1" fillId="0" fontId="19" numFmtId="0" xfId="0">
      <alignment horizontal="left" vertical="top"/>
    </xf>
    <xf borderId="1" fillId="0" fontId="7" numFmtId="165" xfId="0">
      <alignment vertical="top"/>
    </xf>
    <xf borderId="1" fillId="19" fontId="1" numFmtId="0" xfId="0">
      <alignment horizontal="center" vertical="top"/>
    </xf>
    <xf borderId="1" fillId="19" fontId="1" numFmtId="0" xfId="0">
      <alignment vertical="top"/>
    </xf>
    <xf borderId="1" fillId="19" fontId="7" numFmtId="165" xfId="0">
      <alignment horizontal="right" vertical="center"/>
    </xf>
    <xf borderId="1" fillId="19" fontId="14" numFmtId="0" xfId="0">
      <alignment horizontal="center" vertical="top"/>
    </xf>
    <xf borderId="1" fillId="19" fontId="1" numFmtId="0" xfId="0">
      <alignment vertical="center"/>
    </xf>
    <xf borderId="1" fillId="19" fontId="14" numFmtId="0" xfId="0">
      <alignment horizontal="right" vertical="center"/>
    </xf>
    <xf borderId="1" fillId="19" fontId="4" numFmtId="0" xfId="0">
      <alignment horizontal="right" vertical="top"/>
    </xf>
    <xf borderId="1" fillId="19" fontId="1" numFmtId="0" xfId="0">
      <alignment horizontal="left" vertical="top"/>
    </xf>
    <xf borderId="1" fillId="19" fontId="7" numFmtId="165" xfId="0">
      <alignment vertical="top"/>
    </xf>
    <xf borderId="1" fillId="14" fontId="1" numFmtId="0" xfId="0">
      <alignment horizontal="center" vertical="top"/>
    </xf>
    <xf borderId="1" fillId="14" fontId="14" numFmtId="0" xfId="0">
      <alignment horizontal="right" vertical="center"/>
    </xf>
    <xf borderId="1" fillId="14" fontId="4" numFmtId="0" xfId="0">
      <alignment horizontal="right" vertical="top"/>
    </xf>
    <xf borderId="1" fillId="8" fontId="1" numFmtId="0" xfId="0">
      <alignment horizontal="left" vertical="top"/>
    </xf>
    <xf borderId="0" fillId="8" fontId="2" numFmtId="0" xfId="0">
      <alignment horizontal="left" vertical="top"/>
    </xf>
    <xf borderId="1" fillId="0" fontId="14" numFmtId="0" xfId="0">
      <alignment vertical="top"/>
    </xf>
    <xf borderId="1" fillId="0" fontId="1" numFmtId="0" xfId="0">
      <alignment horizontal="left" vertical="top"/>
    </xf>
    <xf borderId="1" fillId="0" fontId="7" numFmtId="165" xfId="0">
      <alignment horizontal="right" vertical="center"/>
    </xf>
    <xf borderId="1" fillId="0" fontId="14" numFmtId="0" xfId="0">
      <alignment horizontal="center" vertical="top"/>
    </xf>
    <xf borderId="1" fillId="19" fontId="7" numFmtId="170" xfId="0">
      <alignment horizontal="right" vertical="center"/>
    </xf>
    <xf borderId="1" fillId="19" fontId="4" numFmtId="0" xfId="0">
      <alignment horizontal="center" vertical="top"/>
    </xf>
    <xf borderId="1" fillId="19" fontId="4" numFmtId="0" xfId="0">
      <alignment horizontal="left" vertical="top"/>
    </xf>
    <xf borderId="0" fillId="0" fontId="23" numFmtId="0" xfId="0">
      <alignment vertical="center"/>
    </xf>
    <xf borderId="0" fillId="2" fontId="24" numFmtId="0" xfId="0">
      <alignment horizontal="center" vertical="center"/>
    </xf>
    <xf borderId="0" fillId="2" fontId="25" numFmtId="0" xfId="0">
      <alignment vertical="center"/>
    </xf>
    <xf borderId="0" fillId="0" fontId="23" numFmtId="0" xfId="0">
      <alignment horizontal="center" vertical="center"/>
    </xf>
    <xf borderId="0" fillId="0" fontId="26" numFmtId="165" xfId="0">
      <alignment horizontal="right" vertical="center"/>
    </xf>
    <xf borderId="0" fillId="0" fontId="27" numFmtId="0" xfId="0">
      <alignment vertical="center"/>
    </xf>
    <xf borderId="0" fillId="0" fontId="28" numFmtId="0" xfId="0">
      <alignment vertical="center"/>
    </xf>
    <xf borderId="0" fillId="0" fontId="26" numFmtId="0" xfId="0">
      <alignment vertical="center"/>
    </xf>
    <xf borderId="1" fillId="0" fontId="5" numFmtId="0" xfId="0">
      <alignment horizontal="center" vertical="top"/>
    </xf>
    <xf borderId="1" fillId="0" fontId="5" numFmtId="0" xfId="0">
      <alignment vertical="top"/>
    </xf>
    <xf borderId="1" fillId="2" fontId="5" numFmtId="0" xfId="0">
      <alignment horizontal="center" vertical="top"/>
    </xf>
    <xf borderId="1" fillId="0" fontId="4" numFmtId="0" xfId="0">
      <alignment vertical="top"/>
    </xf>
    <xf borderId="1" fillId="0" fontId="7" numFmtId="0" xfId="0">
      <alignment vertical="top"/>
    </xf>
    <xf borderId="1" fillId="0" fontId="1" numFmtId="0" xfId="0">
      <alignment horizontal="center" vertical="center"/>
    </xf>
    <xf borderId="1" fillId="2" fontId="1" numFmtId="0" xfId="0">
      <alignment horizontal="center" vertical="top"/>
    </xf>
    <xf borderId="0" fillId="0" fontId="2" numFmtId="164" xfId="0">
      <alignment horizontal="right" vertical="center"/>
    </xf>
    <xf borderId="0" fillId="0" fontId="29" numFmtId="0" xfId="0">
      <alignment horizontal="center" vertical="center"/>
    </xf>
    <xf borderId="0" fillId="0" fontId="29" numFmtId="0" xfId="0">
      <alignment horizontal="center" vertical="center" wrapText="1"/>
    </xf>
    <xf borderId="0" fillId="0" fontId="30" numFmtId="0" xfId="0">
      <alignment vertical="bottom"/>
    </xf>
    <xf borderId="0" fillId="0" fontId="31" numFmtId="0" xfId="0">
      <alignment horizontal="left" vertical="top"/>
    </xf>
    <xf borderId="0" fillId="0" fontId="20" numFmtId="0" xfId="0">
      <alignment horizontal="center" vertical="top"/>
    </xf>
    <xf borderId="0" fillId="20" fontId="6" numFmtId="0" xfId="0">
      <alignment horizontal="center" vertical="center" wrapText="1"/>
    </xf>
    <xf borderId="0" fillId="20" fontId="6" numFmtId="0" xfId="0">
      <alignment horizontal="center" vertical="center"/>
    </xf>
    <xf borderId="0" fillId="9" fontId="2" numFmtId="0" xfId="0">
      <alignment horizontal="center" vertical="center"/>
    </xf>
    <xf borderId="0" fillId="0" fontId="5" numFmtId="171" xfId="0">
      <alignment horizontal="center" vertical="top"/>
    </xf>
    <xf borderId="0" fillId="0" fontId="32" numFmtId="0" xfId="0">
      <alignment horizontal="center" vertical="top"/>
    </xf>
    <xf borderId="0" fillId="0" fontId="33" numFmtId="0" xfId="0">
      <alignment vertical="top"/>
    </xf>
    <xf borderId="0" fillId="0" fontId="34" numFmtId="0" xfId="0">
      <alignment horizontal="center" vertical="top"/>
    </xf>
    <xf borderId="0" fillId="0" fontId="32" numFmtId="0" xfId="0">
      <alignment vertical="top"/>
    </xf>
    <xf borderId="0" fillId="0" fontId="5" numFmtId="172" xfId="0">
      <alignment horizontal="center" vertical="top"/>
    </xf>
    <xf borderId="0" fillId="0" fontId="5" numFmtId="173" xfId="0">
      <alignment horizontal="center" vertical="top"/>
    </xf>
    <xf borderId="0" fillId="21" fontId="5" numFmtId="171" xfId="0">
      <alignment horizontal="center" vertical="top"/>
    </xf>
    <xf borderId="0" fillId="21" fontId="5" numFmtId="0" xfId="0">
      <alignment horizontal="center" vertical="top"/>
    </xf>
    <xf borderId="0" fillId="21" fontId="5" numFmtId="0" xfId="0">
      <alignment vertical="top"/>
    </xf>
    <xf borderId="0" fillId="21" fontId="1" numFmtId="0" xfId="0">
      <alignment vertical="top"/>
    </xf>
    <xf borderId="0" fillId="21" fontId="18" numFmtId="0" xfId="0">
      <alignment vertical="top"/>
    </xf>
    <xf borderId="0" fillId="0" fontId="29" numFmtId="0" xfId="0">
      <alignment vertical="top"/>
    </xf>
    <xf borderId="0" fillId="0" fontId="5" numFmtId="174" xfId="0">
      <alignment horizontal="center" vertical="top"/>
    </xf>
    <xf borderId="0" fillId="0" fontId="35" numFmtId="0" xfId="0">
      <alignment vertical="top"/>
    </xf>
    <xf borderId="0" fillId="0" fontId="36" numFmtId="0" xfId="0">
      <alignment vertical="top"/>
    </xf>
    <xf borderId="0" fillId="0" fontId="29" numFmtId="0" xfId="0">
      <alignment horizontal="center" vertical="top"/>
    </xf>
  </cellXfs>
  <cellStyles count="1">
    <cellStyle name="Normal" xfId="0" builtinId="0" customBuiltin="1"/>
  </cellStyles>
  <dxfs count="11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8CDCF"/>
          <bgColor rgb="FFF8CDCF"/>
        </patternFill>
      </fill>
    </dxf>
    <dxf>
      <font>
        <color rgb="FFE7484D"/>
      </font>
      <fill>
        <patternFill patternType="solid">
          <fgColor rgb="FFF8CDCF"/>
          <bgColor rgb="FFF8CDCF"/>
        </patternFill>
      </fill>
    </dxf>
    <dxf>
      <font/>
      <fill>
        <patternFill patternType="solid">
          <fgColor rgb="FFD5F5E3"/>
          <bgColor rgb="FFD5F5E3"/>
        </patternFill>
      </fill>
    </dxf>
    <dxf>
      <fill>
        <patternFill patternType="solid">
          <fgColor rgb="FFFCDAE3"/>
          <bgColor rgb="FFFCDAE3"/>
        </patternFill>
      </fill>
    </dxf>
    <dxf>
      <font>
        <b/>
        <color rgb="FFFF0000"/>
      </font>
    </dxf>
    <dxf>
      <font>
        <b/>
        <color rgb="FF0070C0"/>
      </font>
    </dxf>
    <dxf>
      <fill>
        <patternFill patternType="solid">
          <fgColor rgb="FF9BDEB4"/>
          <bgColor rgb="FF9BDEB4"/>
        </patternFill>
      </fill>
    </dxf>
    <dxf>
      <fill>
        <patternFill patternType="solid">
          <fgColor rgb="FFD6EAF8"/>
          <bgColor rgb="FFD6EAF8"/>
        </patternFill>
      </fill>
    </dxf>
    <dxf>
      <fill>
        <patternFill patternType="solid">
          <fgColor rgb="FFCCD5D5"/>
          <bgColor rgb="FFCCD5D5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sharedStrings.xml" Id="rId6" Type="http://schemas.openxmlformats.org/officeDocument/2006/relationships/sharedStrings"/><Relationship Target="styles.xml" Id="rId7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K386"/>
  <sheetViews>
    <sheetView workbookViewId="0">
      <pane xSplit="4" ySplit="6" topLeftCell="E7" state="frozen"/>
    </sheetView>
  </sheetViews>
  <sheetFormatPr defaultRowHeight="14.0" customHeight="1"/>
  <cols>
    <col min="1" max="1" style="1" width="28.08"/>
    <col min="2" max="2" style="1" width="13.24"/>
    <col min="3" max="3" style="1" width="49.28"/>
    <col min="4" max="4" style="2" width="12.71"/>
    <col min="5" max="5" hidden="1" style="1" width="0.0" outlineLevel="2"/>
    <col min="6" max="6" hidden="1" style="1" width="0.0" outlineLevel="2"/>
    <col min="7" max="7" hidden="1" style="1" width="0.0" outlineLevel="2"/>
    <col min="8" max="9" hidden="1" style="1" width="0.0" outlineLevel="2"/>
    <col min="10" max="10" hidden="1" style="1" width="0.0" outlineLevel="2"/>
    <col min="11" max="12" hidden="1" style="1" width="0.0" outlineLevel="2"/>
    <col min="13" max="13" hidden="1" style="1" width="0.0" outlineLevel="2"/>
    <col min="14" max="14" hidden="1" style="1" width="0.0" outlineLevel="2"/>
    <col min="15" max="15" hidden="1" style="1" width="0.0" outlineLevel="2"/>
    <col min="16" max="16" hidden="1" style="1" width="0.0" outlineLevel="2"/>
    <col min="17" max="17" hidden="1" style="1" width="0.0" outlineLevel="1" collapsed="1"/>
    <col min="18" max="18" hidden="1" style="1" width="0.0" outlineLevel="1"/>
    <col min="19" max="19" hidden="1" style="1" width="0.0" outlineLevel="1"/>
    <col min="20" max="21" hidden="1" style="1" width="0.0" outlineLevel="1"/>
    <col min="22" max="22" hidden="1" style="1" width="0.0" outlineLevel="1"/>
    <col min="23" max="24" hidden="1" style="1" width="0.0" outlineLevel="1"/>
    <col min="25" max="25" hidden="1" style="1" width="0.0" outlineLevel="1"/>
    <col min="26" max="26" hidden="1" style="1" width="0.0" outlineLevel="1"/>
    <col min="27" max="27" hidden="1" style="1" width="0.0" outlineLevel="1"/>
    <col min="28" max="28" hidden="1" style="1" width="0.0" outlineLevel="1"/>
    <col min="29" max="29" hidden="1" style="1" width="0.0" outlineLevel="1"/>
    <col min="30" max="30" hidden="1" style="1" width="0.0" outlineLevel="1"/>
    <col min="31" max="31" hidden="1" style="1" width="0.0" outlineLevel="1"/>
    <col min="32" max="33" hidden="1" style="1" width="0.0" outlineLevel="1"/>
    <col min="34" max="34" style="1" width="7.94" collapsed="1"/>
    <col min="35" max="36" style="1" width="8.21"/>
    <col min="37" max="37" style="1" width="7.28"/>
    <col min="38" max="38" style="1" width="8.08"/>
    <col min="39" max="39" style="1" width="8.21"/>
    <col min="40" max="45" style="1" width="8.21"/>
    <col min="46" max="46" style="3" width="7.68"/>
    <col min="47" max="47" style="3" width="9.8"/>
    <col min="48" max="48" style="3" width="12.45"/>
    <col min="49" max="49" style="1" width="7.81"/>
    <col min="50" max="50" style="1" width="8.47"/>
    <col min="51" max="51" style="1" width="7.28"/>
    <col min="52" max="52" style="1" width="7.94"/>
    <col min="53" max="54" style="1" width="8.21"/>
    <col min="55" max="55" style="4" width="9.67"/>
    <col min="56" max="56" style="3" width="9.67"/>
    <col min="57" max="58" style="5" width="11.52"/>
    <col min="59" max="59" style="1" width="13.24"/>
    <col min="60" max="61" style="6" width="11.12"/>
    <col min="62" max="62" style="1" width="6.62"/>
    <col min="63" max="63" style="7" width="12.05"/>
    <col min="64" max="64" style="8" width="11.39"/>
    <col min="65" max="65" style="1" width="8.08"/>
    <col min="66" max="68" style="1" width="8.08"/>
    <col min="69" max="69" style="5" width="12.32"/>
    <col min="70" max="72" style="1" width="8.08"/>
    <col min="73" max="73" style="1" width="13.51"/>
    <col min="74" max="76" style="1" width="8.08"/>
    <col min="77" max="77" style="1" width="10.46"/>
    <col min="78" max="80" style="1" width="8.08"/>
    <col min="81" max="81" style="1" width="14.7"/>
    <col min="82" max="82" style="1" width="7.81"/>
    <col min="83" max="84" style="1" width="8.08"/>
    <col min="85" max="85" style="1" width="13.51"/>
    <col min="86" max="88" style="1" width="8.08"/>
    <col min="89" max="89" style="1" width="13.51"/>
    <col min="90" max="1031" style="1" width="13.24"/>
    <col min="1032" max="1035" style="1" width="13.24"/>
    <col min="1036" max="1036" style="1" width="13.24"/>
    <col min="1037" max="2048" width="13.24"/>
  </cols>
  <sheetData>
    <row r="1" ht="14.0">
      <c r="AT1" s="9"/>
      <c r="AU1" s="9"/>
      <c r="AV1" s="9"/>
      <c r="BK1" s="10"/>
      <c r="BL1" s="11" t="s">
        <v>0</v>
      </c>
    </row>
    <row r="2">
      <c r="AT2" s="9"/>
      <c r="AU2" s="9"/>
      <c r="AV2" s="9"/>
      <c r="BL2" s="12"/>
    </row>
    <row r="3" ht="14.0">
      <c r="AT3" s="9"/>
      <c r="AU3" s="13">
        <f>SUM(AN4:AS4)</f>
        <v>0.58</v>
      </c>
      <c r="AV3" s="14">
        <f t="shared" ref="AV3:AV4" si="1">AU3*1.1</f>
        <v>0.638</v>
      </c>
      <c r="AW3" s="9"/>
      <c r="BL3" s="12"/>
    </row>
    <row r="4" ht="14.0">
      <c r="E4" s="15">
        <v>0.057</v>
      </c>
      <c r="F4" s="15">
        <v>0.114</v>
      </c>
      <c r="G4" s="15">
        <v>0.127</v>
      </c>
      <c r="H4" s="15">
        <v>0.115</v>
      </c>
      <c r="I4" s="15">
        <v>0.094</v>
      </c>
      <c r="J4" s="15">
        <v>0.052</v>
      </c>
      <c r="K4" s="15">
        <v>0.065</v>
      </c>
      <c r="L4" s="15">
        <v>0.07</v>
      </c>
      <c r="M4" s="15">
        <v>0.097</v>
      </c>
      <c r="N4" s="15">
        <v>0.046</v>
      </c>
      <c r="O4" s="15">
        <v>0.089</v>
      </c>
      <c r="P4" s="15">
        <v>0.073</v>
      </c>
      <c r="Q4" s="15">
        <v>0.057</v>
      </c>
      <c r="R4" s="15">
        <v>0.114</v>
      </c>
      <c r="S4" s="15">
        <v>0.127</v>
      </c>
      <c r="T4" s="15">
        <v>0.115</v>
      </c>
      <c r="U4" s="15">
        <v>0.094</v>
      </c>
      <c r="V4" s="15">
        <v>0.052</v>
      </c>
      <c r="W4" s="15">
        <v>0.065</v>
      </c>
      <c r="X4" s="15">
        <v>0.07</v>
      </c>
      <c r="Y4" s="15">
        <v>0.097</v>
      </c>
      <c r="Z4" s="15">
        <v>0.046</v>
      </c>
      <c r="AA4" s="15">
        <v>0.09</v>
      </c>
      <c r="AB4" s="15">
        <v>0.073</v>
      </c>
      <c r="AC4" s="15">
        <v>0.057</v>
      </c>
      <c r="AD4" s="15"/>
      <c r="AE4" s="15">
        <v>0.127</v>
      </c>
      <c r="AF4" s="15">
        <v>0.115</v>
      </c>
      <c r="AG4" s="15">
        <v>0.094</v>
      </c>
      <c r="AH4" s="15">
        <v>0.052</v>
      </c>
      <c r="AI4" s="15">
        <v>0.065</v>
      </c>
      <c r="AJ4" s="15">
        <v>0.07</v>
      </c>
      <c r="AK4" s="15">
        <v>0.097</v>
      </c>
      <c r="AL4" s="15">
        <v>0.046</v>
      </c>
      <c r="AM4" s="15">
        <v>0.09</v>
      </c>
      <c r="AN4" s="15">
        <v>0.073</v>
      </c>
      <c r="AO4" s="15">
        <v>0.057</v>
      </c>
      <c r="AP4" s="15">
        <v>0.114</v>
      </c>
      <c r="AQ4" s="15">
        <v>0.127</v>
      </c>
      <c r="AR4" s="15">
        <v>0.115</v>
      </c>
      <c r="AS4" s="15">
        <v>0.094</v>
      </c>
      <c r="AT4" s="16">
        <f>SUM(AH4:AS4)</f>
        <v>1.0</v>
      </c>
      <c r="AU4" s="14">
        <f>SUM(AH4:AM4)</f>
        <v>0.42</v>
      </c>
      <c r="AV4" s="14">
        <f t="shared" si="1"/>
        <v>0.462</v>
      </c>
      <c r="AW4" s="15">
        <v>0.052</v>
      </c>
      <c r="AX4" s="15">
        <v>0.065</v>
      </c>
      <c r="AY4" s="15">
        <v>0.07</v>
      </c>
      <c r="AZ4" s="15">
        <v>0.097</v>
      </c>
      <c r="BA4" s="15">
        <v>0.046</v>
      </c>
      <c r="BB4" s="15">
        <v>0.09</v>
      </c>
      <c r="BL4" s="12"/>
    </row>
    <row r="5" ht="14.0">
      <c r="A5" s="17"/>
      <c r="B5" s="17"/>
      <c r="C5" s="17"/>
      <c r="D5" s="17"/>
      <c r="E5" s="18">
        <v>45952</v>
      </c>
      <c r="F5" s="18">
        <v>45983</v>
      </c>
      <c r="G5" s="18">
        <v>46013</v>
      </c>
      <c r="H5" s="18">
        <v>45680</v>
      </c>
      <c r="I5" s="18">
        <v>45711</v>
      </c>
      <c r="J5" s="18">
        <v>45739</v>
      </c>
      <c r="K5" s="18">
        <v>45770</v>
      </c>
      <c r="L5" s="18">
        <v>45800</v>
      </c>
      <c r="M5" s="18">
        <v>45831</v>
      </c>
      <c r="N5" s="18">
        <v>45861</v>
      </c>
      <c r="O5" s="18">
        <v>45892</v>
      </c>
      <c r="P5" s="18">
        <v>45923</v>
      </c>
      <c r="Q5" s="19">
        <v>45953</v>
      </c>
      <c r="R5" s="19">
        <v>45984</v>
      </c>
      <c r="S5" s="19">
        <v>46014</v>
      </c>
      <c r="T5" s="19">
        <v>45681</v>
      </c>
      <c r="U5" s="19">
        <v>45712</v>
      </c>
      <c r="V5" s="19">
        <v>45740</v>
      </c>
      <c r="W5" s="19">
        <v>45771</v>
      </c>
      <c r="X5" s="19">
        <v>45801</v>
      </c>
      <c r="Y5" s="19">
        <v>45832</v>
      </c>
      <c r="Z5" s="19">
        <v>45862</v>
      </c>
      <c r="AA5" s="19">
        <v>45893</v>
      </c>
      <c r="AB5" s="19">
        <v>45924</v>
      </c>
      <c r="AC5" s="20">
        <v>45954</v>
      </c>
      <c r="AD5" s="19">
        <v>45985</v>
      </c>
      <c r="AE5" s="19">
        <v>46015</v>
      </c>
      <c r="AF5" s="19">
        <v>45682</v>
      </c>
      <c r="AG5" s="20">
        <v>45713</v>
      </c>
      <c r="AH5" s="21">
        <v>45741</v>
      </c>
      <c r="AI5" s="21">
        <v>45772</v>
      </c>
      <c r="AJ5" s="21">
        <v>45802</v>
      </c>
      <c r="AK5" s="21">
        <v>45833</v>
      </c>
      <c r="AL5" s="21">
        <v>45863</v>
      </c>
      <c r="AM5" s="21">
        <v>45894</v>
      </c>
      <c r="AN5" s="21">
        <v>45925</v>
      </c>
      <c r="AO5" s="21">
        <v>45955</v>
      </c>
      <c r="AP5" s="21">
        <v>45986</v>
      </c>
      <c r="AQ5" s="21">
        <v>46016</v>
      </c>
      <c r="AR5" s="21">
        <v>46048</v>
      </c>
      <c r="AS5" s="21">
        <v>46079</v>
      </c>
      <c r="AT5" s="22" t="s">
        <v>1</v>
      </c>
      <c r="AU5" s="23" t="s">
        <v>2</v>
      </c>
      <c r="AV5" s="23" t="s">
        <v>2</v>
      </c>
      <c r="AW5" s="21">
        <v>45742</v>
      </c>
      <c r="AX5" s="21">
        <v>45773</v>
      </c>
      <c r="AY5" s="21">
        <v>45803</v>
      </c>
      <c r="AZ5" s="21">
        <v>45834</v>
      </c>
      <c r="BA5" s="21">
        <v>45864</v>
      </c>
      <c r="BB5" s="21">
        <v>45895</v>
      </c>
      <c r="BC5" s="24" t="s">
        <v>3</v>
      </c>
      <c r="BD5" s="17" t="s">
        <v>3</v>
      </c>
      <c r="BE5" s="25"/>
      <c r="BF5" s="25"/>
      <c r="BG5" s="17" t="s">
        <v>3</v>
      </c>
      <c r="BH5" s="11" t="s">
        <v>3</v>
      </c>
      <c r="BI5" s="24" t="s">
        <v>3</v>
      </c>
      <c r="BJ5" s="17" t="s">
        <v>3</v>
      </c>
      <c r="BK5" s="26" t="s">
        <v>3</v>
      </c>
      <c r="BL5" s="27"/>
      <c r="BM5" s="17" t="s">
        <v>4</v>
      </c>
      <c r="BN5" s="17" t="s">
        <v>5</v>
      </c>
      <c r="BO5" s="17"/>
      <c r="BP5" s="17"/>
      <c r="BQ5" s="17"/>
      <c r="BR5" s="17" t="s">
        <v>6</v>
      </c>
      <c r="BS5" s="17"/>
      <c r="BT5" s="17"/>
      <c r="BU5" s="17"/>
      <c r="BV5" s="17" t="s">
        <v>7</v>
      </c>
      <c r="BW5" s="17"/>
      <c r="BX5" s="17"/>
      <c r="BY5" s="17"/>
      <c r="BZ5" s="17" t="s">
        <v>8</v>
      </c>
      <c r="CA5" s="17"/>
      <c r="CB5" s="17"/>
      <c r="CC5" s="17"/>
      <c r="CD5" s="17" t="s">
        <v>9</v>
      </c>
      <c r="CE5" s="17"/>
      <c r="CF5" s="17"/>
      <c r="CG5" s="17"/>
      <c r="CH5" s="17" t="s">
        <v>10</v>
      </c>
      <c r="CI5" s="17"/>
      <c r="CJ5" s="17"/>
      <c r="CK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AMR5" s="28"/>
      <c r="AMS5" s="28"/>
      <c r="AMT5" s="28"/>
      <c r="AMU5" s="28"/>
    </row>
    <row r="6" ht="43.0">
      <c r="A6" s="29" t="s">
        <v>11</v>
      </c>
      <c r="B6" s="29" t="s">
        <v>12</v>
      </c>
      <c r="C6" s="29" t="s">
        <v>13</v>
      </c>
      <c r="D6" s="30" t="s">
        <v>14</v>
      </c>
      <c r="E6" s="31" t="s">
        <v>15</v>
      </c>
      <c r="F6" s="31" t="s">
        <v>15</v>
      </c>
      <c r="G6" s="31" t="s">
        <v>15</v>
      </c>
      <c r="H6" s="31" t="s">
        <v>15</v>
      </c>
      <c r="I6" s="31" t="s">
        <v>15</v>
      </c>
      <c r="J6" s="31" t="s">
        <v>15</v>
      </c>
      <c r="K6" s="31" t="s">
        <v>15</v>
      </c>
      <c r="L6" s="31" t="s">
        <v>15</v>
      </c>
      <c r="M6" s="31" t="s">
        <v>15</v>
      </c>
      <c r="N6" s="31" t="s">
        <v>15</v>
      </c>
      <c r="O6" s="31" t="s">
        <v>15</v>
      </c>
      <c r="P6" s="31" t="s">
        <v>15</v>
      </c>
      <c r="Q6" s="31" t="s">
        <v>15</v>
      </c>
      <c r="R6" s="31" t="s">
        <v>15</v>
      </c>
      <c r="S6" s="31" t="s">
        <v>15</v>
      </c>
      <c r="T6" s="31" t="s">
        <v>15</v>
      </c>
      <c r="U6" s="31" t="s">
        <v>15</v>
      </c>
      <c r="V6" s="31" t="s">
        <v>15</v>
      </c>
      <c r="W6" s="31" t="s">
        <v>15</v>
      </c>
      <c r="X6" s="31" t="s">
        <v>15</v>
      </c>
      <c r="Y6" s="31" t="s">
        <v>15</v>
      </c>
      <c r="Z6" s="31" t="s">
        <v>15</v>
      </c>
      <c r="AA6" s="31" t="s">
        <v>15</v>
      </c>
      <c r="AB6" s="31" t="s">
        <v>15</v>
      </c>
      <c r="AC6" s="31" t="s">
        <v>15</v>
      </c>
      <c r="AD6" s="31" t="s">
        <v>15</v>
      </c>
      <c r="AE6" s="31" t="s">
        <v>15</v>
      </c>
      <c r="AF6" s="31" t="s">
        <v>15</v>
      </c>
      <c r="AG6" s="31" t="s">
        <v>15</v>
      </c>
      <c r="AH6" s="31" t="s">
        <v>15</v>
      </c>
      <c r="AI6" s="31" t="s">
        <v>15</v>
      </c>
      <c r="AJ6" s="31" t="s">
        <v>15</v>
      </c>
      <c r="AK6" s="31" t="s">
        <v>15</v>
      </c>
      <c r="AL6" s="31" t="s">
        <v>15</v>
      </c>
      <c r="AM6" s="31" t="s">
        <v>15</v>
      </c>
      <c r="AN6" s="31" t="s">
        <v>15</v>
      </c>
      <c r="AO6" s="31" t="s">
        <v>15</v>
      </c>
      <c r="AP6" s="31" t="s">
        <v>15</v>
      </c>
      <c r="AQ6" s="31" t="s">
        <v>15</v>
      </c>
      <c r="AR6" s="31" t="s">
        <v>15</v>
      </c>
      <c r="AS6" s="31" t="s">
        <v>15</v>
      </c>
      <c r="AT6" s="32" t="s">
        <v>3</v>
      </c>
      <c r="AU6" s="33" t="s">
        <v>3</v>
      </c>
      <c r="AV6" s="33" t="s">
        <v>16</v>
      </c>
      <c r="AW6" s="34" t="s">
        <v>17</v>
      </c>
      <c r="AX6" s="34" t="s">
        <v>17</v>
      </c>
      <c r="AY6" s="34" t="s">
        <v>17</v>
      </c>
      <c r="AZ6" s="34" t="s">
        <v>17</v>
      </c>
      <c r="BA6" s="34" t="s">
        <v>17</v>
      </c>
      <c r="BB6" s="34" t="s">
        <v>17</v>
      </c>
      <c r="BC6" s="35" t="s">
        <v>17</v>
      </c>
      <c r="BD6" s="31" t="s">
        <v>18</v>
      </c>
      <c r="BE6" s="36" t="s">
        <v>19</v>
      </c>
      <c r="BF6" s="36" t="s">
        <v>20</v>
      </c>
      <c r="BG6" s="31" t="s">
        <v>21</v>
      </c>
      <c r="BH6" s="37" t="s">
        <v>22</v>
      </c>
      <c r="BI6" s="38" t="s">
        <v>23</v>
      </c>
      <c r="BJ6" s="31" t="s">
        <v>24</v>
      </c>
      <c r="BK6" s="39" t="s">
        <v>25</v>
      </c>
      <c r="BL6" s="30" t="s">
        <v>26</v>
      </c>
      <c r="BM6" s="31" t="s">
        <v>27</v>
      </c>
      <c r="BN6" s="31" t="s">
        <v>17</v>
      </c>
      <c r="BO6" s="31" t="s">
        <v>28</v>
      </c>
      <c r="BP6" s="31" t="s">
        <v>29</v>
      </c>
      <c r="BQ6" s="36" t="s">
        <v>20</v>
      </c>
      <c r="BR6" s="31" t="s">
        <v>17</v>
      </c>
      <c r="BS6" s="31" t="s">
        <v>28</v>
      </c>
      <c r="BT6" s="31" t="s">
        <v>29</v>
      </c>
      <c r="BU6" s="36" t="s">
        <v>20</v>
      </c>
      <c r="BV6" s="31" t="s">
        <v>17</v>
      </c>
      <c r="BW6" s="31" t="s">
        <v>28</v>
      </c>
      <c r="BX6" s="31" t="s">
        <v>29</v>
      </c>
      <c r="BY6" s="36" t="s">
        <v>20</v>
      </c>
      <c r="BZ6" s="31" t="s">
        <v>17</v>
      </c>
      <c r="CA6" s="31" t="s">
        <v>28</v>
      </c>
      <c r="CB6" s="31" t="s">
        <v>29</v>
      </c>
      <c r="CC6" s="36" t="s">
        <v>20</v>
      </c>
      <c r="CD6" s="31" t="s">
        <v>17</v>
      </c>
      <c r="CE6" s="31" t="s">
        <v>28</v>
      </c>
      <c r="CF6" s="31" t="s">
        <v>29</v>
      </c>
      <c r="CG6" s="36" t="s">
        <v>20</v>
      </c>
      <c r="CH6" s="31" t="s">
        <v>17</v>
      </c>
      <c r="CI6" s="31" t="s">
        <v>28</v>
      </c>
      <c r="CJ6" s="31" t="s">
        <v>29</v>
      </c>
      <c r="CK6" s="36" t="s">
        <v>20</v>
      </c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</row>
    <row r="7" ht="17.0">
      <c r="A7" s="41" t="s">
        <v>30</v>
      </c>
      <c r="B7" s="41" t="s">
        <v>31</v>
      </c>
      <c r="C7" s="41" t="s">
        <v>32</v>
      </c>
      <c r="D7" s="42" t="s">
        <v>33</v>
      </c>
      <c r="E7" s="41">
        <v>0.0</v>
      </c>
      <c r="F7" s="41">
        <v>0.0</v>
      </c>
      <c r="G7" s="41">
        <v>0.0</v>
      </c>
      <c r="H7" s="41">
        <v>0.0</v>
      </c>
      <c r="I7" s="41">
        <v>0.0</v>
      </c>
      <c r="J7" s="41">
        <v>0.0</v>
      </c>
      <c r="K7" s="41">
        <v>0.0</v>
      </c>
      <c r="L7" s="41">
        <v>0.0</v>
      </c>
      <c r="M7" s="41">
        <v>0.0</v>
      </c>
      <c r="N7" s="41">
        <v>0.0</v>
      </c>
      <c r="O7" s="41">
        <v>73.0</v>
      </c>
      <c r="P7" s="41">
        <v>100.0</v>
      </c>
      <c r="Q7" s="41">
        <v>88.0</v>
      </c>
      <c r="R7" s="41">
        <v>64.0</v>
      </c>
      <c r="S7" s="41">
        <v>8.0</v>
      </c>
      <c r="T7" s="41">
        <v>16.0</v>
      </c>
      <c r="U7" s="41">
        <v>12.0</v>
      </c>
      <c r="V7" s="41">
        <v>28.0</v>
      </c>
      <c r="W7" s="41">
        <v>12.0</v>
      </c>
      <c r="X7" s="41">
        <v>12.0</v>
      </c>
      <c r="Y7" s="41">
        <v>20.0</v>
      </c>
      <c r="Z7" s="41">
        <v>16.0</v>
      </c>
      <c r="AA7" s="41">
        <v>4.0</v>
      </c>
      <c r="AB7" s="41">
        <v>40.0</v>
      </c>
      <c r="AC7" s="41">
        <v>16.0</v>
      </c>
      <c r="AD7" s="41">
        <v>12.0</v>
      </c>
      <c r="AE7" s="41">
        <v>8.0</v>
      </c>
      <c r="AF7" s="41">
        <v>12.0</v>
      </c>
      <c r="AG7" s="41">
        <v>4.0</v>
      </c>
      <c r="AH7" s="41">
        <v>20.0</v>
      </c>
      <c r="AI7" s="41">
        <v>4.0</v>
      </c>
      <c r="AJ7" s="41">
        <v>0.0</v>
      </c>
      <c r="AK7" s="41">
        <v>4.0</v>
      </c>
      <c r="AL7" s="41">
        <v>4.0</v>
      </c>
      <c r="AM7" s="43">
        <v>8.0</v>
      </c>
      <c r="AN7" s="43">
        <v>8.0</v>
      </c>
      <c r="AO7" s="43">
        <v>8.0</v>
      </c>
      <c r="AP7" s="43">
        <v>12.0</v>
      </c>
      <c r="AQ7" s="43">
        <v>12.0</v>
      </c>
      <c r="AR7" s="43">
        <v>8.0</v>
      </c>
      <c r="AS7" s="43">
        <v>15.0</v>
      </c>
      <c r="AT7" s="4">
        <f t="shared" ref="AT7:AT386" si="4">SUM(AH7:AS7)</f>
        <v>103.0</v>
      </c>
      <c r="AU7" s="4">
        <f t="shared" ref="AU7:AU349" si="5">SUM(AH7:AM7)</f>
        <v>40.0</v>
      </c>
      <c r="AV7" s="4">
        <f t="shared" ref="AV7:AV386" si="6">AU7*1.1</f>
        <v>44.0</v>
      </c>
      <c r="AW7" s="1">
        <f t="shared" ref="AW7:AW12" si="7">AV7*$AW$4/$AV$4+2*$AW$13</f>
        <v>7.4285714285714</v>
      </c>
      <c r="AX7" s="1">
        <f t="shared" ref="AX7:AX12" si="8">AV7*$AX$4/$AV$4+2*$AX$13</f>
        <v>9.28571428571427</v>
      </c>
      <c r="AY7" s="1">
        <f t="shared" ref="AY7:AY12" si="9">AV7*$AY$4/$AV$4+2*$AY$13</f>
        <v>10.0</v>
      </c>
      <c r="AZ7" s="1">
        <f t="shared" ref="AZ7:AZ12" si="10">AV7*$AZ$4/$AV$4+2*$AZ$13</f>
        <v>13.8571428571428</v>
      </c>
      <c r="BA7" s="1">
        <f t="shared" ref="BA7:BA12" si="11">AV7*$BA$4/$AV$4+2*$BA$13</f>
        <v>6.57142857142858</v>
      </c>
      <c r="BB7" s="1">
        <f t="shared" ref="BB7:BB12" si="12">AV7*$BB$4/$AV$4+2*$BB$13</f>
        <v>12.8571428571429</v>
      </c>
      <c r="BC7" s="4">
        <f t="shared" ref="BC7:BC128" si="13">SUM(AW7:BB7)</f>
        <v>60.0</v>
      </c>
      <c r="BD7" s="3">
        <f>VLOOKUP(D7,FEB23SOH,2,false)</f>
        <v>256.0</v>
      </c>
      <c r="BE7" s="44">
        <f>VLOOKUP(D7,UNITVALUE,4,false)</f>
        <v>4.688</v>
      </c>
      <c r="BF7" s="44">
        <f t="shared" ref="BF7:BF255" si="16">BE7*BD7</f>
        <v>1200.128</v>
      </c>
      <c r="BI7" s="6">
        <f t="shared" ref="BI7:BI12" si="17">BD7+BG7+BH7-BC7</f>
        <v>196.0</v>
      </c>
      <c r="BJ7" s="8">
        <f>VLOOKUP(C7,MOQ,3,FALSE())</f>
        <v>1002.0</v>
      </c>
      <c r="BM7" s="1">
        <f t="shared" ref="BM7:BM12" si="19">BD7</f>
        <v>256.0</v>
      </c>
      <c r="BN7" s="1">
        <f t="shared" ref="BN7:BN12" si="20">AW7</f>
        <v>7.4285714285714</v>
      </c>
      <c r="BP7" s="45">
        <f t="shared" ref="BP7:BP12" si="21">BM7+BO7-BN7</f>
        <v>248.57142857142</v>
      </c>
      <c r="BQ7" s="5">
        <f t="shared" ref="BQ7:BQ22" si="22">BP7*BE7</f>
        <v>1165.30285714281</v>
      </c>
      <c r="BR7" s="1">
        <f t="shared" ref="BR7:BR12" si="23">AX7</f>
        <v>9.28571428571427</v>
      </c>
      <c r="BS7" s="1">
        <f t="shared" ref="BS7:BS27" si="24">BG7</f>
      </c>
      <c r="BT7" s="45">
        <f t="shared" ref="BT7:BT12" si="25">BP7+BS7-BR7</f>
        <v>239.285714285706</v>
      </c>
      <c r="BU7" s="5">
        <f t="shared" ref="BU7:BU22" si="26">BT7*BE7</f>
        <v>1121.77142857139</v>
      </c>
      <c r="BV7" s="1">
        <f t="shared" ref="BV7:BV12" si="27">AY7</f>
        <v>10.0</v>
      </c>
      <c r="BW7" s="1">
        <f t="shared" ref="BW7:BW12" si="28">BG7</f>
      </c>
      <c r="BX7" s="45">
        <f t="shared" ref="BX7:BX12" si="29">BT7+BW7-BV7</f>
        <v>229.285714285706</v>
      </c>
      <c r="BY7" s="5">
        <f t="shared" ref="BY7:BY27" si="30">BX7*BE7</f>
        <v>1074.89142857139</v>
      </c>
      <c r="BZ7" s="1">
        <f t="shared" ref="BZ7:BZ27" si="31">AZ7</f>
        <v>13.8571428571428</v>
      </c>
      <c r="CB7" s="45">
        <f t="shared" ref="CB7:CB27" si="32">BX7+CA7-BZ7</f>
        <v>215.428571428563</v>
      </c>
      <c r="CC7" s="5">
        <f t="shared" ref="CC7:CC12" si="33">CB7*BE7</f>
        <v>1009.9291428571</v>
      </c>
      <c r="CD7" s="1">
        <f t="shared" ref="CD7:CD27" si="34">BA7</f>
        <v>6.57142857142858</v>
      </c>
      <c r="CF7" s="45">
        <f t="shared" ref="CF7:CF27" si="35">CB7+CE7-CD7</f>
        <v>208.857142857134</v>
      </c>
      <c r="CG7" s="5">
        <f t="shared" ref="CG7:CG12" si="36">CF7*BE7</f>
        <v>979.122285714244</v>
      </c>
      <c r="CH7" s="1">
        <f t="shared" ref="CH7:CH27" si="37">BB7</f>
        <v>12.8571428571429</v>
      </c>
      <c r="CJ7" s="45">
        <f t="shared" ref="CJ7:CJ27" si="38">CF7+CI7-CH7</f>
        <v>195.999999999991</v>
      </c>
      <c r="CK7" s="5">
        <f t="shared" ref="CK7:CK12" si="39">CJ7*BE7</f>
        <v>918.847999999958</v>
      </c>
    </row>
    <row r="8" ht="17.0">
      <c r="A8" s="41" t="s">
        <v>30</v>
      </c>
      <c r="B8" s="41" t="s">
        <v>31</v>
      </c>
      <c r="C8" s="41" t="s">
        <v>34</v>
      </c>
      <c r="D8" s="42" t="s">
        <v>35</v>
      </c>
      <c r="E8" s="41">
        <v>0.0</v>
      </c>
      <c r="F8" s="41">
        <v>0.0</v>
      </c>
      <c r="G8" s="41">
        <v>0.0</v>
      </c>
      <c r="H8" s="41">
        <v>0.0</v>
      </c>
      <c r="I8" s="41">
        <v>0.0</v>
      </c>
      <c r="J8" s="41">
        <v>0.0</v>
      </c>
      <c r="K8" s="41">
        <v>0.0</v>
      </c>
      <c r="L8" s="41">
        <v>0.0</v>
      </c>
      <c r="M8" s="41">
        <v>0.0</v>
      </c>
      <c r="N8" s="41">
        <v>0.0</v>
      </c>
      <c r="O8" s="41">
        <v>42.0</v>
      </c>
      <c r="P8" s="41">
        <v>68.0</v>
      </c>
      <c r="Q8" s="41">
        <v>24.0</v>
      </c>
      <c r="R8" s="41">
        <v>0.0</v>
      </c>
      <c r="S8" s="41">
        <v>4.0</v>
      </c>
      <c r="T8" s="41">
        <v>0.0</v>
      </c>
      <c r="U8" s="41">
        <v>0.0</v>
      </c>
      <c r="V8" s="41">
        <v>0.0</v>
      </c>
      <c r="W8" s="41">
        <v>0.0</v>
      </c>
      <c r="X8" s="41">
        <v>12.0</v>
      </c>
      <c r="Y8" s="41">
        <v>4.0</v>
      </c>
      <c r="Z8" s="41">
        <v>8.0</v>
      </c>
      <c r="AA8" s="41">
        <v>8.0</v>
      </c>
      <c r="AB8" s="41">
        <v>28.0</v>
      </c>
      <c r="AC8" s="41">
        <v>4.0</v>
      </c>
      <c r="AD8" s="41">
        <v>4.0</v>
      </c>
      <c r="AE8" s="41">
        <v>4.0</v>
      </c>
      <c r="AF8" s="41">
        <v>8.0</v>
      </c>
      <c r="AG8" s="41">
        <v>4.0</v>
      </c>
      <c r="AH8" s="41">
        <v>20.0</v>
      </c>
      <c r="AI8" s="41">
        <v>4.0</v>
      </c>
      <c r="AJ8" s="41">
        <v>5.0</v>
      </c>
      <c r="AK8" s="41">
        <v>4.0</v>
      </c>
      <c r="AL8" s="41">
        <v>4.0</v>
      </c>
      <c r="AM8" s="43">
        <v>0.0</v>
      </c>
      <c r="AN8" s="43">
        <v>12.0</v>
      </c>
      <c r="AO8" s="43">
        <v>8.0</v>
      </c>
      <c r="AP8" s="43">
        <v>4.0</v>
      </c>
      <c r="AQ8" s="43">
        <v>8.0</v>
      </c>
      <c r="AR8" s="43">
        <v>8.0</v>
      </c>
      <c r="AS8" s="43">
        <v>5.0</v>
      </c>
      <c r="AT8" s="4">
        <f t="shared" si="4"/>
        <v>82.0</v>
      </c>
      <c r="AU8" s="4">
        <f t="shared" si="5"/>
        <v>37.0</v>
      </c>
      <c r="AV8" s="4">
        <f t="shared" si="6"/>
        <v>40.7</v>
      </c>
      <c r="AW8" s="1">
        <f t="shared" si="7"/>
        <v>7.05714285714283</v>
      </c>
      <c r="AX8" s="1">
        <f t="shared" si="8"/>
        <v>8.82142857142856</v>
      </c>
      <c r="AY8" s="1">
        <f t="shared" si="9"/>
        <v>9.50000000000001</v>
      </c>
      <c r="AZ8" s="1">
        <f t="shared" si="10"/>
        <v>13.1642857142857</v>
      </c>
      <c r="BA8" s="1">
        <f t="shared" si="11"/>
        <v>6.24285714285715</v>
      </c>
      <c r="BB8" s="1">
        <f t="shared" si="12"/>
        <v>12.2142857142857</v>
      </c>
      <c r="BC8" s="4">
        <f t="shared" si="13"/>
        <v>57.0</v>
      </c>
      <c r="BD8" s="3">
        <f>VLOOKUP(D8,FEB23SOH,2,false)</f>
        <v>771.0</v>
      </c>
      <c r="BE8" s="44">
        <f>VLOOKUP(D8,UNITVALUE,4,false)</f>
        <v>4.3896</v>
      </c>
      <c r="BF8" s="44">
        <f t="shared" si="16"/>
        <v>3384.3816</v>
      </c>
      <c r="BI8" s="6">
        <f t="shared" si="17"/>
        <v>714.0</v>
      </c>
      <c r="BJ8" s="1">
        <f>VLOOKUP(C8,MOQ,3,FALSE())</f>
        <v>1002.0</v>
      </c>
      <c r="BM8" s="1">
        <f t="shared" si="19"/>
        <v>771.0</v>
      </c>
      <c r="BN8" s="1">
        <f t="shared" si="20"/>
        <v>7.05714285714283</v>
      </c>
      <c r="BP8" s="45">
        <f t="shared" si="21"/>
        <v>763.942857142857</v>
      </c>
      <c r="BQ8" s="5">
        <f t="shared" si="22"/>
        <v>3353.40356571428</v>
      </c>
      <c r="BR8" s="1">
        <f t="shared" si="23"/>
        <v>8.82142857142856</v>
      </c>
      <c r="BS8" s="1">
        <f t="shared" si="24"/>
      </c>
      <c r="BT8" s="45">
        <f t="shared" si="25"/>
        <v>755.121428571428</v>
      </c>
      <c r="BU8" s="5">
        <f t="shared" si="26"/>
        <v>3314.68102285714</v>
      </c>
      <c r="BV8" s="1">
        <f t="shared" si="27"/>
        <v>9.50000000000001</v>
      </c>
      <c r="BW8" s="1">
        <f t="shared" si="28"/>
      </c>
      <c r="BX8" s="45">
        <f t="shared" si="29"/>
        <v>745.621428571428</v>
      </c>
      <c r="BY8" s="5">
        <f t="shared" si="30"/>
        <v>3272.97982285714</v>
      </c>
      <c r="BZ8" s="1">
        <f t="shared" si="31"/>
        <v>13.1642857142857</v>
      </c>
      <c r="CB8" s="45">
        <f t="shared" si="32"/>
        <v>732.457142857142</v>
      </c>
      <c r="CC8" s="5">
        <f t="shared" si="33"/>
        <v>3215.19387428571</v>
      </c>
      <c r="CD8" s="1">
        <f t="shared" si="34"/>
        <v>6.24285714285715</v>
      </c>
      <c r="CF8" s="45">
        <f t="shared" si="35"/>
        <v>726.214285714284</v>
      </c>
      <c r="CG8" s="5">
        <f t="shared" si="36"/>
        <v>3187.79022857142</v>
      </c>
      <c r="CH8" s="1">
        <f t="shared" si="37"/>
        <v>12.2142857142857</v>
      </c>
      <c r="CJ8" s="45">
        <f t="shared" si="38"/>
        <v>713.999999999998</v>
      </c>
      <c r="CK8" s="5">
        <f t="shared" si="39"/>
        <v>3134.17439999999</v>
      </c>
    </row>
    <row r="9" ht="17.0">
      <c r="A9" s="41" t="s">
        <v>30</v>
      </c>
      <c r="B9" s="41" t="s">
        <v>31</v>
      </c>
      <c r="C9" s="41" t="s">
        <v>36</v>
      </c>
      <c r="D9" s="42" t="s">
        <v>37</v>
      </c>
      <c r="E9" s="41">
        <v>0.0</v>
      </c>
      <c r="F9" s="41">
        <v>0.0</v>
      </c>
      <c r="G9" s="41">
        <v>0.0</v>
      </c>
      <c r="H9" s="41">
        <v>0.0</v>
      </c>
      <c r="I9" s="41">
        <v>0.0</v>
      </c>
      <c r="J9" s="41">
        <v>0.0</v>
      </c>
      <c r="K9" s="41">
        <v>0.0</v>
      </c>
      <c r="L9" s="41">
        <v>0.0</v>
      </c>
      <c r="M9" s="41">
        <v>0.0</v>
      </c>
      <c r="N9" s="41">
        <v>0.0</v>
      </c>
      <c r="O9" s="41">
        <v>81.0</v>
      </c>
      <c r="P9" s="41">
        <v>116.0</v>
      </c>
      <c r="Q9" s="41">
        <v>44.0</v>
      </c>
      <c r="R9" s="41">
        <v>8.0</v>
      </c>
      <c r="S9" s="41">
        <v>8.0</v>
      </c>
      <c r="T9" s="41">
        <v>4.0</v>
      </c>
      <c r="U9" s="41">
        <v>0.0</v>
      </c>
      <c r="V9" s="41">
        <v>0.0</v>
      </c>
      <c r="W9" s="41">
        <v>0.0</v>
      </c>
      <c r="X9" s="41">
        <v>8.0</v>
      </c>
      <c r="Y9" s="41">
        <v>21.0</v>
      </c>
      <c r="Z9" s="41">
        <v>16.0</v>
      </c>
      <c r="AA9" s="41">
        <v>16.0</v>
      </c>
      <c r="AB9" s="41">
        <v>28.0</v>
      </c>
      <c r="AC9" s="41">
        <v>24.0</v>
      </c>
      <c r="AD9" s="41">
        <v>8.0</v>
      </c>
      <c r="AE9" s="41">
        <v>4.0</v>
      </c>
      <c r="AF9" s="41">
        <v>8.0</v>
      </c>
      <c r="AG9" s="41">
        <v>8.0</v>
      </c>
      <c r="AH9" s="41">
        <v>20.0</v>
      </c>
      <c r="AI9" s="41">
        <v>8.0</v>
      </c>
      <c r="AJ9" s="41">
        <v>5.0</v>
      </c>
      <c r="AK9" s="41">
        <v>24.0</v>
      </c>
      <c r="AL9" s="41">
        <v>4.0</v>
      </c>
      <c r="AM9" s="43">
        <v>0.0</v>
      </c>
      <c r="AN9" s="43">
        <v>4.0</v>
      </c>
      <c r="AO9" s="43">
        <v>4.0</v>
      </c>
      <c r="AP9" s="43">
        <v>32.0</v>
      </c>
      <c r="AQ9" s="43">
        <v>16.0</v>
      </c>
      <c r="AR9" s="43">
        <v>8.0</v>
      </c>
      <c r="AS9" s="43">
        <v>24.0</v>
      </c>
      <c r="AT9" s="4">
        <f t="shared" si="4"/>
        <v>149.0</v>
      </c>
      <c r="AU9" s="4">
        <f t="shared" si="5"/>
        <v>61.0</v>
      </c>
      <c r="AV9" s="4">
        <f t="shared" si="6"/>
        <v>67.1</v>
      </c>
      <c r="AW9" s="1">
        <f t="shared" si="7"/>
        <v>10.0285714285714</v>
      </c>
      <c r="AX9" s="1">
        <f t="shared" si="8"/>
        <v>12.5357142857142</v>
      </c>
      <c r="AY9" s="1">
        <f t="shared" si="9"/>
        <v>13.5</v>
      </c>
      <c r="AZ9" s="1">
        <f t="shared" si="10"/>
        <v>18.7071428571428</v>
      </c>
      <c r="BA9" s="1">
        <f t="shared" si="11"/>
        <v>8.87142857142858</v>
      </c>
      <c r="BB9" s="1">
        <f t="shared" si="12"/>
        <v>17.3571428571429</v>
      </c>
      <c r="BC9" s="4">
        <f t="shared" si="13"/>
        <v>80.9999999999999</v>
      </c>
      <c r="BD9" s="3">
        <f>VLOOKUP(D9,FEB23SOH,2,false)</f>
        <v>650.0</v>
      </c>
      <c r="BE9" s="44">
        <f>VLOOKUP(D9,UNITVALUE,4,false)</f>
        <v>4.568</v>
      </c>
      <c r="BF9" s="44">
        <f t="shared" si="16"/>
        <v>2969.2</v>
      </c>
      <c r="BI9" s="6">
        <f t="shared" si="17"/>
        <v>569.0</v>
      </c>
      <c r="BJ9" s="1">
        <f>VLOOKUP(C9,MOQ,3,FALSE())</f>
        <v>1002.0</v>
      </c>
      <c r="BM9" s="1">
        <f t="shared" si="19"/>
        <v>650.0</v>
      </c>
      <c r="BN9" s="1">
        <f t="shared" si="20"/>
        <v>10.0285714285714</v>
      </c>
      <c r="BP9" s="45">
        <f t="shared" si="21"/>
        <v>639.971428571429</v>
      </c>
      <c r="BQ9" s="5">
        <f t="shared" si="22"/>
        <v>2923.38948571429</v>
      </c>
      <c r="BR9" s="1">
        <f t="shared" si="23"/>
        <v>12.5357142857142</v>
      </c>
      <c r="BS9" s="1">
        <f t="shared" si="24"/>
      </c>
      <c r="BT9" s="45">
        <f t="shared" si="25"/>
        <v>627.435714285714</v>
      </c>
      <c r="BU9" s="5">
        <f t="shared" si="26"/>
        <v>2866.12634285714</v>
      </c>
      <c r="BV9" s="1">
        <f t="shared" si="27"/>
        <v>13.5</v>
      </c>
      <c r="BW9" s="1">
        <f t="shared" si="28"/>
      </c>
      <c r="BX9" s="45">
        <f t="shared" si="29"/>
        <v>613.935714285714</v>
      </c>
      <c r="BY9" s="5">
        <f t="shared" si="30"/>
        <v>2804.45834285714</v>
      </c>
      <c r="BZ9" s="1">
        <f t="shared" si="31"/>
        <v>18.7071428571428</v>
      </c>
      <c r="CB9" s="45">
        <f t="shared" si="32"/>
        <v>595.228571428571</v>
      </c>
      <c r="CC9" s="5">
        <f t="shared" si="33"/>
        <v>2719.00411428571</v>
      </c>
      <c r="CD9" s="1">
        <f t="shared" si="34"/>
        <v>8.87142857142858</v>
      </c>
      <c r="CF9" s="45">
        <f t="shared" si="35"/>
        <v>586.357142857142</v>
      </c>
      <c r="CG9" s="5">
        <f t="shared" si="36"/>
        <v>2678.47942857142</v>
      </c>
      <c r="CH9" s="1">
        <f t="shared" si="37"/>
        <v>17.3571428571429</v>
      </c>
      <c r="CJ9" s="45">
        <f t="shared" si="38"/>
        <v>568.999999999999</v>
      </c>
      <c r="CK9" s="5">
        <f t="shared" si="39"/>
        <v>2599.192</v>
      </c>
    </row>
    <row r="10" ht="17.0">
      <c r="A10" s="41" t="s">
        <v>30</v>
      </c>
      <c r="B10" s="41" t="s">
        <v>31</v>
      </c>
      <c r="C10" s="41" t="s">
        <v>38</v>
      </c>
      <c r="D10" s="42" t="s">
        <v>39</v>
      </c>
      <c r="E10" s="41">
        <v>0.0</v>
      </c>
      <c r="F10" s="41">
        <v>0.0</v>
      </c>
      <c r="G10" s="41">
        <v>0.0</v>
      </c>
      <c r="H10" s="41">
        <v>0.0</v>
      </c>
      <c r="I10" s="41">
        <v>0.0</v>
      </c>
      <c r="J10" s="41">
        <v>0.0</v>
      </c>
      <c r="K10" s="41">
        <v>0.0</v>
      </c>
      <c r="L10" s="41">
        <v>0.0</v>
      </c>
      <c r="M10" s="41">
        <v>0.0</v>
      </c>
      <c r="N10" s="41">
        <v>0.0</v>
      </c>
      <c r="O10" s="41">
        <v>93.0</v>
      </c>
      <c r="P10" s="41">
        <v>120.0</v>
      </c>
      <c r="Q10" s="41">
        <v>100.0</v>
      </c>
      <c r="R10" s="41">
        <v>52.0</v>
      </c>
      <c r="S10" s="41">
        <v>20.0</v>
      </c>
      <c r="T10" s="41">
        <v>16.0</v>
      </c>
      <c r="U10" s="41">
        <v>16.0</v>
      </c>
      <c r="V10" s="41">
        <v>28.0</v>
      </c>
      <c r="W10" s="41">
        <v>20.0</v>
      </c>
      <c r="X10" s="41">
        <v>12.0</v>
      </c>
      <c r="Y10" s="41">
        <v>20.0</v>
      </c>
      <c r="Z10" s="41">
        <v>12.0</v>
      </c>
      <c r="AA10" s="41">
        <v>29.0</v>
      </c>
      <c r="AB10" s="41">
        <v>32.0</v>
      </c>
      <c r="AC10" s="41">
        <v>8.0</v>
      </c>
      <c r="AD10" s="41">
        <v>32.0</v>
      </c>
      <c r="AE10" s="41">
        <v>8.0</v>
      </c>
      <c r="AF10" s="41">
        <v>12.0</v>
      </c>
      <c r="AG10" s="41">
        <v>8.0</v>
      </c>
      <c r="AH10" s="41">
        <v>20.0</v>
      </c>
      <c r="AI10" s="41">
        <v>8.0</v>
      </c>
      <c r="AJ10" s="41">
        <v>12.0</v>
      </c>
      <c r="AK10" s="41">
        <v>12.0</v>
      </c>
      <c r="AL10" s="41">
        <v>12.0</v>
      </c>
      <c r="AM10" s="43">
        <v>8.0</v>
      </c>
      <c r="AN10" s="43">
        <v>4.0</v>
      </c>
      <c r="AO10" s="43">
        <v>16.0</v>
      </c>
      <c r="AP10" s="43">
        <v>20.0</v>
      </c>
      <c r="AQ10" s="43">
        <v>8.0</v>
      </c>
      <c r="AR10" s="43">
        <v>4.0</v>
      </c>
      <c r="AS10" s="43">
        <v>44.0</v>
      </c>
      <c r="AT10" s="4">
        <f t="shared" si="4"/>
        <v>168.0</v>
      </c>
      <c r="AU10" s="4">
        <f t="shared" si="5"/>
        <v>72.0</v>
      </c>
      <c r="AV10" s="4">
        <f t="shared" si="6"/>
        <v>79.2</v>
      </c>
      <c r="AW10" s="1">
        <f t="shared" si="7"/>
        <v>11.3904761904761</v>
      </c>
      <c r="AX10" s="1">
        <f t="shared" si="8"/>
        <v>14.2380952380951</v>
      </c>
      <c r="AY10" s="1">
        <f t="shared" si="9"/>
        <v>15.3333333333333</v>
      </c>
      <c r="AZ10" s="1">
        <f t="shared" si="10"/>
        <v>21.247619047619</v>
      </c>
      <c r="BA10" s="1">
        <f t="shared" si="11"/>
        <v>10.0761904761904</v>
      </c>
      <c r="BB10" s="1">
        <f t="shared" si="12"/>
        <v>19.7142857142857</v>
      </c>
      <c r="BC10" s="4">
        <f t="shared" si="13"/>
        <v>91.9999999999996</v>
      </c>
      <c r="BD10" s="3">
        <f>VLOOKUP(D10,FEB23SOH,2,false)</f>
        <v>103.0</v>
      </c>
      <c r="BE10" s="44">
        <f>VLOOKUP(D10,UNITVALUE,4,false)</f>
        <v>4.4079</v>
      </c>
      <c r="BF10" s="44">
        <f t="shared" si="16"/>
        <v>454.0137</v>
      </c>
      <c r="BI10" s="6">
        <f t="shared" si="17"/>
        <v>11.0000000000003</v>
      </c>
      <c r="BJ10" s="1">
        <f>VLOOKUP(C10,MOQ,3,FALSE())</f>
        <v>1002.0</v>
      </c>
      <c r="BM10" s="1">
        <f t="shared" si="19"/>
        <v>103.0</v>
      </c>
      <c r="BN10" s="1">
        <f t="shared" si="20"/>
        <v>11.3904761904761</v>
      </c>
      <c r="BP10" s="45">
        <f t="shared" si="21"/>
        <v>91.609523809523</v>
      </c>
      <c r="BQ10" s="5">
        <f t="shared" si="22"/>
        <v>403.805619999996</v>
      </c>
      <c r="BR10" s="1">
        <f t="shared" si="23"/>
        <v>14.2380952380951</v>
      </c>
      <c r="BS10" s="1">
        <f t="shared" si="24"/>
      </c>
      <c r="BT10" s="45">
        <f t="shared" si="25"/>
        <v>77.3714285714279</v>
      </c>
      <c r="BU10" s="5">
        <f t="shared" si="26"/>
        <v>341.045519999997</v>
      </c>
      <c r="BV10" s="1">
        <f t="shared" si="27"/>
        <v>15.3333333333333</v>
      </c>
      <c r="BW10" s="1">
        <f t="shared" si="28"/>
      </c>
      <c r="BX10" s="45">
        <f t="shared" si="29"/>
        <v>62.0380952380946</v>
      </c>
      <c r="BY10" s="5">
        <f t="shared" si="30"/>
        <v>273.457719999997</v>
      </c>
      <c r="BZ10" s="1">
        <f t="shared" si="31"/>
        <v>21.247619047619</v>
      </c>
      <c r="CB10" s="45">
        <f t="shared" si="32"/>
        <v>40.7904761904756</v>
      </c>
      <c r="CC10" s="5">
        <f t="shared" si="33"/>
        <v>179.800339999997</v>
      </c>
      <c r="CD10" s="1">
        <f t="shared" si="34"/>
        <v>10.0761904761904</v>
      </c>
      <c r="CF10" s="45">
        <f t="shared" si="35"/>
        <v>30.7142857142852</v>
      </c>
      <c r="CG10" s="5">
        <f t="shared" si="36"/>
        <v>135.385499999998</v>
      </c>
      <c r="CH10" s="1">
        <f t="shared" si="37"/>
        <v>19.7142857142857</v>
      </c>
      <c r="CJ10" s="45">
        <f t="shared" si="38"/>
        <v>10.9999999999994</v>
      </c>
      <c r="CK10" s="5">
        <f t="shared" si="39"/>
        <v>48.4868999999973</v>
      </c>
    </row>
    <row r="11" ht="17.0">
      <c r="A11" s="41" t="s">
        <v>30</v>
      </c>
      <c r="B11" s="41" t="s">
        <v>31</v>
      </c>
      <c r="C11" s="41" t="s">
        <v>40</v>
      </c>
      <c r="D11" s="42" t="s">
        <v>41</v>
      </c>
      <c r="E11" s="41">
        <v>0.0</v>
      </c>
      <c r="F11" s="41">
        <v>0.0</v>
      </c>
      <c r="G11" s="41">
        <v>0.0</v>
      </c>
      <c r="H11" s="41">
        <v>0.0</v>
      </c>
      <c r="I11" s="41">
        <v>0.0</v>
      </c>
      <c r="J11" s="41">
        <v>0.0</v>
      </c>
      <c r="K11" s="41">
        <v>0.0</v>
      </c>
      <c r="L11" s="41">
        <v>0.0</v>
      </c>
      <c r="M11" s="41">
        <v>0.0</v>
      </c>
      <c r="N11" s="41">
        <v>0.0</v>
      </c>
      <c r="O11" s="41">
        <v>81.0</v>
      </c>
      <c r="P11" s="41">
        <v>96.0</v>
      </c>
      <c r="Q11" s="41">
        <v>36.0</v>
      </c>
      <c r="R11" s="41">
        <v>12.0</v>
      </c>
      <c r="S11" s="41">
        <v>4.0</v>
      </c>
      <c r="T11" s="41">
        <v>0.0</v>
      </c>
      <c r="U11" s="41">
        <v>8.0</v>
      </c>
      <c r="V11" s="41">
        <v>0.0</v>
      </c>
      <c r="W11" s="41">
        <v>0.0</v>
      </c>
      <c r="X11" s="41">
        <v>8.0</v>
      </c>
      <c r="Y11" s="41">
        <v>16.0</v>
      </c>
      <c r="Z11" s="41">
        <v>16.0</v>
      </c>
      <c r="AA11" s="41">
        <v>16.0</v>
      </c>
      <c r="AB11" s="41">
        <v>32.0</v>
      </c>
      <c r="AC11" s="41">
        <v>20.0</v>
      </c>
      <c r="AD11" s="41">
        <v>16.0</v>
      </c>
      <c r="AE11" s="41">
        <v>12.0</v>
      </c>
      <c r="AF11" s="41">
        <v>8.0</v>
      </c>
      <c r="AG11" s="41">
        <v>8.0</v>
      </c>
      <c r="AH11" s="41">
        <v>23.0</v>
      </c>
      <c r="AI11" s="41">
        <v>16.0</v>
      </c>
      <c r="AJ11" s="41">
        <v>9.0</v>
      </c>
      <c r="AK11" s="41">
        <v>4.0</v>
      </c>
      <c r="AL11" s="41">
        <v>16.0</v>
      </c>
      <c r="AM11" s="43">
        <v>16.0</v>
      </c>
      <c r="AN11" s="43">
        <v>24.0</v>
      </c>
      <c r="AO11" s="43">
        <v>16.0</v>
      </c>
      <c r="AP11" s="43">
        <v>24.0</v>
      </c>
      <c r="AQ11" s="43">
        <v>8.0</v>
      </c>
      <c r="AR11" s="43">
        <v>-4.0</v>
      </c>
      <c r="AS11" s="43">
        <v>15.0</v>
      </c>
      <c r="AT11" s="4">
        <f t="shared" si="4"/>
        <v>167.0</v>
      </c>
      <c r="AU11" s="4">
        <f t="shared" si="5"/>
        <v>84.0</v>
      </c>
      <c r="AV11" s="4">
        <f t="shared" si="6"/>
        <v>92.4</v>
      </c>
      <c r="AW11" s="1">
        <f t="shared" si="7"/>
        <v>12.8761904761904</v>
      </c>
      <c r="AX11" s="1">
        <f t="shared" si="8"/>
        <v>16.095238095238</v>
      </c>
      <c r="AY11" s="1">
        <f t="shared" si="9"/>
        <v>17.3333333333333</v>
      </c>
      <c r="AZ11" s="1">
        <f t="shared" si="10"/>
        <v>24.0190476190476</v>
      </c>
      <c r="BA11" s="1">
        <f t="shared" si="11"/>
        <v>11.3904761904762</v>
      </c>
      <c r="BB11" s="1">
        <f t="shared" si="12"/>
        <v>22.2857142857142</v>
      </c>
      <c r="BC11" s="4">
        <f t="shared" si="13"/>
        <v>104.0</v>
      </c>
      <c r="BD11" s="3">
        <f>VLOOKUP(D11,FEB23SOH,2,false)</f>
        <v>620.0</v>
      </c>
      <c r="BE11" s="44">
        <f>VLOOKUP(D11,UNITVALUE,4,false)</f>
        <v>4.1787</v>
      </c>
      <c r="BF11" s="44">
        <f t="shared" si="16"/>
        <v>2590.794</v>
      </c>
      <c r="BI11" s="6">
        <f t="shared" si="17"/>
        <v>516.0</v>
      </c>
      <c r="BJ11" s="1">
        <f>VLOOKUP(C11,MOQ,3,FALSE())</f>
        <v>1002.0</v>
      </c>
      <c r="BM11" s="1">
        <f t="shared" si="19"/>
        <v>620.0</v>
      </c>
      <c r="BN11" s="1">
        <f t="shared" si="20"/>
        <v>12.8761904761904</v>
      </c>
      <c r="BP11" s="45">
        <f t="shared" si="21"/>
        <v>607.12380952381</v>
      </c>
      <c r="BQ11" s="5">
        <f t="shared" si="22"/>
        <v>2536.98826285714</v>
      </c>
      <c r="BR11" s="1">
        <f t="shared" si="23"/>
        <v>16.095238095238</v>
      </c>
      <c r="BS11" s="1">
        <f t="shared" si="24"/>
      </c>
      <c r="BT11" s="45">
        <f t="shared" si="25"/>
        <v>591.028571428572</v>
      </c>
      <c r="BU11" s="5">
        <f t="shared" si="26"/>
        <v>2469.73109142857</v>
      </c>
      <c r="BV11" s="1">
        <f t="shared" si="27"/>
        <v>17.3333333333333</v>
      </c>
      <c r="BW11" s="1">
        <f t="shared" si="28"/>
      </c>
      <c r="BX11" s="45">
        <f t="shared" si="29"/>
        <v>573.695238095239</v>
      </c>
      <c r="BY11" s="5">
        <f t="shared" si="30"/>
        <v>2397.30029142858</v>
      </c>
      <c r="BZ11" s="1">
        <f t="shared" si="31"/>
        <v>24.0190476190476</v>
      </c>
      <c r="CB11" s="45">
        <f t="shared" si="32"/>
        <v>549.676190476191</v>
      </c>
      <c r="CC11" s="5">
        <f t="shared" si="33"/>
        <v>2296.93189714286</v>
      </c>
      <c r="CD11" s="1">
        <f t="shared" si="34"/>
        <v>11.3904761904762</v>
      </c>
      <c r="CF11" s="45">
        <f t="shared" si="35"/>
        <v>538.285714285714</v>
      </c>
      <c r="CG11" s="5">
        <f t="shared" si="36"/>
        <v>2249.33451428571</v>
      </c>
      <c r="CH11" s="1">
        <f t="shared" si="37"/>
        <v>22.2857142857142</v>
      </c>
      <c r="CJ11" s="45">
        <f t="shared" si="38"/>
        <v>516.0</v>
      </c>
      <c r="CK11" s="5">
        <f t="shared" si="39"/>
        <v>2156.2092</v>
      </c>
    </row>
    <row r="12" ht="17.0">
      <c r="A12" s="41" t="s">
        <v>30</v>
      </c>
      <c r="B12" s="41" t="s">
        <v>31</v>
      </c>
      <c r="C12" s="41" t="s">
        <v>42</v>
      </c>
      <c r="D12" s="42" t="s">
        <v>43</v>
      </c>
      <c r="E12" s="41">
        <v>0.0</v>
      </c>
      <c r="F12" s="41">
        <v>0.0</v>
      </c>
      <c r="G12" s="41">
        <v>0.0</v>
      </c>
      <c r="H12" s="41">
        <v>0.0</v>
      </c>
      <c r="I12" s="41">
        <v>0.0</v>
      </c>
      <c r="J12" s="41">
        <v>0.0</v>
      </c>
      <c r="K12" s="41">
        <v>0.0</v>
      </c>
      <c r="L12" s="41">
        <v>0.0</v>
      </c>
      <c r="M12" s="41">
        <v>0.0</v>
      </c>
      <c r="N12" s="41">
        <v>0.0</v>
      </c>
      <c r="O12" s="41">
        <v>37.0</v>
      </c>
      <c r="P12" s="41">
        <v>92.0</v>
      </c>
      <c r="Q12" s="41">
        <v>96.0</v>
      </c>
      <c r="R12" s="41">
        <v>52.0</v>
      </c>
      <c r="S12" s="41">
        <v>8.0</v>
      </c>
      <c r="T12" s="41">
        <v>12.0</v>
      </c>
      <c r="U12" s="41">
        <v>16.0</v>
      </c>
      <c r="V12" s="41">
        <v>32.0</v>
      </c>
      <c r="W12" s="41">
        <v>8.0</v>
      </c>
      <c r="X12" s="41">
        <v>17.0</v>
      </c>
      <c r="Y12" s="41">
        <v>16.0</v>
      </c>
      <c r="Z12" s="41">
        <v>8.0</v>
      </c>
      <c r="AA12" s="41">
        <v>8.0</v>
      </c>
      <c r="AB12" s="41">
        <v>16.0</v>
      </c>
      <c r="AC12" s="41">
        <v>8.0</v>
      </c>
      <c r="AD12" s="41">
        <v>12.0</v>
      </c>
      <c r="AE12" s="41">
        <v>16.0</v>
      </c>
      <c r="AF12" s="41">
        <v>4.0</v>
      </c>
      <c r="AG12" s="41">
        <v>4.0</v>
      </c>
      <c r="AH12" s="41">
        <v>12.0</v>
      </c>
      <c r="AI12" s="41">
        <v>0.0</v>
      </c>
      <c r="AJ12" s="41">
        <v>5.0</v>
      </c>
      <c r="AK12" s="41">
        <v>0.0</v>
      </c>
      <c r="AL12" s="41">
        <v>0.0</v>
      </c>
      <c r="AM12" s="43">
        <v>0.0</v>
      </c>
      <c r="AN12" s="43">
        <v>12.0</v>
      </c>
      <c r="AO12" s="43">
        <v>4.0</v>
      </c>
      <c r="AP12" s="43">
        <v>4.0</v>
      </c>
      <c r="AQ12" s="43">
        <v>12.0</v>
      </c>
      <c r="AR12" s="43">
        <v>4.0</v>
      </c>
      <c r="AS12" s="43">
        <v>19.0</v>
      </c>
      <c r="AT12" s="4">
        <f t="shared" si="4"/>
        <v>72.0</v>
      </c>
      <c r="AU12" s="4">
        <f t="shared" si="5"/>
        <v>17.0</v>
      </c>
      <c r="AV12" s="4">
        <f t="shared" si="6"/>
        <v>18.7</v>
      </c>
      <c r="AW12" s="1">
        <f t="shared" si="7"/>
        <v>4.5809523809523</v>
      </c>
      <c r="AX12" s="1">
        <f t="shared" si="8"/>
        <v>5.72619047619046</v>
      </c>
      <c r="AY12" s="1">
        <f t="shared" si="9"/>
        <v>6.16666666666667</v>
      </c>
      <c r="AZ12" s="1">
        <f t="shared" si="10"/>
        <v>8.54523809523808</v>
      </c>
      <c r="BA12" s="1">
        <f t="shared" si="11"/>
        <v>4.05238095238096</v>
      </c>
      <c r="BB12" s="1">
        <f t="shared" si="12"/>
        <v>7.92857142857142</v>
      </c>
      <c r="BC12" s="4">
        <f t="shared" si="13"/>
        <v>36.9999999999999</v>
      </c>
      <c r="BD12" s="3">
        <f>VLOOKUP(D12,FEB23SOH,2,false)</f>
        <v>370.0</v>
      </c>
      <c r="BE12" s="44">
        <f>VLOOKUP(D12,UNITVALUE,4,false)</f>
        <v>4.0451</v>
      </c>
      <c r="BF12" s="44">
        <f t="shared" si="16"/>
        <v>1496.687</v>
      </c>
      <c r="BI12" s="6">
        <f t="shared" si="17"/>
        <v>333.0</v>
      </c>
      <c r="BJ12" s="1">
        <f>VLOOKUP(C12,MOQ,3,FALSE())</f>
        <v>1002.0</v>
      </c>
      <c r="BM12" s="1">
        <f t="shared" si="19"/>
        <v>370.0</v>
      </c>
      <c r="BN12" s="1">
        <f t="shared" si="20"/>
        <v>4.5809523809523</v>
      </c>
      <c r="BP12" s="45">
        <f t="shared" si="21"/>
        <v>365.419047619048</v>
      </c>
      <c r="BQ12" s="5">
        <f t="shared" si="22"/>
        <v>1478.15658952381</v>
      </c>
      <c r="BR12" s="1">
        <f t="shared" si="23"/>
        <v>5.72619047619046</v>
      </c>
      <c r="BS12" s="1">
        <f t="shared" si="24"/>
      </c>
      <c r="BT12" s="45">
        <f t="shared" si="25"/>
        <v>359.69285714286</v>
      </c>
      <c r="BU12" s="5">
        <f t="shared" si="26"/>
        <v>1454.99357642858</v>
      </c>
      <c r="BV12" s="1">
        <f t="shared" si="27"/>
        <v>6.16666666666667</v>
      </c>
      <c r="BW12" s="1">
        <f t="shared" si="28"/>
      </c>
      <c r="BX12" s="45">
        <f t="shared" si="29"/>
        <v>353.526190476193</v>
      </c>
      <c r="BY12" s="5">
        <f t="shared" si="30"/>
        <v>1430.04879309524</v>
      </c>
      <c r="BZ12" s="1">
        <f t="shared" si="31"/>
        <v>8.54523809523808</v>
      </c>
      <c r="CB12" s="45">
        <f t="shared" si="32"/>
        <v>344.980952380954</v>
      </c>
      <c r="CC12" s="5">
        <f t="shared" si="33"/>
        <v>1395.4824504762</v>
      </c>
      <c r="CD12" s="1">
        <f t="shared" si="34"/>
        <v>4.05238095238096</v>
      </c>
      <c r="CF12" s="45">
        <f t="shared" si="35"/>
        <v>340.928571428573</v>
      </c>
      <c r="CG12" s="5">
        <f t="shared" si="36"/>
        <v>1379.09016428572</v>
      </c>
      <c r="CH12" s="1">
        <f t="shared" si="37"/>
        <v>7.92857142857142</v>
      </c>
      <c r="CJ12" s="45">
        <f t="shared" si="38"/>
        <v>333.000000000001</v>
      </c>
      <c r="CK12" s="5">
        <f t="shared" si="39"/>
        <v>1347.0183</v>
      </c>
    </row>
    <row r="13" ht="17.0">
      <c r="A13" s="46" t="s">
        <v>30</v>
      </c>
      <c r="B13" s="46" t="s">
        <v>31</v>
      </c>
      <c r="C13" s="46" t="s">
        <v>44</v>
      </c>
      <c r="D13" s="47" t="s">
        <v>45</v>
      </c>
      <c r="E13" s="41">
        <v>0.0</v>
      </c>
      <c r="F13" s="41">
        <v>0.0</v>
      </c>
      <c r="G13" s="41">
        <v>0.0</v>
      </c>
      <c r="H13" s="41">
        <v>0.0</v>
      </c>
      <c r="I13" s="41">
        <v>0.0</v>
      </c>
      <c r="J13" s="41">
        <v>0.0</v>
      </c>
      <c r="K13" s="41">
        <v>0.0</v>
      </c>
      <c r="L13" s="41">
        <v>0.0</v>
      </c>
      <c r="M13" s="41">
        <v>0.0</v>
      </c>
      <c r="N13" s="41">
        <v>0.0</v>
      </c>
      <c r="O13" s="41">
        <v>0.0</v>
      </c>
      <c r="P13" s="41">
        <v>5.0</v>
      </c>
      <c r="Q13" s="41">
        <v>3.0</v>
      </c>
      <c r="R13" s="41">
        <v>4.0</v>
      </c>
      <c r="S13" s="41">
        <v>0.0</v>
      </c>
      <c r="T13" s="41">
        <v>2.0</v>
      </c>
      <c r="U13" s="41">
        <v>1.0</v>
      </c>
      <c r="V13" s="41">
        <v>1.0</v>
      </c>
      <c r="W13" s="41">
        <v>3.0</v>
      </c>
      <c r="X13" s="41">
        <v>1.0</v>
      </c>
      <c r="Y13" s="41">
        <v>0.0</v>
      </c>
      <c r="Z13" s="41">
        <v>1.0</v>
      </c>
      <c r="AA13" s="41">
        <v>4.0</v>
      </c>
      <c r="AB13" s="41">
        <v>4.0</v>
      </c>
      <c r="AC13" s="41">
        <v>1.0</v>
      </c>
      <c r="AD13" s="41">
        <v>3.0</v>
      </c>
      <c r="AE13" s="41">
        <v>0.0</v>
      </c>
      <c r="AF13" s="41">
        <v>1.0</v>
      </c>
      <c r="AG13" s="41">
        <v>2.0</v>
      </c>
      <c r="AH13" s="41">
        <v>1.0</v>
      </c>
      <c r="AI13" s="41">
        <v>1.0</v>
      </c>
      <c r="AJ13" s="41">
        <v>1.0</v>
      </c>
      <c r="AK13" s="41">
        <v>1.0</v>
      </c>
      <c r="AL13" s="41">
        <v>5.0</v>
      </c>
      <c r="AM13" s="43">
        <v>1.0</v>
      </c>
      <c r="AN13" s="43">
        <v>2.0</v>
      </c>
      <c r="AO13" s="43">
        <v>1.0</v>
      </c>
      <c r="AP13" s="43">
        <v>1.0</v>
      </c>
      <c r="AQ13" s="43">
        <v>2.0</v>
      </c>
      <c r="AR13" s="43">
        <v>0.0</v>
      </c>
      <c r="AS13" s="43">
        <v>1.0</v>
      </c>
      <c r="AT13" s="4">
        <f t="shared" si="4"/>
        <v>17.0</v>
      </c>
      <c r="AU13" s="4">
        <f t="shared" si="5"/>
        <v>10.0</v>
      </c>
      <c r="AV13" s="4">
        <f t="shared" si="6"/>
        <v>11.0</v>
      </c>
      <c r="AW13" s="48">
        <f>AV13*$AW$4/$AV$4</f>
        <v>1.23809523809523</v>
      </c>
      <c r="AX13" s="48">
        <f>AV13*$AX$4/$AV$4</f>
        <v>1.54761904761904</v>
      </c>
      <c r="AY13" s="48">
        <f>AV13*$AY$4/$AV$4</f>
        <v>1.66666666666667</v>
      </c>
      <c r="AZ13" s="48">
        <f>AV13*$AZ$4/$AV$4</f>
        <v>2.3095238095238</v>
      </c>
      <c r="BA13" s="48">
        <f>AV13*$BA$4/$AV$4</f>
        <v>1.0952380952381</v>
      </c>
      <c r="BB13" s="48">
        <f>AV13*$BB$4/$AV$4</f>
        <v>2.14285714285714</v>
      </c>
      <c r="BC13" s="4">
        <f t="shared" si="13"/>
        <v>9.99999999999998</v>
      </c>
      <c r="BD13" s="3">
        <f>VLOOKUP(D13,FEB23SOH,2,false)</f>
        <v>2.0</v>
      </c>
      <c r="BE13" s="44">
        <f>VLOOKUP(D13,UNITVALUE,4,false)</f>
        <v>52.615</v>
      </c>
      <c r="BF13" s="44">
        <f t="shared" si="16"/>
        <v>105.23</v>
      </c>
      <c r="BJ13" s="49">
        <f>VLOOKUP(C13,MOQ,3,FALSE())</f>
      </c>
      <c r="BK13" s="50"/>
      <c r="BP13" s="45"/>
      <c r="BQ13" s="5">
        <f t="shared" si="22"/>
        <v>0.0</v>
      </c>
      <c r="BS13" s="1">
        <f t="shared" si="24"/>
      </c>
      <c r="BT13" s="45"/>
      <c r="BU13" s="5">
        <f t="shared" si="26"/>
        <v>0.0</v>
      </c>
      <c r="BX13" s="45"/>
      <c r="BY13" s="5">
        <f t="shared" si="30"/>
        <v>0.0</v>
      </c>
      <c r="BZ13" s="1">
        <f t="shared" si="31"/>
        <v>2.3095238095238</v>
      </c>
      <c r="CB13" s="45">
        <f t="shared" si="32"/>
        <v>-2.3095238095238</v>
      </c>
      <c r="CC13" s="5"/>
      <c r="CD13" s="1">
        <f t="shared" si="34"/>
        <v>1.0952380952381</v>
      </c>
      <c r="CF13" s="45">
        <f t="shared" si="35"/>
        <v>-3.40476190476188</v>
      </c>
      <c r="CG13" s="5"/>
      <c r="CH13" s="1">
        <f t="shared" si="37"/>
        <v>2.14285714285714</v>
      </c>
      <c r="CJ13" s="45">
        <f t="shared" si="38"/>
        <v>-5.54761904761902</v>
      </c>
      <c r="CK13" s="5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</row>
    <row r="14" ht="17.0">
      <c r="A14" s="41" t="s">
        <v>30</v>
      </c>
      <c r="B14" s="41" t="s">
        <v>46</v>
      </c>
      <c r="C14" s="41" t="s">
        <v>47</v>
      </c>
      <c r="D14" s="42" t="s">
        <v>48</v>
      </c>
      <c r="E14" s="41">
        <v>0.0</v>
      </c>
      <c r="F14" s="41">
        <v>0.0</v>
      </c>
      <c r="G14" s="41">
        <v>0.0</v>
      </c>
      <c r="H14" s="41">
        <v>0.0</v>
      </c>
      <c r="I14" s="41">
        <v>0.0</v>
      </c>
      <c r="J14" s="41">
        <v>0.0</v>
      </c>
      <c r="K14" s="41">
        <v>0.0</v>
      </c>
      <c r="L14" s="41">
        <v>0.0</v>
      </c>
      <c r="M14" s="41">
        <v>0.0</v>
      </c>
      <c r="N14" s="41">
        <v>0.0</v>
      </c>
      <c r="O14" s="41">
        <v>140.0</v>
      </c>
      <c r="P14" s="41">
        <v>65.0</v>
      </c>
      <c r="Q14" s="41">
        <v>78.0</v>
      </c>
      <c r="R14" s="41">
        <v>54.0</v>
      </c>
      <c r="S14" s="41">
        <v>18.0</v>
      </c>
      <c r="T14" s="41">
        <v>6.0</v>
      </c>
      <c r="U14" s="41">
        <v>36.0</v>
      </c>
      <c r="V14" s="41">
        <v>36.0</v>
      </c>
      <c r="W14" s="41">
        <v>24.0</v>
      </c>
      <c r="X14" s="41">
        <v>12.0</v>
      </c>
      <c r="Y14" s="41">
        <v>12.0</v>
      </c>
      <c r="Z14" s="41">
        <v>12.0</v>
      </c>
      <c r="AA14" s="41">
        <v>0.0</v>
      </c>
      <c r="AB14" s="41">
        <v>21.0</v>
      </c>
      <c r="AC14" s="41">
        <v>6.0</v>
      </c>
      <c r="AD14" s="41">
        <v>30.0</v>
      </c>
      <c r="AE14" s="41">
        <v>6.0</v>
      </c>
      <c r="AF14" s="41">
        <v>6.0</v>
      </c>
      <c r="AG14" s="41">
        <v>6.0</v>
      </c>
      <c r="AH14" s="41">
        <v>6.0</v>
      </c>
      <c r="AI14" s="41">
        <v>6.0</v>
      </c>
      <c r="AJ14" s="41">
        <v>6.0</v>
      </c>
      <c r="AK14" s="41">
        <v>12.0</v>
      </c>
      <c r="AL14" s="41">
        <v>6.0</v>
      </c>
      <c r="AM14" s="43">
        <v>6.0</v>
      </c>
      <c r="AN14" s="43">
        <v>6.0</v>
      </c>
      <c r="AO14" s="43">
        <v>24.0</v>
      </c>
      <c r="AP14" s="43">
        <v>18.0</v>
      </c>
      <c r="AQ14" s="43">
        <v>12.0</v>
      </c>
      <c r="AR14" s="43">
        <v>0.0</v>
      </c>
      <c r="AS14" s="43">
        <v>7.0</v>
      </c>
      <c r="AT14" s="4">
        <f t="shared" si="4"/>
        <v>109.0</v>
      </c>
      <c r="AU14" s="4">
        <f t="shared" si="5"/>
        <v>42.0</v>
      </c>
      <c r="AV14" s="4">
        <f t="shared" si="6"/>
        <v>46.2</v>
      </c>
      <c r="AW14" s="1">
        <f t="shared" ref="AW14:AW19" si="46">AV14*$AW$4/$AV$4+2*$AW$20+6*$AW$21</f>
        <v>9.4095238095238</v>
      </c>
      <c r="AX14" s="1">
        <f t="shared" ref="AX14:AX19" si="47">AV14*$AX$4/$AV$4+2*$AX$20+6*$AX$21</f>
        <v>11.7619047619047</v>
      </c>
      <c r="AY14" s="1">
        <f t="shared" ref="AY14:AY19" si="48">AV14*$AY$4/$AV$4+2*$AY$20+6*$AY$21</f>
        <v>12.6666666666667</v>
      </c>
      <c r="AZ14" s="1">
        <f t="shared" ref="AZ14:AZ19" si="49">AV14*$AZ$4/$AV$4+2*$AZ$20+6*$AZ$21</f>
        <v>17.5523809523809</v>
      </c>
      <c r="BA14" s="1">
        <f t="shared" ref="BA14:BA19" si="50">AV14*$BA$4/$AV$4+2*$BA$20+6*$BA$21</f>
        <v>8.32380952380951</v>
      </c>
      <c r="BB14" s="1">
        <f t="shared" ref="BB14:BB19" si="51">AV14*$BB$4/$AV$4+2*$BB$20+6*$BB$21</f>
        <v>16.2857142857142</v>
      </c>
      <c r="BC14" s="4">
        <f t="shared" si="13"/>
        <v>75.9999999999998</v>
      </c>
      <c r="BD14" s="3">
        <f>VLOOKUP(D14,FEB23SOH,2,false)</f>
        <v>968.0</v>
      </c>
      <c r="BE14" s="44">
        <f>VLOOKUP(D14,UNITVALUE,4,false)</f>
        <v>2.2029</v>
      </c>
      <c r="BF14" s="44">
        <f t="shared" si="16"/>
        <v>2132.4072</v>
      </c>
      <c r="BI14" s="6">
        <f t="shared" ref="BI14:BI19" si="52">BD14+BG14+BH14-BC14</f>
        <v>892.0</v>
      </c>
      <c r="BJ14" s="1">
        <f>VLOOKUP(C14,MOQ,3,FALSE())</f>
        <v>1002.0</v>
      </c>
      <c r="BM14" s="1">
        <f t="shared" ref="BM14:BM19" si="53">BD14</f>
        <v>968.0</v>
      </c>
      <c r="BN14" s="1">
        <f t="shared" ref="BN14:BN19" si="54">AW14</f>
        <v>9.4095238095238</v>
      </c>
      <c r="BP14" s="45">
        <f t="shared" ref="BP14:BP19" si="55">BM14+BO14-BN14</f>
        <v>958.590476190476</v>
      </c>
      <c r="BQ14" s="5">
        <f t="shared" si="22"/>
        <v>2111.67896</v>
      </c>
      <c r="BR14" s="1">
        <f t="shared" ref="BR14:BR19" si="56">AX14</f>
        <v>11.7619047619047</v>
      </c>
      <c r="BS14" s="1">
        <f t="shared" si="24"/>
      </c>
      <c r="BT14" s="45">
        <f t="shared" ref="BT14:BT19" si="57">BP14+BS14-BR14</f>
        <v>946.828571428571</v>
      </c>
      <c r="BU14" s="5">
        <f t="shared" si="26"/>
        <v>2085.76866</v>
      </c>
      <c r="BV14" s="1">
        <f t="shared" ref="BV14:BV19" si="58">AY14</f>
        <v>12.6666666666667</v>
      </c>
      <c r="BW14" s="1">
        <f t="shared" ref="BW14:BW19" si="59">BG14</f>
      </c>
      <c r="BX14" s="45">
        <f t="shared" ref="BX14:BX19" si="60">BT14+BW14-BV14</f>
        <v>934.161904761904</v>
      </c>
      <c r="BY14" s="5">
        <f t="shared" si="30"/>
        <v>2057.86526</v>
      </c>
      <c r="BZ14" s="1">
        <f t="shared" si="31"/>
        <v>17.5523809523809</v>
      </c>
      <c r="CB14" s="45">
        <f t="shared" si="32"/>
        <v>916.609523809523</v>
      </c>
      <c r="CC14" s="5">
        <f t="shared" ref="CC14:CC19" si="61">CB14*BE14</f>
        <v>2019.19912</v>
      </c>
      <c r="CD14" s="1">
        <f t="shared" si="34"/>
        <v>8.32380952380951</v>
      </c>
      <c r="CF14" s="45">
        <f t="shared" si="35"/>
        <v>908.285714285713</v>
      </c>
      <c r="CG14" s="5">
        <f t="shared" ref="CG14:CG19" si="62">CF14*BE14</f>
        <v>2000.8626</v>
      </c>
      <c r="CH14" s="1">
        <f t="shared" si="37"/>
        <v>16.2857142857142</v>
      </c>
      <c r="CJ14" s="45">
        <f t="shared" si="38"/>
        <v>891.999999999999</v>
      </c>
      <c r="CK14" s="5">
        <f t="shared" ref="CK14:CK19" si="63">CJ14*BE14</f>
        <v>1964.9868</v>
      </c>
    </row>
    <row r="15" ht="17.0">
      <c r="A15" s="41" t="s">
        <v>30</v>
      </c>
      <c r="B15" s="41" t="s">
        <v>46</v>
      </c>
      <c r="C15" s="41" t="s">
        <v>49</v>
      </c>
      <c r="D15" s="42" t="s">
        <v>50</v>
      </c>
      <c r="E15" s="41">
        <v>0.0</v>
      </c>
      <c r="F15" s="41">
        <v>0.0</v>
      </c>
      <c r="G15" s="41">
        <v>0.0</v>
      </c>
      <c r="H15" s="41">
        <v>0.0</v>
      </c>
      <c r="I15" s="41">
        <v>0.0</v>
      </c>
      <c r="J15" s="41">
        <v>0.0</v>
      </c>
      <c r="K15" s="41">
        <v>0.0</v>
      </c>
      <c r="L15" s="41">
        <v>0.0</v>
      </c>
      <c r="M15" s="41">
        <v>0.0</v>
      </c>
      <c r="N15" s="41">
        <v>0.0</v>
      </c>
      <c r="O15" s="41">
        <v>115.0</v>
      </c>
      <c r="P15" s="41">
        <v>54.0</v>
      </c>
      <c r="Q15" s="41">
        <v>36.0</v>
      </c>
      <c r="R15" s="41">
        <v>18.0</v>
      </c>
      <c r="S15" s="41">
        <v>0.0</v>
      </c>
      <c r="T15" s="41">
        <v>0.0</v>
      </c>
      <c r="U15" s="41">
        <v>0.0</v>
      </c>
      <c r="V15" s="41">
        <v>0.0</v>
      </c>
      <c r="W15" s="41">
        <v>0.0</v>
      </c>
      <c r="X15" s="41">
        <v>6.0</v>
      </c>
      <c r="Y15" s="41">
        <v>8.0</v>
      </c>
      <c r="Z15" s="41">
        <v>6.0</v>
      </c>
      <c r="AA15" s="41">
        <v>0.0</v>
      </c>
      <c r="AB15" s="41">
        <v>9.0</v>
      </c>
      <c r="AC15" s="41">
        <v>12.0</v>
      </c>
      <c r="AD15" s="41">
        <v>30.0</v>
      </c>
      <c r="AE15" s="41">
        <v>0.0</v>
      </c>
      <c r="AF15" s="41">
        <v>0.0</v>
      </c>
      <c r="AG15" s="41">
        <v>6.0</v>
      </c>
      <c r="AH15" s="41">
        <v>6.0</v>
      </c>
      <c r="AI15" s="41">
        <v>6.0</v>
      </c>
      <c r="AJ15" s="41">
        <v>0.0</v>
      </c>
      <c r="AK15" s="41">
        <v>6.0</v>
      </c>
      <c r="AL15" s="41">
        <v>12.0</v>
      </c>
      <c r="AM15" s="43">
        <v>0.0</v>
      </c>
      <c r="AN15" s="43">
        <v>6.0</v>
      </c>
      <c r="AO15" s="43">
        <v>6.0</v>
      </c>
      <c r="AP15" s="43">
        <v>18.0</v>
      </c>
      <c r="AQ15" s="43">
        <v>24.0</v>
      </c>
      <c r="AR15" s="43">
        <v>0.0</v>
      </c>
      <c r="AS15" s="43">
        <v>0.0</v>
      </c>
      <c r="AT15" s="4">
        <f t="shared" si="4"/>
        <v>84.0</v>
      </c>
      <c r="AU15" s="4">
        <f t="shared" si="5"/>
        <v>30.0</v>
      </c>
      <c r="AV15" s="4">
        <f t="shared" si="6"/>
        <v>33.0</v>
      </c>
      <c r="AW15" s="1">
        <f t="shared" si="46"/>
        <v>7.92380952380951</v>
      </c>
      <c r="AX15" s="1">
        <f t="shared" si="47"/>
        <v>9.90476190476188</v>
      </c>
      <c r="AY15" s="1">
        <f t="shared" si="48"/>
        <v>10.6666666666667</v>
      </c>
      <c r="AZ15" s="1">
        <f t="shared" si="49"/>
        <v>14.7809523809523</v>
      </c>
      <c r="BA15" s="1">
        <f t="shared" si="50"/>
        <v>7.0095238095238</v>
      </c>
      <c r="BB15" s="1">
        <f t="shared" si="51"/>
        <v>13.7142857142857</v>
      </c>
      <c r="BC15" s="4">
        <f t="shared" si="13"/>
        <v>63.9999999999999</v>
      </c>
      <c r="BD15" s="3">
        <f>VLOOKUP(D15,FEB23SOH,2,false)</f>
        <v>641.0</v>
      </c>
      <c r="BE15" s="44">
        <f>VLOOKUP(D15,UNITVALUE,4,false)</f>
        <v>2.0408</v>
      </c>
      <c r="BF15" s="44">
        <f t="shared" si="16"/>
        <v>1308.1528</v>
      </c>
      <c r="BI15" s="6">
        <f t="shared" si="52"/>
        <v>577.0</v>
      </c>
      <c r="BJ15" s="1">
        <f>VLOOKUP(C15,MOQ,3,FALSE())</f>
        <v>1002.0</v>
      </c>
      <c r="BM15" s="1">
        <f t="shared" si="53"/>
        <v>641.0</v>
      </c>
      <c r="BN15" s="1">
        <f t="shared" si="54"/>
        <v>7.92380952380951</v>
      </c>
      <c r="BP15" s="45">
        <f t="shared" si="55"/>
        <v>633.07619047619</v>
      </c>
      <c r="BQ15" s="5">
        <f t="shared" si="22"/>
        <v>1291.9818895238</v>
      </c>
      <c r="BR15" s="1">
        <f t="shared" si="56"/>
        <v>9.90476190476188</v>
      </c>
      <c r="BS15" s="1">
        <f t="shared" si="24"/>
      </c>
      <c r="BT15" s="45">
        <f t="shared" si="57"/>
        <v>623.171428571428</v>
      </c>
      <c r="BU15" s="5">
        <f t="shared" si="26"/>
        <v>1271.76825142857</v>
      </c>
      <c r="BV15" s="1">
        <f t="shared" si="58"/>
        <v>10.6666666666667</v>
      </c>
      <c r="BW15" s="1">
        <f t="shared" si="59"/>
      </c>
      <c r="BX15" s="45">
        <f t="shared" si="60"/>
        <v>612.504761904761</v>
      </c>
      <c r="BY15" s="5">
        <f t="shared" si="30"/>
        <v>1249.99971809523</v>
      </c>
      <c r="BZ15" s="1">
        <f t="shared" si="31"/>
        <v>14.7809523809523</v>
      </c>
      <c r="CB15" s="45">
        <f t="shared" si="32"/>
        <v>597.723809523809</v>
      </c>
      <c r="CC15" s="5">
        <f t="shared" si="61"/>
        <v>1219.83475047619</v>
      </c>
      <c r="CD15" s="1">
        <f t="shared" si="34"/>
        <v>7.0095238095238</v>
      </c>
      <c r="CF15" s="45">
        <f t="shared" si="35"/>
        <v>590.714285714285</v>
      </c>
      <c r="CG15" s="5">
        <f t="shared" si="62"/>
        <v>1205.52971428571</v>
      </c>
      <c r="CH15" s="1">
        <f t="shared" si="37"/>
        <v>13.7142857142857</v>
      </c>
      <c r="CJ15" s="45">
        <f t="shared" si="38"/>
        <v>576.999999999999</v>
      </c>
      <c r="CK15" s="5">
        <f t="shared" si="63"/>
        <v>1177.5416</v>
      </c>
    </row>
    <row r="16" ht="17.0">
      <c r="A16" s="41" t="s">
        <v>30</v>
      </c>
      <c r="B16" s="41" t="s">
        <v>46</v>
      </c>
      <c r="C16" s="41" t="s">
        <v>51</v>
      </c>
      <c r="D16" s="42" t="s">
        <v>52</v>
      </c>
      <c r="E16" s="41">
        <v>0.0</v>
      </c>
      <c r="F16" s="41">
        <v>0.0</v>
      </c>
      <c r="G16" s="41">
        <v>0.0</v>
      </c>
      <c r="H16" s="41">
        <v>0.0</v>
      </c>
      <c r="I16" s="41">
        <v>0.0</v>
      </c>
      <c r="J16" s="41">
        <v>0.0</v>
      </c>
      <c r="K16" s="41">
        <v>0.0</v>
      </c>
      <c r="L16" s="41">
        <v>0.0</v>
      </c>
      <c r="M16" s="41">
        <v>0.0</v>
      </c>
      <c r="N16" s="41">
        <v>0.0</v>
      </c>
      <c r="O16" s="41">
        <v>151.0</v>
      </c>
      <c r="P16" s="41">
        <v>102.0</v>
      </c>
      <c r="Q16" s="41">
        <v>42.0</v>
      </c>
      <c r="R16" s="41">
        <v>6.0</v>
      </c>
      <c r="S16" s="41">
        <v>0.0</v>
      </c>
      <c r="T16" s="41">
        <v>0.0</v>
      </c>
      <c r="U16" s="41">
        <v>0.0</v>
      </c>
      <c r="V16" s="41">
        <v>0.0</v>
      </c>
      <c r="W16" s="41">
        <v>0.0</v>
      </c>
      <c r="X16" s="41">
        <v>6.0</v>
      </c>
      <c r="Y16" s="41">
        <v>26.0</v>
      </c>
      <c r="Z16" s="41">
        <v>18.0</v>
      </c>
      <c r="AA16" s="41">
        <v>18.0</v>
      </c>
      <c r="AB16" s="41">
        <v>21.0</v>
      </c>
      <c r="AC16" s="41">
        <v>36.0</v>
      </c>
      <c r="AD16" s="41">
        <v>48.0</v>
      </c>
      <c r="AE16" s="41">
        <v>12.0</v>
      </c>
      <c r="AF16" s="41">
        <v>18.0</v>
      </c>
      <c r="AG16" s="41">
        <v>12.0</v>
      </c>
      <c r="AH16" s="41">
        <v>12.0</v>
      </c>
      <c r="AI16" s="41">
        <v>24.0</v>
      </c>
      <c r="AJ16" s="41">
        <v>6.0</v>
      </c>
      <c r="AK16" s="41">
        <v>12.0</v>
      </c>
      <c r="AL16" s="41">
        <v>18.0</v>
      </c>
      <c r="AM16" s="43">
        <v>6.0</v>
      </c>
      <c r="AN16" s="43">
        <v>24.0</v>
      </c>
      <c r="AO16" s="43">
        <v>18.0</v>
      </c>
      <c r="AP16" s="43">
        <v>42.0</v>
      </c>
      <c r="AQ16" s="43">
        <v>24.0</v>
      </c>
      <c r="AR16" s="43">
        <v>6.0</v>
      </c>
      <c r="AS16" s="43">
        <v>44.0</v>
      </c>
      <c r="AT16" s="4">
        <f t="shared" si="4"/>
        <v>236.0</v>
      </c>
      <c r="AU16" s="4">
        <f t="shared" si="5"/>
        <v>78.0</v>
      </c>
      <c r="AV16" s="4">
        <f t="shared" si="6"/>
        <v>85.8</v>
      </c>
      <c r="AW16" s="1">
        <f t="shared" si="46"/>
        <v>13.8666666666666</v>
      </c>
      <c r="AX16" s="1">
        <f t="shared" si="47"/>
        <v>17.3333333333332</v>
      </c>
      <c r="AY16" s="1">
        <f t="shared" si="48"/>
        <v>18.6666666666667</v>
      </c>
      <c r="AZ16" s="1">
        <f t="shared" si="49"/>
        <v>25.8666666666659</v>
      </c>
      <c r="BA16" s="1">
        <f t="shared" si="50"/>
        <v>12.2666666666666</v>
      </c>
      <c r="BB16" s="1">
        <f t="shared" si="51"/>
        <v>24.0</v>
      </c>
      <c r="BC16" s="4">
        <f t="shared" si="13"/>
        <v>111.999999999999</v>
      </c>
      <c r="BD16" s="3">
        <f>VLOOKUP(D16,FEB23SOH,2,false)</f>
        <v>359.0</v>
      </c>
      <c r="BE16" s="44">
        <f>VLOOKUP(D16,UNITVALUE,4,false)</f>
        <v>2.1379</v>
      </c>
      <c r="BF16" s="44">
        <f t="shared" si="16"/>
        <v>767.5061</v>
      </c>
      <c r="BI16" s="6">
        <f t="shared" si="52"/>
        <v>247.000000000001</v>
      </c>
      <c r="BJ16" s="1">
        <f>VLOOKUP(C16,MOQ,3,FALSE())</f>
        <v>1002.0</v>
      </c>
      <c r="BM16" s="1">
        <f t="shared" si="53"/>
        <v>359.0</v>
      </c>
      <c r="BN16" s="1">
        <f t="shared" si="54"/>
        <v>13.8666666666666</v>
      </c>
      <c r="BP16" s="45">
        <f t="shared" si="55"/>
        <v>345.133333333333</v>
      </c>
      <c r="BQ16" s="5">
        <f t="shared" si="22"/>
        <v>737.860553333332</v>
      </c>
      <c r="BR16" s="1">
        <f t="shared" si="56"/>
        <v>17.3333333333332</v>
      </c>
      <c r="BS16" s="1">
        <f t="shared" si="24"/>
      </c>
      <c r="BT16" s="45">
        <f t="shared" si="57"/>
        <v>327.8</v>
      </c>
      <c r="BU16" s="5">
        <f t="shared" si="26"/>
        <v>700.80362</v>
      </c>
      <c r="BV16" s="1">
        <f t="shared" si="58"/>
        <v>18.6666666666667</v>
      </c>
      <c r="BW16" s="1">
        <f t="shared" si="59"/>
      </c>
      <c r="BX16" s="45">
        <f t="shared" si="60"/>
        <v>309.133333333333</v>
      </c>
      <c r="BY16" s="5">
        <f t="shared" si="30"/>
        <v>660.896153333332</v>
      </c>
      <c r="BZ16" s="1">
        <f t="shared" si="31"/>
        <v>25.8666666666659</v>
      </c>
      <c r="CB16" s="45">
        <f t="shared" si="32"/>
        <v>283.266666666667</v>
      </c>
      <c r="CC16" s="5">
        <f t="shared" si="61"/>
        <v>605.595806666667</v>
      </c>
      <c r="CD16" s="1">
        <f t="shared" si="34"/>
        <v>12.2666666666666</v>
      </c>
      <c r="CF16" s="45">
        <f t="shared" si="35"/>
        <v>271.0</v>
      </c>
      <c r="CG16" s="5">
        <f t="shared" si="62"/>
        <v>579.3709</v>
      </c>
      <c r="CH16" s="1">
        <f t="shared" si="37"/>
        <v>24.0</v>
      </c>
      <c r="CJ16" s="45">
        <f t="shared" si="38"/>
        <v>247.0</v>
      </c>
      <c r="CK16" s="5">
        <f t="shared" si="63"/>
        <v>528.0613</v>
      </c>
    </row>
    <row r="17" ht="17.0">
      <c r="A17" s="41" t="s">
        <v>30</v>
      </c>
      <c r="B17" s="41" t="s">
        <v>46</v>
      </c>
      <c r="C17" s="41" t="s">
        <v>53</v>
      </c>
      <c r="D17" s="42" t="s">
        <v>54</v>
      </c>
      <c r="E17" s="41">
        <v>0.0</v>
      </c>
      <c r="F17" s="41">
        <v>0.0</v>
      </c>
      <c r="G17" s="41">
        <v>0.0</v>
      </c>
      <c r="H17" s="41">
        <v>0.0</v>
      </c>
      <c r="I17" s="41">
        <v>0.0</v>
      </c>
      <c r="J17" s="41">
        <v>0.0</v>
      </c>
      <c r="K17" s="41">
        <v>0.0</v>
      </c>
      <c r="L17" s="41">
        <v>0.0</v>
      </c>
      <c r="M17" s="41">
        <v>0.0</v>
      </c>
      <c r="N17" s="41">
        <v>0.0</v>
      </c>
      <c r="O17" s="41">
        <v>157.0</v>
      </c>
      <c r="P17" s="41">
        <v>78.0</v>
      </c>
      <c r="Q17" s="41">
        <v>102.0</v>
      </c>
      <c r="R17" s="41">
        <v>42.0</v>
      </c>
      <c r="S17" s="41">
        <v>18.0</v>
      </c>
      <c r="T17" s="41">
        <v>18.0</v>
      </c>
      <c r="U17" s="41">
        <v>18.0</v>
      </c>
      <c r="V17" s="41">
        <v>30.0</v>
      </c>
      <c r="W17" s="41">
        <v>54.0</v>
      </c>
      <c r="X17" s="41">
        <v>13.0</v>
      </c>
      <c r="Y17" s="41">
        <v>26.0</v>
      </c>
      <c r="Z17" s="41">
        <v>0.0</v>
      </c>
      <c r="AA17" s="41">
        <v>18.0</v>
      </c>
      <c r="AB17" s="41">
        <v>21.0</v>
      </c>
      <c r="AC17" s="41">
        <v>24.0</v>
      </c>
      <c r="AD17" s="41">
        <v>24.0</v>
      </c>
      <c r="AE17" s="41">
        <v>6.0</v>
      </c>
      <c r="AF17" s="41">
        <v>0.0</v>
      </c>
      <c r="AG17" s="41">
        <v>18.0</v>
      </c>
      <c r="AH17" s="41">
        <v>12.0</v>
      </c>
      <c r="AI17" s="41">
        <v>12.0</v>
      </c>
      <c r="AJ17" s="41">
        <v>0.0</v>
      </c>
      <c r="AK17" s="41">
        <v>18.0</v>
      </c>
      <c r="AL17" s="41">
        <v>12.0</v>
      </c>
      <c r="AM17" s="43">
        <v>12.0</v>
      </c>
      <c r="AN17" s="43">
        <v>6.0</v>
      </c>
      <c r="AO17" s="43">
        <v>6.0</v>
      </c>
      <c r="AP17" s="43">
        <v>24.0</v>
      </c>
      <c r="AQ17" s="43">
        <v>12.0</v>
      </c>
      <c r="AR17" s="43">
        <v>6.0</v>
      </c>
      <c r="AS17" s="43">
        <v>37.0</v>
      </c>
      <c r="AT17" s="4">
        <f t="shared" si="4"/>
        <v>157.0</v>
      </c>
      <c r="AU17" s="4">
        <f t="shared" si="5"/>
        <v>66.0</v>
      </c>
      <c r="AV17" s="4">
        <f t="shared" si="6"/>
        <v>72.6</v>
      </c>
      <c r="AW17" s="1">
        <f t="shared" si="46"/>
        <v>12.3809523809524</v>
      </c>
      <c r="AX17" s="1">
        <f t="shared" si="47"/>
        <v>15.4761904761903</v>
      </c>
      <c r="AY17" s="1">
        <f t="shared" si="48"/>
        <v>16.6666666666667</v>
      </c>
      <c r="AZ17" s="1">
        <f t="shared" si="49"/>
        <v>23.095238095238</v>
      </c>
      <c r="BA17" s="1">
        <f t="shared" si="50"/>
        <v>10.9523809523809</v>
      </c>
      <c r="BB17" s="1">
        <f t="shared" si="51"/>
        <v>21.4285714285713</v>
      </c>
      <c r="BC17" s="4">
        <f t="shared" si="13"/>
        <v>99.9999999999996</v>
      </c>
      <c r="BD17" s="3">
        <f>VLOOKUP(D17,FEB23SOH,2,false)</f>
        <v>828.0</v>
      </c>
      <c r="BE17" s="44">
        <f>VLOOKUP(D17,UNITVALUE,4,false)</f>
        <v>2.1381</v>
      </c>
      <c r="BF17" s="44">
        <f t="shared" si="16"/>
        <v>1770.3468</v>
      </c>
      <c r="BI17" s="6">
        <f t="shared" si="52"/>
        <v>728.0</v>
      </c>
      <c r="BJ17" s="1">
        <f>VLOOKUP(C17,MOQ,3,FALSE())</f>
        <v>1002.0</v>
      </c>
      <c r="BM17" s="1">
        <f t="shared" si="53"/>
        <v>828.0</v>
      </c>
      <c r="BN17" s="1">
        <f t="shared" si="54"/>
        <v>12.3809523809524</v>
      </c>
      <c r="BP17" s="45">
        <f t="shared" si="55"/>
        <v>815.619047619048</v>
      </c>
      <c r="BQ17" s="5">
        <f t="shared" si="22"/>
        <v>1743.87508571429</v>
      </c>
      <c r="BR17" s="1">
        <f t="shared" si="56"/>
        <v>15.4761904761903</v>
      </c>
      <c r="BS17" s="1">
        <f t="shared" si="24"/>
      </c>
      <c r="BT17" s="45">
        <f t="shared" si="57"/>
        <v>800.142857142858</v>
      </c>
      <c r="BU17" s="5">
        <f t="shared" si="26"/>
        <v>1710.78544285714</v>
      </c>
      <c r="BV17" s="1">
        <f t="shared" si="58"/>
        <v>16.6666666666667</v>
      </c>
      <c r="BW17" s="1">
        <f t="shared" si="59"/>
      </c>
      <c r="BX17" s="45">
        <f t="shared" si="60"/>
        <v>783.476190476191</v>
      </c>
      <c r="BY17" s="5">
        <f t="shared" si="30"/>
        <v>1675.15044285714</v>
      </c>
      <c r="BZ17" s="1">
        <f t="shared" si="31"/>
        <v>23.095238095238</v>
      </c>
      <c r="CB17" s="45">
        <f t="shared" si="32"/>
        <v>760.380952380953</v>
      </c>
      <c r="CC17" s="5">
        <f t="shared" si="61"/>
        <v>1625.77051428571</v>
      </c>
      <c r="CD17" s="1">
        <f t="shared" si="34"/>
        <v>10.9523809523809</v>
      </c>
      <c r="CF17" s="45">
        <f t="shared" si="35"/>
        <v>749.428571428572</v>
      </c>
      <c r="CG17" s="5">
        <f t="shared" si="62"/>
        <v>1602.35322857143</v>
      </c>
      <c r="CH17" s="1">
        <f t="shared" si="37"/>
        <v>21.4285714285713</v>
      </c>
      <c r="CJ17" s="45">
        <f t="shared" si="38"/>
        <v>728.0</v>
      </c>
      <c r="CK17" s="5">
        <f t="shared" si="63"/>
        <v>1556.5368</v>
      </c>
    </row>
    <row r="18" ht="17.0">
      <c r="A18" s="41" t="s">
        <v>30</v>
      </c>
      <c r="B18" s="41" t="s">
        <v>46</v>
      </c>
      <c r="C18" s="41" t="s">
        <v>55</v>
      </c>
      <c r="D18" s="42" t="s">
        <v>56</v>
      </c>
      <c r="E18" s="41">
        <v>0.0</v>
      </c>
      <c r="F18" s="41">
        <v>0.0</v>
      </c>
      <c r="G18" s="41">
        <v>0.0</v>
      </c>
      <c r="H18" s="41">
        <v>0.0</v>
      </c>
      <c r="I18" s="41">
        <v>0.0</v>
      </c>
      <c r="J18" s="41">
        <v>0.0</v>
      </c>
      <c r="K18" s="41">
        <v>0.0</v>
      </c>
      <c r="L18" s="41">
        <v>0.0</v>
      </c>
      <c r="M18" s="41">
        <v>0.0</v>
      </c>
      <c r="N18" s="41">
        <v>0.0</v>
      </c>
      <c r="O18" s="41">
        <v>175.0</v>
      </c>
      <c r="P18" s="41">
        <v>84.0</v>
      </c>
      <c r="Q18" s="41">
        <v>42.0</v>
      </c>
      <c r="R18" s="41">
        <v>12.0</v>
      </c>
      <c r="S18" s="41">
        <v>0.0</v>
      </c>
      <c r="T18" s="41">
        <v>0.0</v>
      </c>
      <c r="U18" s="41">
        <v>0.0</v>
      </c>
      <c r="V18" s="41">
        <v>0.0</v>
      </c>
      <c r="W18" s="41">
        <v>0.0</v>
      </c>
      <c r="X18" s="41">
        <v>6.0</v>
      </c>
      <c r="Y18" s="41">
        <v>22.0</v>
      </c>
      <c r="Z18" s="41">
        <v>30.0</v>
      </c>
      <c r="AA18" s="41">
        <v>6.0</v>
      </c>
      <c r="AB18" s="41">
        <v>21.0</v>
      </c>
      <c r="AC18" s="41">
        <v>18.0</v>
      </c>
      <c r="AD18" s="41">
        <v>24.0</v>
      </c>
      <c r="AE18" s="41">
        <v>12.0</v>
      </c>
      <c r="AF18" s="41">
        <v>6.0</v>
      </c>
      <c r="AG18" s="41">
        <v>6.0</v>
      </c>
      <c r="AH18" s="41">
        <v>15.0</v>
      </c>
      <c r="AI18" s="41">
        <v>6.0</v>
      </c>
      <c r="AJ18" s="41">
        <v>6.0</v>
      </c>
      <c r="AK18" s="41">
        <v>6.0</v>
      </c>
      <c r="AL18" s="41">
        <v>12.0</v>
      </c>
      <c r="AM18" s="43">
        <v>6.0</v>
      </c>
      <c r="AN18" s="43">
        <v>12.0</v>
      </c>
      <c r="AO18" s="43">
        <v>24.0</v>
      </c>
      <c r="AP18" s="43">
        <v>36.0</v>
      </c>
      <c r="AQ18" s="43">
        <v>12.0</v>
      </c>
      <c r="AR18" s="43">
        <v>0.0</v>
      </c>
      <c r="AS18" s="43">
        <v>23.0</v>
      </c>
      <c r="AT18" s="4">
        <f t="shared" si="4"/>
        <v>158.0</v>
      </c>
      <c r="AU18" s="4">
        <f t="shared" si="5"/>
        <v>51.0</v>
      </c>
      <c r="AV18" s="4">
        <f t="shared" si="6"/>
        <v>56.1</v>
      </c>
      <c r="AW18" s="1">
        <f t="shared" si="46"/>
        <v>10.5238095238095</v>
      </c>
      <c r="AX18" s="1">
        <f t="shared" si="47"/>
        <v>13.1547619047622</v>
      </c>
      <c r="AY18" s="1">
        <f t="shared" si="48"/>
        <v>14.1666666666667</v>
      </c>
      <c r="AZ18" s="1">
        <f t="shared" si="49"/>
        <v>19.6309523809522</v>
      </c>
      <c r="BA18" s="1">
        <f t="shared" si="50"/>
        <v>9.30952380952381</v>
      </c>
      <c r="BB18" s="1">
        <f t="shared" si="51"/>
        <v>18.2142857142857</v>
      </c>
      <c r="BC18" s="4">
        <f t="shared" si="13"/>
        <v>85.0000000000001</v>
      </c>
      <c r="BD18" s="3">
        <f>VLOOKUP(D18,FEB23SOH,2,false)</f>
        <v>503.0</v>
      </c>
      <c r="BE18" s="44">
        <f>VLOOKUP(D18,UNITVALUE,4,false)</f>
        <v>1.9441</v>
      </c>
      <c r="BF18" s="44">
        <f t="shared" si="16"/>
        <v>977.8823</v>
      </c>
      <c r="BI18" s="6">
        <f t="shared" si="52"/>
        <v>418.0</v>
      </c>
      <c r="BJ18" s="1">
        <f>VLOOKUP(C18,MOQ,3,FALSE())</f>
        <v>1002.0</v>
      </c>
      <c r="BM18" s="1">
        <f t="shared" si="53"/>
        <v>503.0</v>
      </c>
      <c r="BN18" s="1">
        <f t="shared" si="54"/>
        <v>10.5238095238095</v>
      </c>
      <c r="BP18" s="45">
        <f t="shared" si="55"/>
        <v>492.47619047619</v>
      </c>
      <c r="BQ18" s="5">
        <f t="shared" si="22"/>
        <v>957.422961904761</v>
      </c>
      <c r="BR18" s="1">
        <f t="shared" si="56"/>
        <v>13.1547619047622</v>
      </c>
      <c r="BS18" s="1">
        <f t="shared" si="24"/>
      </c>
      <c r="BT18" s="45">
        <f t="shared" si="57"/>
        <v>479.32142857142</v>
      </c>
      <c r="BU18" s="5">
        <f t="shared" si="26"/>
        <v>931.848789285698</v>
      </c>
      <c r="BV18" s="1">
        <f t="shared" si="58"/>
        <v>14.1666666666667</v>
      </c>
      <c r="BW18" s="1">
        <f t="shared" si="59"/>
      </c>
      <c r="BX18" s="45">
        <f t="shared" si="60"/>
        <v>465.154761904753</v>
      </c>
      <c r="BY18" s="5">
        <f t="shared" si="30"/>
        <v>904.30737261903</v>
      </c>
      <c r="BZ18" s="1">
        <f t="shared" si="31"/>
        <v>19.6309523809522</v>
      </c>
      <c r="CB18" s="45">
        <f t="shared" si="32"/>
        <v>445.5238095238</v>
      </c>
      <c r="CC18" s="5">
        <f t="shared" si="61"/>
        <v>866.14283809522</v>
      </c>
      <c r="CD18" s="1">
        <f t="shared" si="34"/>
        <v>9.30952380952381</v>
      </c>
      <c r="CF18" s="45">
        <f t="shared" si="35"/>
        <v>436.214285714276</v>
      </c>
      <c r="CG18" s="5">
        <f t="shared" si="62"/>
        <v>848.044192857123</v>
      </c>
      <c r="CH18" s="1">
        <f t="shared" si="37"/>
        <v>18.2142857142857</v>
      </c>
      <c r="CJ18" s="45">
        <f t="shared" si="38"/>
        <v>417.99999999999</v>
      </c>
      <c r="CK18" s="5">
        <f t="shared" si="63"/>
        <v>812.63379999998</v>
      </c>
    </row>
    <row r="19" ht="17.0">
      <c r="A19" s="41" t="s">
        <v>30</v>
      </c>
      <c r="B19" s="41" t="s">
        <v>46</v>
      </c>
      <c r="C19" s="41" t="s">
        <v>57</v>
      </c>
      <c r="D19" s="42" t="s">
        <v>58</v>
      </c>
      <c r="E19" s="41">
        <v>0.0</v>
      </c>
      <c r="F19" s="41">
        <v>0.0</v>
      </c>
      <c r="G19" s="41">
        <v>0.0</v>
      </c>
      <c r="H19" s="41">
        <v>0.0</v>
      </c>
      <c r="I19" s="41">
        <v>0.0</v>
      </c>
      <c r="J19" s="41">
        <v>0.0</v>
      </c>
      <c r="K19" s="41">
        <v>0.0</v>
      </c>
      <c r="L19" s="41">
        <v>0.0</v>
      </c>
      <c r="M19" s="41">
        <v>0.0</v>
      </c>
      <c r="N19" s="41">
        <v>0.0</v>
      </c>
      <c r="O19" s="41">
        <v>103.0</v>
      </c>
      <c r="P19" s="41">
        <v>54.0</v>
      </c>
      <c r="Q19" s="41">
        <v>78.0</v>
      </c>
      <c r="R19" s="41">
        <v>55.0</v>
      </c>
      <c r="S19" s="41">
        <v>12.0</v>
      </c>
      <c r="T19" s="41">
        <v>12.0</v>
      </c>
      <c r="U19" s="41">
        <v>30.0</v>
      </c>
      <c r="V19" s="41">
        <v>30.0</v>
      </c>
      <c r="W19" s="41">
        <v>30.0</v>
      </c>
      <c r="X19" s="41">
        <v>12.0</v>
      </c>
      <c r="Y19" s="41">
        <v>20.0</v>
      </c>
      <c r="Z19" s="41">
        <v>12.0</v>
      </c>
      <c r="AA19" s="41">
        <v>6.0</v>
      </c>
      <c r="AB19" s="41">
        <v>15.0</v>
      </c>
      <c r="AC19" s="41">
        <v>6.0</v>
      </c>
      <c r="AD19" s="41">
        <v>42.0</v>
      </c>
      <c r="AE19" s="41">
        <v>6.0</v>
      </c>
      <c r="AF19" s="41">
        <v>0.0</v>
      </c>
      <c r="AG19" s="41">
        <v>0.0</v>
      </c>
      <c r="AH19" s="41">
        <v>0.0</v>
      </c>
      <c r="AI19" s="41">
        <v>0.0</v>
      </c>
      <c r="AJ19" s="41">
        <v>0.0</v>
      </c>
      <c r="AK19" s="41">
        <v>0.0</v>
      </c>
      <c r="AL19" s="41">
        <v>0.0</v>
      </c>
      <c r="AM19" s="43">
        <v>6.0</v>
      </c>
      <c r="AN19" s="43">
        <v>6.0</v>
      </c>
      <c r="AO19" s="43">
        <v>18.0</v>
      </c>
      <c r="AP19" s="43">
        <v>30.0</v>
      </c>
      <c r="AQ19" s="43">
        <v>12.0</v>
      </c>
      <c r="AR19" s="43">
        <v>0.0</v>
      </c>
      <c r="AS19" s="43">
        <v>22.0</v>
      </c>
      <c r="AT19" s="4">
        <f t="shared" si="4"/>
        <v>94.0</v>
      </c>
      <c r="AU19" s="4">
        <f t="shared" si="5"/>
        <v>6.0</v>
      </c>
      <c r="AV19" s="4">
        <f t="shared" si="6"/>
        <v>6.6</v>
      </c>
      <c r="AW19" s="1">
        <f t="shared" si="46"/>
        <v>4.95238095238094</v>
      </c>
      <c r="AX19" s="1">
        <f t="shared" si="47"/>
        <v>6.19047619047617</v>
      </c>
      <c r="AY19" s="1">
        <f t="shared" si="48"/>
        <v>6.66666666666666</v>
      </c>
      <c r="AZ19" s="1">
        <f t="shared" si="49"/>
        <v>9.23809523809522</v>
      </c>
      <c r="BA19" s="1">
        <f t="shared" si="50"/>
        <v>4.38095238095237</v>
      </c>
      <c r="BB19" s="1">
        <f t="shared" si="51"/>
        <v>8.57142857142856</v>
      </c>
      <c r="BC19" s="4">
        <f t="shared" si="13"/>
        <v>39.9999999999999</v>
      </c>
      <c r="BD19" s="3">
        <f>VLOOKUP(D19,FEB23SOH,2,false)</f>
        <v>30.0</v>
      </c>
      <c r="BE19" s="44">
        <f>VLOOKUP(D19,UNITVALUE,4,false)</f>
        <v>1.863</v>
      </c>
      <c r="BF19" s="44">
        <f t="shared" si="16"/>
        <v>55.89</v>
      </c>
      <c r="BI19" s="6">
        <f t="shared" si="52"/>
        <v>-9.9999999999999</v>
      </c>
      <c r="BJ19" s="1">
        <v>1002.0</v>
      </c>
      <c r="BK19" s="51">
        <f>BJ19</f>
        <v>1002.0</v>
      </c>
      <c r="BL19" s="8" t="s">
        <v>9</v>
      </c>
      <c r="BM19" s="1">
        <f t="shared" si="53"/>
        <v>30.0</v>
      </c>
      <c r="BN19" s="1">
        <f t="shared" si="54"/>
        <v>4.95238095238094</v>
      </c>
      <c r="BP19" s="45">
        <f t="shared" si="55"/>
        <v>25.047619047619</v>
      </c>
      <c r="BQ19" s="5">
        <f t="shared" si="22"/>
        <v>46.6637142857142</v>
      </c>
      <c r="BR19" s="1">
        <f t="shared" si="56"/>
        <v>6.19047619047617</v>
      </c>
      <c r="BS19" s="1">
        <f t="shared" si="24"/>
      </c>
      <c r="BT19" s="45">
        <f t="shared" si="57"/>
        <v>18.8571428571428</v>
      </c>
      <c r="BU19" s="5">
        <f t="shared" si="26"/>
        <v>35.130857142857</v>
      </c>
      <c r="BV19" s="1">
        <f t="shared" si="58"/>
        <v>6.66666666666666</v>
      </c>
      <c r="BW19" s="1">
        <f t="shared" si="59"/>
      </c>
      <c r="BX19" s="45">
        <f t="shared" si="60"/>
        <v>12.1904761904761</v>
      </c>
      <c r="BY19" s="5">
        <f t="shared" si="30"/>
        <v>22.71085714286</v>
      </c>
      <c r="BZ19" s="1">
        <f t="shared" si="31"/>
        <v>9.23809523809522</v>
      </c>
      <c r="CB19" s="45">
        <f t="shared" si="32"/>
        <v>2.95238095238088</v>
      </c>
      <c r="CC19" s="5">
        <f t="shared" si="61"/>
        <v>5.50028571428558</v>
      </c>
      <c r="CD19" s="1">
        <f t="shared" si="34"/>
        <v>4.38095238095237</v>
      </c>
      <c r="CF19" s="45">
        <f t="shared" si="35"/>
        <v>-1.42857142857147</v>
      </c>
      <c r="CG19" s="5">
        <f t="shared" si="62"/>
        <v>-2.66142857142864</v>
      </c>
      <c r="CH19" s="1">
        <f t="shared" si="37"/>
        <v>8.57142857142856</v>
      </c>
      <c r="CJ19" s="45">
        <f t="shared" si="38"/>
        <v>-10.0</v>
      </c>
      <c r="CK19" s="5">
        <f t="shared" si="63"/>
        <v>-18.63</v>
      </c>
    </row>
    <row r="20" ht="17.0">
      <c r="A20" s="46" t="s">
        <v>30</v>
      </c>
      <c r="B20" s="46" t="s">
        <v>46</v>
      </c>
      <c r="C20" s="46" t="s">
        <v>59</v>
      </c>
      <c r="D20" s="47" t="s">
        <v>60</v>
      </c>
      <c r="E20" s="41">
        <v>0.0</v>
      </c>
      <c r="F20" s="41">
        <v>0.0</v>
      </c>
      <c r="G20" s="41">
        <v>0.0</v>
      </c>
      <c r="H20" s="41">
        <v>0.0</v>
      </c>
      <c r="I20" s="41">
        <v>0.0</v>
      </c>
      <c r="J20" s="41">
        <v>0.0</v>
      </c>
      <c r="K20" s="41">
        <v>0.0</v>
      </c>
      <c r="L20" s="41">
        <v>0.0</v>
      </c>
      <c r="M20" s="41">
        <v>0.0</v>
      </c>
      <c r="N20" s="41">
        <v>0.0</v>
      </c>
      <c r="O20" s="41">
        <v>0.0</v>
      </c>
      <c r="P20" s="41">
        <v>4.0</v>
      </c>
      <c r="Q20" s="41">
        <v>5.0</v>
      </c>
      <c r="R20" s="41">
        <v>2.0</v>
      </c>
      <c r="S20" s="41">
        <v>2.0</v>
      </c>
      <c r="T20" s="41">
        <v>0.0</v>
      </c>
      <c r="U20" s="41">
        <v>1.0</v>
      </c>
      <c r="V20" s="41">
        <v>5.0</v>
      </c>
      <c r="W20" s="41">
        <v>2.0</v>
      </c>
      <c r="X20" s="41">
        <v>1.0</v>
      </c>
      <c r="Y20" s="41">
        <v>0.0</v>
      </c>
      <c r="Z20" s="41">
        <v>3.0</v>
      </c>
      <c r="AA20" s="41">
        <v>4.0</v>
      </c>
      <c r="AB20" s="41">
        <v>4.0</v>
      </c>
      <c r="AC20" s="41">
        <v>6.0</v>
      </c>
      <c r="AD20" s="41">
        <v>0.0</v>
      </c>
      <c r="AE20" s="41">
        <v>0.0</v>
      </c>
      <c r="AF20" s="41">
        <v>0.0</v>
      </c>
      <c r="AG20" s="41">
        <v>1.0</v>
      </c>
      <c r="AH20" s="41">
        <v>0.0</v>
      </c>
      <c r="AI20" s="41">
        <v>1.0</v>
      </c>
      <c r="AJ20" s="41">
        <v>1.0</v>
      </c>
      <c r="AK20" s="41">
        <v>3.0</v>
      </c>
      <c r="AL20" s="41">
        <v>2.0</v>
      </c>
      <c r="AM20" s="43">
        <v>1.0</v>
      </c>
      <c r="AN20" s="43">
        <v>2.0</v>
      </c>
      <c r="AO20" s="43">
        <v>3.0</v>
      </c>
      <c r="AP20" s="43">
        <v>4.0</v>
      </c>
      <c r="AQ20" s="43">
        <v>1.0</v>
      </c>
      <c r="AR20" s="43">
        <v>2.0</v>
      </c>
      <c r="AS20" s="43">
        <v>0.0</v>
      </c>
      <c r="AT20" s="4">
        <f t="shared" si="4"/>
        <v>20.0</v>
      </c>
      <c r="AU20" s="4">
        <f t="shared" si="5"/>
        <v>8.0</v>
      </c>
      <c r="AV20" s="4">
        <f t="shared" si="6"/>
        <v>8.8</v>
      </c>
      <c r="AW20" s="48">
        <f t="shared" ref="AW20:AW26" si="65">AV20*$AW$4/$AV$4</f>
        <v>0.99047619047619</v>
      </c>
      <c r="AX20" s="48">
        <f t="shared" ref="AX20:AX26" si="66">AV20*$AX$4/$AV$4</f>
        <v>1.23809523809523</v>
      </c>
      <c r="AY20" s="48">
        <f t="shared" ref="AY20:AY26" si="67">AV20*$AY$4/$AV$4</f>
        <v>1.33333333333333</v>
      </c>
      <c r="AZ20" s="48">
        <f t="shared" ref="AZ20:AZ26" si="68">AV20*$AZ$4/$AV$4</f>
        <v>1.84761904761904</v>
      </c>
      <c r="BA20" s="48">
        <f t="shared" ref="BA20:BA26" si="69">AV20*$BA$4/$AV$4</f>
        <v>0.876190476190476</v>
      </c>
      <c r="BB20" s="48">
        <f t="shared" ref="BB20:BB21" si="70">AV20*$BB$4/$AV$4</f>
        <v>1.71428571428571</v>
      </c>
      <c r="BC20" s="4">
        <f t="shared" si="13"/>
        <v>7.99999999999998</v>
      </c>
      <c r="BD20" s="3">
        <f>VLOOKUP(D20,FEB23SOH,2,false)</f>
        <v>4.0</v>
      </c>
      <c r="BE20" s="44">
        <f>VLOOKUP(D20,UNITVALUE,4,false)</f>
        <v>24.695</v>
      </c>
      <c r="BF20" s="44">
        <f t="shared" si="16"/>
        <v>98.78</v>
      </c>
      <c r="BJ20" s="52">
        <f>VLOOKUP(C20,MOQ,3,FALSE())</f>
      </c>
      <c r="BK20" s="50"/>
      <c r="BP20" s="45"/>
      <c r="BQ20" s="5">
        <f t="shared" si="22"/>
        <v>0.0</v>
      </c>
      <c r="BS20" s="1">
        <f t="shared" si="24"/>
      </c>
      <c r="BT20" s="45"/>
      <c r="BU20" s="5">
        <f t="shared" si="26"/>
        <v>0.0</v>
      </c>
      <c r="BX20" s="45"/>
      <c r="BY20" s="5">
        <f t="shared" si="30"/>
        <v>0.0</v>
      </c>
      <c r="BZ20" s="1">
        <f t="shared" si="31"/>
        <v>1.84761904761904</v>
      </c>
      <c r="CB20" s="45">
        <f t="shared" si="32"/>
        <v>-1.84761904761904</v>
      </c>
      <c r="CC20" s="5"/>
      <c r="CD20" s="1">
        <f t="shared" si="34"/>
        <v>0.876190476190476</v>
      </c>
      <c r="CF20" s="45">
        <f t="shared" si="35"/>
        <v>-2.72380952380951</v>
      </c>
      <c r="CG20" s="5"/>
      <c r="CH20" s="1">
        <f t="shared" si="37"/>
        <v>1.71428571428571</v>
      </c>
      <c r="CJ20" s="45">
        <f t="shared" si="38"/>
        <v>-4.43809523809522</v>
      </c>
      <c r="CK20" s="5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</row>
    <row r="21" ht="17.0">
      <c r="A21" s="46" t="s">
        <v>30</v>
      </c>
      <c r="B21" s="46" t="s">
        <v>46</v>
      </c>
      <c r="C21" s="46" t="s">
        <v>61</v>
      </c>
      <c r="D21" s="47" t="s">
        <v>62</v>
      </c>
      <c r="E21" s="41">
        <v>0.0</v>
      </c>
      <c r="F21" s="41">
        <v>0.0</v>
      </c>
      <c r="G21" s="41">
        <v>0.0</v>
      </c>
      <c r="H21" s="41">
        <v>0.0</v>
      </c>
      <c r="I21" s="41">
        <v>0.0</v>
      </c>
      <c r="J21" s="41">
        <v>0.0</v>
      </c>
      <c r="K21" s="41">
        <v>0.0</v>
      </c>
      <c r="L21" s="41">
        <v>0.0</v>
      </c>
      <c r="M21" s="41">
        <v>0.0</v>
      </c>
      <c r="N21" s="41">
        <v>0.0</v>
      </c>
      <c r="O21" s="41">
        <v>0.0</v>
      </c>
      <c r="P21" s="41">
        <v>14.0</v>
      </c>
      <c r="Q21" s="41">
        <v>5.0</v>
      </c>
      <c r="R21" s="41">
        <v>1.0</v>
      </c>
      <c r="S21" s="41">
        <v>1.0</v>
      </c>
      <c r="T21" s="41">
        <v>1.0</v>
      </c>
      <c r="U21" s="41">
        <v>0.0</v>
      </c>
      <c r="V21" s="41">
        <v>0.0</v>
      </c>
      <c r="W21" s="41">
        <v>0.0</v>
      </c>
      <c r="X21" s="41">
        <v>0.0</v>
      </c>
      <c r="Y21" s="41">
        <v>0.0</v>
      </c>
      <c r="Z21" s="41">
        <v>2.0</v>
      </c>
      <c r="AA21" s="41">
        <v>3.0</v>
      </c>
      <c r="AB21" s="41">
        <v>0.0</v>
      </c>
      <c r="AC21" s="41">
        <v>1.0</v>
      </c>
      <c r="AD21" s="41">
        <v>1.0</v>
      </c>
      <c r="AE21" s="41">
        <v>1.0</v>
      </c>
      <c r="AF21" s="41">
        <v>0.0</v>
      </c>
      <c r="AG21" s="41">
        <v>1.0</v>
      </c>
      <c r="AH21" s="41">
        <v>1.0</v>
      </c>
      <c r="AI21" s="41">
        <v>0.0</v>
      </c>
      <c r="AJ21" s="41">
        <v>1.0</v>
      </c>
      <c r="AK21" s="41">
        <v>0.0</v>
      </c>
      <c r="AL21" s="41">
        <v>0.0</v>
      </c>
      <c r="AM21" s="43">
        <v>1.0</v>
      </c>
      <c r="AN21" s="43">
        <v>0.0</v>
      </c>
      <c r="AO21" s="43">
        <v>0.0</v>
      </c>
      <c r="AP21" s="43">
        <v>3.0</v>
      </c>
      <c r="AQ21" s="43">
        <v>0.0</v>
      </c>
      <c r="AR21" s="43">
        <v>1.0</v>
      </c>
      <c r="AS21" s="43">
        <v>0.0</v>
      </c>
      <c r="AT21" s="4">
        <f t="shared" si="4"/>
        <v>7.0</v>
      </c>
      <c r="AU21" s="4">
        <f t="shared" si="5"/>
        <v>3.0</v>
      </c>
      <c r="AV21" s="4">
        <f t="shared" si="6"/>
        <v>3.3</v>
      </c>
      <c r="AW21" s="48">
        <f t="shared" si="65"/>
        <v>0.371428571428571</v>
      </c>
      <c r="AX21" s="48">
        <f t="shared" si="66"/>
        <v>0.464285714285714</v>
      </c>
      <c r="AY21" s="48">
        <f t="shared" si="67"/>
        <v>0.5</v>
      </c>
      <c r="AZ21" s="48">
        <f t="shared" si="68"/>
        <v>0.692857142857142</v>
      </c>
      <c r="BA21" s="48">
        <f t="shared" si="69"/>
        <v>0.328571428571429</v>
      </c>
      <c r="BB21" s="48">
        <f t="shared" si="70"/>
        <v>0.642857142857142</v>
      </c>
      <c r="BC21" s="4">
        <f t="shared" si="13"/>
        <v>3.0</v>
      </c>
      <c r="BD21" s="3">
        <f>VLOOKUP(D21,FEB23SOH,2,false)</f>
        <v>1.0</v>
      </c>
      <c r="BE21" s="44">
        <f>VLOOKUP(D21,UNITVALUE,4,false)</f>
        <v>96.91</v>
      </c>
      <c r="BF21" s="44">
        <f t="shared" si="16"/>
        <v>96.91</v>
      </c>
      <c r="BJ21" s="49">
        <f>VLOOKUP(C21,MOQ,3,FALSE())</f>
      </c>
      <c r="BK21" s="50"/>
      <c r="BP21" s="45"/>
      <c r="BQ21" s="5">
        <f t="shared" si="22"/>
        <v>0.0</v>
      </c>
      <c r="BS21" s="1">
        <f t="shared" si="24"/>
      </c>
      <c r="BT21" s="45"/>
      <c r="BU21" s="5">
        <f t="shared" si="26"/>
        <v>0.0</v>
      </c>
      <c r="BX21" s="45"/>
      <c r="BY21" s="5">
        <f t="shared" si="30"/>
        <v>0.0</v>
      </c>
      <c r="BZ21" s="1">
        <f t="shared" si="31"/>
        <v>0.692857142857142</v>
      </c>
      <c r="CB21" s="45">
        <f t="shared" si="32"/>
        <v>-0.692857142857142</v>
      </c>
      <c r="CC21" s="5"/>
      <c r="CD21" s="1">
        <f t="shared" si="34"/>
        <v>0.328571428571429</v>
      </c>
      <c r="CF21" s="45">
        <f t="shared" si="35"/>
        <v>-1.02142857142857</v>
      </c>
      <c r="CG21" s="5"/>
      <c r="CH21" s="1">
        <f t="shared" si="37"/>
        <v>0.642857142857142</v>
      </c>
      <c r="CJ21" s="45">
        <f t="shared" si="38"/>
        <v>-1.66428571428571</v>
      </c>
      <c r="CK21" s="5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</row>
    <row r="22" ht="17.0">
      <c r="A22" s="41" t="s">
        <v>30</v>
      </c>
      <c r="B22" s="10" t="s">
        <v>63</v>
      </c>
      <c r="C22" s="41" t="s">
        <v>64</v>
      </c>
      <c r="D22" s="42" t="s">
        <v>65</v>
      </c>
      <c r="E22" s="41">
        <v>0.0</v>
      </c>
      <c r="F22" s="41">
        <v>0.0</v>
      </c>
      <c r="G22" s="41">
        <v>0.0</v>
      </c>
      <c r="H22" s="41">
        <v>0.0</v>
      </c>
      <c r="I22" s="41">
        <v>0.0</v>
      </c>
      <c r="J22" s="41">
        <v>0.0</v>
      </c>
      <c r="K22" s="41">
        <v>0.0</v>
      </c>
      <c r="L22" s="41">
        <v>0.0</v>
      </c>
      <c r="M22" s="41">
        <v>0.0</v>
      </c>
      <c r="N22" s="41">
        <v>0.0</v>
      </c>
      <c r="O22" s="41">
        <v>0.0</v>
      </c>
      <c r="P22" s="41">
        <v>0.0</v>
      </c>
      <c r="Q22" s="41">
        <v>0.0</v>
      </c>
      <c r="R22" s="41">
        <v>161.0</v>
      </c>
      <c r="S22" s="41">
        <v>108.0</v>
      </c>
      <c r="T22" s="41">
        <v>84.0</v>
      </c>
      <c r="U22" s="41">
        <v>102.0</v>
      </c>
      <c r="V22" s="41">
        <v>166.0</v>
      </c>
      <c r="W22" s="41">
        <v>36.0</v>
      </c>
      <c r="X22" s="41">
        <v>18.0</v>
      </c>
      <c r="Y22" s="41">
        <v>24.0</v>
      </c>
      <c r="Z22" s="41">
        <v>24.0</v>
      </c>
      <c r="AA22" s="41">
        <v>96.0</v>
      </c>
      <c r="AB22" s="41">
        <v>102.0</v>
      </c>
      <c r="AC22" s="41">
        <v>168.0</v>
      </c>
      <c r="AD22" s="41">
        <v>78.0</v>
      </c>
      <c r="AE22" s="41">
        <v>138.0</v>
      </c>
      <c r="AF22" s="41">
        <v>66.0</v>
      </c>
      <c r="AG22" s="41">
        <v>48.0</v>
      </c>
      <c r="AH22" s="41">
        <v>42.0</v>
      </c>
      <c r="AI22" s="41">
        <v>66.0</v>
      </c>
      <c r="AJ22" s="41">
        <v>24.0</v>
      </c>
      <c r="AK22" s="41">
        <v>0.0</v>
      </c>
      <c r="AL22" s="41">
        <v>6.0</v>
      </c>
      <c r="AM22" s="43">
        <v>12.0</v>
      </c>
      <c r="AN22" s="43">
        <v>90.0</v>
      </c>
      <c r="AO22" s="43">
        <v>42.0</v>
      </c>
      <c r="AP22" s="43">
        <v>54.0</v>
      </c>
      <c r="AQ22" s="43">
        <v>30.0</v>
      </c>
      <c r="AR22" s="43">
        <v>60.0</v>
      </c>
      <c r="AS22" s="43">
        <v>44.0</v>
      </c>
      <c r="AT22" s="4">
        <f t="shared" si="4"/>
        <v>470.0</v>
      </c>
      <c r="AU22" s="4">
        <f t="shared" si="5"/>
        <v>150.0</v>
      </c>
      <c r="AV22" s="4">
        <f t="shared" si="6"/>
        <v>165.0</v>
      </c>
      <c r="AW22" s="1">
        <f t="shared" si="65"/>
        <v>18.571428571429</v>
      </c>
      <c r="AX22" s="1">
        <f t="shared" si="66"/>
        <v>23.2142857142857</v>
      </c>
      <c r="AY22" s="1">
        <f t="shared" si="67"/>
        <v>25.0</v>
      </c>
      <c r="AZ22" s="1">
        <f t="shared" si="68"/>
        <v>34.6428571428571</v>
      </c>
      <c r="BA22" s="1">
        <f t="shared" si="69"/>
        <v>16.4285714285714</v>
      </c>
      <c r="BB22" s="1">
        <f t="shared" ref="BB22:BB24" si="72">AV22*$BB$4/$AV$4+6*$BB$30</f>
        <v>32.1428571428571</v>
      </c>
      <c r="BC22" s="4">
        <f t="shared" si="13"/>
        <v>150.0</v>
      </c>
      <c r="BD22" s="3">
        <f>VLOOKUP(D22,FEB23SOH,2,false)</f>
        <v>452.0</v>
      </c>
      <c r="BE22" s="44">
        <f>VLOOKUP(D22,UNITVALUE,4,false)</f>
        <v>1.1425</v>
      </c>
      <c r="BF22" s="44">
        <f t="shared" si="16"/>
        <v>516.41</v>
      </c>
      <c r="BI22" s="6">
        <f t="shared" ref="BI22:BI27" si="73">BD22+BG22+BH22-BC22</f>
        <v>302.0</v>
      </c>
      <c r="BJ22" s="8">
        <f>VLOOKUP(C22,MOQ,3,FALSE())</f>
        <v>1002.0</v>
      </c>
      <c r="BK22" s="53" t="s">
        <v>0</v>
      </c>
      <c r="BM22" s="1">
        <f t="shared" ref="BM22:BM27" si="74">BD22</f>
        <v>452.0</v>
      </c>
      <c r="BN22" s="1">
        <f t="shared" ref="BN22:BN27" si="75">AW22</f>
        <v>18.571428571429</v>
      </c>
      <c r="BP22" s="45">
        <f t="shared" ref="BP22:BP27" si="76">BM22+BO22-BN22</f>
        <v>433.428571428571</v>
      </c>
      <c r="BQ22" s="5">
        <f t="shared" si="22"/>
        <v>495.192142857142</v>
      </c>
      <c r="BR22" s="1">
        <f t="shared" ref="BR22:BR27" si="77">AX22</f>
        <v>23.2142857142857</v>
      </c>
      <c r="BS22" s="1">
        <f t="shared" si="24"/>
      </c>
      <c r="BT22" s="45">
        <f t="shared" ref="BT22:BT27" si="78">BP22+BS22-BR22</f>
        <v>410.214285714285</v>
      </c>
      <c r="BU22" s="5">
        <f t="shared" si="26"/>
        <v>468.66982142857</v>
      </c>
      <c r="BV22" s="1">
        <f t="shared" ref="BV22:BV27" si="79">AY22</f>
        <v>25.0</v>
      </c>
      <c r="BW22" s="1">
        <f t="shared" ref="BW22:BW27" si="80">BG22</f>
      </c>
      <c r="BX22" s="45">
        <f t="shared" ref="BX22:BX27" si="81">BT22+BW22-BV22</f>
        <v>385.214285714285</v>
      </c>
      <c r="BY22" s="5">
        <f t="shared" si="30"/>
        <v>440.10732142857</v>
      </c>
      <c r="BZ22" s="1">
        <f t="shared" si="31"/>
        <v>34.6428571428571</v>
      </c>
      <c r="CB22" s="45">
        <f t="shared" si="32"/>
        <v>350.57142857142</v>
      </c>
      <c r="CC22" s="5">
        <f t="shared" ref="CC22:CC27" si="82">CB22*BE22</f>
        <v>400.527857142847</v>
      </c>
      <c r="CD22" s="1">
        <f t="shared" si="34"/>
        <v>16.4285714285714</v>
      </c>
      <c r="CF22" s="45">
        <f t="shared" si="35"/>
        <v>334.14285714284</v>
      </c>
      <c r="CG22" s="5">
        <f t="shared" ref="CG22:CG27" si="83">CF22*BE22</f>
        <v>381.758214285694</v>
      </c>
      <c r="CH22" s="1">
        <f t="shared" si="37"/>
        <v>32.1428571428571</v>
      </c>
      <c r="CJ22" s="45">
        <f t="shared" si="38"/>
        <v>301.999999999982</v>
      </c>
      <c r="CK22" s="5">
        <f t="shared" ref="CK22:CK27" si="84">CJ22*BE22</f>
        <v>345.034999999979</v>
      </c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ht="17.0">
      <c r="A23" s="41" t="s">
        <v>30</v>
      </c>
      <c r="B23" s="41" t="s">
        <v>63</v>
      </c>
      <c r="C23" s="41" t="s">
        <v>66</v>
      </c>
      <c r="D23" s="42" t="s">
        <v>67</v>
      </c>
      <c r="E23" s="41">
        <v>0.0</v>
      </c>
      <c r="F23" s="41">
        <v>0.0</v>
      </c>
      <c r="G23" s="41">
        <v>0.0</v>
      </c>
      <c r="H23" s="41">
        <v>0.0</v>
      </c>
      <c r="I23" s="41">
        <v>0.0</v>
      </c>
      <c r="J23" s="41">
        <v>0.0</v>
      </c>
      <c r="K23" s="41">
        <v>0.0</v>
      </c>
      <c r="L23" s="41">
        <v>0.0</v>
      </c>
      <c r="M23" s="41">
        <v>0.0</v>
      </c>
      <c r="N23" s="41">
        <v>0.0</v>
      </c>
      <c r="O23" s="41">
        <v>0.0</v>
      </c>
      <c r="P23" s="41">
        <v>0.0</v>
      </c>
      <c r="Q23" s="41">
        <v>0.0</v>
      </c>
      <c r="R23" s="41">
        <v>280.0</v>
      </c>
      <c r="S23" s="41">
        <v>180.0</v>
      </c>
      <c r="T23" s="41">
        <v>84.0</v>
      </c>
      <c r="U23" s="41">
        <v>228.0</v>
      </c>
      <c r="V23" s="41">
        <v>196.0</v>
      </c>
      <c r="W23" s="41">
        <v>6.0</v>
      </c>
      <c r="X23" s="41">
        <v>0.0</v>
      </c>
      <c r="Y23" s="41">
        <v>0.0</v>
      </c>
      <c r="Z23" s="41">
        <v>24.0</v>
      </c>
      <c r="AA23" s="41">
        <v>102.0</v>
      </c>
      <c r="AB23" s="41">
        <v>281.0</v>
      </c>
      <c r="AC23" s="41">
        <v>276.0</v>
      </c>
      <c r="AD23" s="41">
        <v>180.0</v>
      </c>
      <c r="AE23" s="41">
        <v>258.0</v>
      </c>
      <c r="AF23" s="41">
        <v>138.0</v>
      </c>
      <c r="AG23" s="41">
        <v>174.0</v>
      </c>
      <c r="AH23" s="41">
        <v>120.0</v>
      </c>
      <c r="AI23" s="41">
        <v>78.0</v>
      </c>
      <c r="AJ23" s="41">
        <v>66.0</v>
      </c>
      <c r="AK23" s="41">
        <v>30.0</v>
      </c>
      <c r="AL23" s="41">
        <v>36.0</v>
      </c>
      <c r="AM23" s="43">
        <v>42.0</v>
      </c>
      <c r="AN23" s="43">
        <v>174.0</v>
      </c>
      <c r="AO23" s="43">
        <v>270.0</v>
      </c>
      <c r="AP23" s="43">
        <v>120.0</v>
      </c>
      <c r="AQ23" s="43">
        <v>6.0</v>
      </c>
      <c r="AR23" s="43">
        <v>0.0</v>
      </c>
      <c r="AS23" s="43">
        <v>0.0</v>
      </c>
      <c r="AT23" s="4">
        <f t="shared" si="4"/>
        <v>942.0</v>
      </c>
      <c r="AU23" s="4">
        <f t="shared" si="5"/>
        <v>372.0</v>
      </c>
      <c r="AV23" s="4">
        <f t="shared" si="6"/>
        <v>409.2</v>
      </c>
      <c r="AW23" s="1">
        <f t="shared" si="65"/>
        <v>46.0571428571429</v>
      </c>
      <c r="AX23" s="1">
        <f t="shared" si="66"/>
        <v>57.5714285714286</v>
      </c>
      <c r="AY23" s="1">
        <f t="shared" si="67"/>
        <v>62.0</v>
      </c>
      <c r="AZ23" s="1">
        <f t="shared" si="68"/>
        <v>85.9142857142857</v>
      </c>
      <c r="BA23" s="1">
        <f t="shared" si="69"/>
        <v>40.7428571428571</v>
      </c>
      <c r="BB23" s="1">
        <f t="shared" si="72"/>
        <v>79.7142857142857</v>
      </c>
      <c r="BC23" s="4">
        <f t="shared" si="13"/>
        <v>372.0</v>
      </c>
      <c r="BD23" s="3">
        <f>VLOOKUP(D23,FEB23SOH,2,false)</f>
        <v>0.0</v>
      </c>
      <c r="BE23" s="44">
        <f>VLOOKUP(D23,UNITVALUE,4,false)</f>
      </c>
      <c r="BF23" s="44">
        <f t="shared" si="16"/>
        <v>0.0</v>
      </c>
      <c r="BI23" s="6">
        <f t="shared" si="73"/>
        <v>-372.0</v>
      </c>
      <c r="BJ23" s="8">
        <f>VLOOKUP(C23,MOQ,3,FALSE())</f>
        <v>1002.0</v>
      </c>
      <c r="BK23" s="51">
        <f>BJ23</f>
        <v>1002.0</v>
      </c>
      <c r="BL23" s="8" t="s">
        <v>68</v>
      </c>
      <c r="BM23" s="1">
        <f t="shared" si="74"/>
        <v>0.0</v>
      </c>
      <c r="BN23" s="1">
        <f t="shared" si="75"/>
        <v>46.0571428571429</v>
      </c>
      <c r="BP23" s="45">
        <f t="shared" si="76"/>
        <v>-46.0571428571429</v>
      </c>
      <c r="BR23" s="1">
        <f t="shared" si="77"/>
        <v>57.5714285714286</v>
      </c>
      <c r="BS23" s="1">
        <f t="shared" si="24"/>
      </c>
      <c r="BT23" s="45">
        <f t="shared" si="78"/>
        <v>-103.628571428571</v>
      </c>
      <c r="BU23" s="5"/>
      <c r="BV23" s="1">
        <f t="shared" si="79"/>
        <v>62.0</v>
      </c>
      <c r="BW23" s="1">
        <f t="shared" si="80"/>
      </c>
      <c r="BX23" s="45">
        <f t="shared" si="81"/>
        <v>-165.62857142857</v>
      </c>
      <c r="BY23" s="5">
        <f t="shared" si="30"/>
        <v>0.0</v>
      </c>
      <c r="BZ23" s="1">
        <f t="shared" si="31"/>
        <v>85.9142857142857</v>
      </c>
      <c r="CB23" s="45">
        <f t="shared" si="32"/>
        <v>-251.54285714285</v>
      </c>
      <c r="CC23" s="5">
        <f t="shared" si="82"/>
        <v>0.0</v>
      </c>
      <c r="CD23" s="1">
        <f t="shared" si="34"/>
        <v>40.7428571428571</v>
      </c>
      <c r="CF23" s="45">
        <f t="shared" si="35"/>
        <v>-292.285714285707</v>
      </c>
      <c r="CG23" s="5">
        <f t="shared" si="83"/>
        <v>0.0</v>
      </c>
      <c r="CH23" s="1">
        <f t="shared" si="37"/>
        <v>79.7142857142857</v>
      </c>
      <c r="CJ23" s="45">
        <f t="shared" si="38"/>
        <v>-371.999999999992</v>
      </c>
      <c r="CK23" s="5">
        <f t="shared" si="84"/>
        <v>0.0</v>
      </c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ht="17.0">
      <c r="A24" s="41" t="s">
        <v>30</v>
      </c>
      <c r="B24" s="10" t="s">
        <v>63</v>
      </c>
      <c r="C24" s="41" t="s">
        <v>69</v>
      </c>
      <c r="D24" s="42" t="s">
        <v>70</v>
      </c>
      <c r="E24" s="41">
        <v>0.0</v>
      </c>
      <c r="F24" s="41">
        <v>0.0</v>
      </c>
      <c r="G24" s="41">
        <v>0.0</v>
      </c>
      <c r="H24" s="41">
        <v>0.0</v>
      </c>
      <c r="I24" s="41">
        <v>0.0</v>
      </c>
      <c r="J24" s="41">
        <v>0.0</v>
      </c>
      <c r="K24" s="41">
        <v>0.0</v>
      </c>
      <c r="L24" s="41">
        <v>0.0</v>
      </c>
      <c r="M24" s="41">
        <v>0.0</v>
      </c>
      <c r="N24" s="41">
        <v>0.0</v>
      </c>
      <c r="O24" s="41">
        <v>0.0</v>
      </c>
      <c r="P24" s="41">
        <v>0.0</v>
      </c>
      <c r="Q24" s="41">
        <v>6.0</v>
      </c>
      <c r="R24" s="41">
        <v>174.0</v>
      </c>
      <c r="S24" s="41">
        <v>156.0</v>
      </c>
      <c r="T24" s="41">
        <v>60.0</v>
      </c>
      <c r="U24" s="41">
        <v>138.0</v>
      </c>
      <c r="V24" s="41">
        <v>172.0</v>
      </c>
      <c r="W24" s="41">
        <v>72.0</v>
      </c>
      <c r="X24" s="41">
        <v>13.0</v>
      </c>
      <c r="Y24" s="41">
        <v>24.0</v>
      </c>
      <c r="Z24" s="41">
        <v>30.0</v>
      </c>
      <c r="AA24" s="41">
        <v>48.0</v>
      </c>
      <c r="AB24" s="41">
        <v>54.0</v>
      </c>
      <c r="AC24" s="41">
        <v>120.0</v>
      </c>
      <c r="AD24" s="41">
        <v>90.0</v>
      </c>
      <c r="AE24" s="41">
        <v>132.0</v>
      </c>
      <c r="AF24" s="41">
        <v>90.0</v>
      </c>
      <c r="AG24" s="41">
        <v>54.0</v>
      </c>
      <c r="AH24" s="41">
        <v>18.0</v>
      </c>
      <c r="AI24" s="41">
        <v>48.0</v>
      </c>
      <c r="AJ24" s="41">
        <v>18.0</v>
      </c>
      <c r="AK24" s="41">
        <v>0.0</v>
      </c>
      <c r="AL24" s="41">
        <v>6.0</v>
      </c>
      <c r="AM24" s="43">
        <v>12.0</v>
      </c>
      <c r="AN24" s="43">
        <v>72.0</v>
      </c>
      <c r="AO24" s="43">
        <v>36.0</v>
      </c>
      <c r="AP24" s="43">
        <v>72.0</v>
      </c>
      <c r="AQ24" s="43">
        <v>60.0</v>
      </c>
      <c r="AR24" s="43">
        <v>66.0</v>
      </c>
      <c r="AS24" s="43">
        <v>44.0</v>
      </c>
      <c r="AT24" s="4">
        <f t="shared" si="4"/>
        <v>452.0</v>
      </c>
      <c r="AU24" s="4">
        <f t="shared" si="5"/>
        <v>102.0</v>
      </c>
      <c r="AV24" s="4">
        <f t="shared" si="6"/>
        <v>112.2</v>
      </c>
      <c r="AW24" s="1">
        <f t="shared" si="65"/>
        <v>12.6285714285714</v>
      </c>
      <c r="AX24" s="1">
        <f t="shared" si="66"/>
        <v>15.7857142857142</v>
      </c>
      <c r="AY24" s="1">
        <f t="shared" si="67"/>
        <v>17.0</v>
      </c>
      <c r="AZ24" s="1">
        <f t="shared" si="68"/>
        <v>23.5571428571429</v>
      </c>
      <c r="BA24" s="1">
        <f t="shared" si="69"/>
        <v>11.1714285714286</v>
      </c>
      <c r="BB24" s="1">
        <f t="shared" si="72"/>
        <v>21.8571428571429</v>
      </c>
      <c r="BC24" s="4">
        <f t="shared" si="13"/>
        <v>102.0</v>
      </c>
      <c r="BD24" s="3">
        <f>VLOOKUP(D24,FEB23SOH,2,false)</f>
        <v>157.0</v>
      </c>
      <c r="BE24" s="44">
        <f>VLOOKUP(D24,UNITVALUE,4,false)</f>
        <v>1.1273</v>
      </c>
      <c r="BF24" s="44">
        <f t="shared" si="16"/>
        <v>176.9861</v>
      </c>
      <c r="BI24" s="6">
        <f t="shared" si="73"/>
        <v>55.0</v>
      </c>
      <c r="BJ24" s="8">
        <v>1002.0</v>
      </c>
      <c r="BK24" s="53" t="s">
        <v>0</v>
      </c>
      <c r="BL24" s="8" t="s">
        <v>7</v>
      </c>
      <c r="BM24" s="1">
        <f t="shared" si="74"/>
        <v>157.0</v>
      </c>
      <c r="BN24" s="1">
        <f t="shared" si="75"/>
        <v>12.6285714285714</v>
      </c>
      <c r="BP24" s="45">
        <f t="shared" si="76"/>
        <v>144.371428571429</v>
      </c>
      <c r="BQ24" s="5">
        <f t="shared" ref="BQ24:BQ27" si="86">BP24*BE24</f>
        <v>162.749911428571</v>
      </c>
      <c r="BR24" s="1">
        <f t="shared" si="77"/>
        <v>15.7857142857142</v>
      </c>
      <c r="BS24" s="1">
        <f t="shared" si="24"/>
      </c>
      <c r="BT24" s="45">
        <f t="shared" si="78"/>
        <v>128.585714285714</v>
      </c>
      <c r="BU24" s="5">
        <f t="shared" ref="BU24:BU27" si="87">BT24*BE24</f>
        <v>144.954675714285</v>
      </c>
      <c r="BV24" s="1">
        <f t="shared" si="79"/>
        <v>17.0</v>
      </c>
      <c r="BW24" s="1">
        <f t="shared" si="80"/>
      </c>
      <c r="BX24" s="45">
        <f t="shared" si="81"/>
        <v>111.585714285714</v>
      </c>
      <c r="BY24" s="5">
        <f t="shared" si="30"/>
        <v>125.790575714285</v>
      </c>
      <c r="BZ24" s="1">
        <f t="shared" si="31"/>
        <v>23.5571428571429</v>
      </c>
      <c r="CB24" s="45">
        <f t="shared" si="32"/>
        <v>88.0285714285711</v>
      </c>
      <c r="CC24" s="5">
        <f t="shared" si="82"/>
        <v>99.2346085714282</v>
      </c>
      <c r="CD24" s="1">
        <f t="shared" si="34"/>
        <v>11.1714285714286</v>
      </c>
      <c r="CF24" s="45">
        <f t="shared" si="35"/>
        <v>76.8571428571424</v>
      </c>
      <c r="CG24" s="5">
        <f t="shared" si="83"/>
        <v>86.6410571428566</v>
      </c>
      <c r="CH24" s="1">
        <f t="shared" si="37"/>
        <v>21.8571428571429</v>
      </c>
      <c r="CJ24" s="45">
        <f t="shared" si="38"/>
        <v>54.9999999999995</v>
      </c>
      <c r="CK24" s="5">
        <f t="shared" si="84"/>
        <v>62.0014999999994</v>
      </c>
    </row>
    <row r="25" ht="17.0">
      <c r="A25" s="41" t="s">
        <v>30</v>
      </c>
      <c r="B25" s="10" t="s">
        <v>63</v>
      </c>
      <c r="C25" s="41" t="s">
        <v>71</v>
      </c>
      <c r="D25" s="42" t="s">
        <v>72</v>
      </c>
      <c r="E25" s="41">
        <v>0.0</v>
      </c>
      <c r="F25" s="41">
        <v>0.0</v>
      </c>
      <c r="G25" s="41">
        <v>0.0</v>
      </c>
      <c r="H25" s="41">
        <v>0.0</v>
      </c>
      <c r="I25" s="41">
        <v>0.0</v>
      </c>
      <c r="J25" s="41">
        <v>0.0</v>
      </c>
      <c r="K25" s="41">
        <v>0.0</v>
      </c>
      <c r="L25" s="41">
        <v>0.0</v>
      </c>
      <c r="M25" s="41">
        <v>0.0</v>
      </c>
      <c r="N25" s="41">
        <v>0.0</v>
      </c>
      <c r="O25" s="41">
        <v>0.0</v>
      </c>
      <c r="P25" s="41">
        <v>0.0</v>
      </c>
      <c r="Q25" s="41">
        <v>0.0</v>
      </c>
      <c r="R25" s="41">
        <v>0.0</v>
      </c>
      <c r="S25" s="41">
        <v>0.0</v>
      </c>
      <c r="T25" s="41">
        <v>0.0</v>
      </c>
      <c r="U25" s="41">
        <v>0.0</v>
      </c>
      <c r="V25" s="41">
        <v>0.0</v>
      </c>
      <c r="W25" s="41">
        <v>0.0</v>
      </c>
      <c r="X25" s="41">
        <v>0.0</v>
      </c>
      <c r="Y25" s="41">
        <v>0.0</v>
      </c>
      <c r="Z25" s="41">
        <v>30.0</v>
      </c>
      <c r="AA25" s="41">
        <v>84.0</v>
      </c>
      <c r="AB25" s="41">
        <v>300.0</v>
      </c>
      <c r="AC25" s="41">
        <v>209.0</v>
      </c>
      <c r="AD25" s="41">
        <v>210.0</v>
      </c>
      <c r="AE25" s="41">
        <v>150.0</v>
      </c>
      <c r="AF25" s="41">
        <v>18.0</v>
      </c>
      <c r="AG25" s="41">
        <v>0.0</v>
      </c>
      <c r="AH25" s="41">
        <v>24.0</v>
      </c>
      <c r="AI25" s="41">
        <v>66.0</v>
      </c>
      <c r="AJ25" s="41">
        <v>12.0</v>
      </c>
      <c r="AK25" s="41">
        <v>12.0</v>
      </c>
      <c r="AL25" s="41">
        <v>6.0</v>
      </c>
      <c r="AM25" s="43">
        <v>18.0</v>
      </c>
      <c r="AN25" s="43">
        <v>60.0</v>
      </c>
      <c r="AO25" s="43">
        <v>72.0</v>
      </c>
      <c r="AP25" s="43">
        <v>84.0</v>
      </c>
      <c r="AQ25" s="43">
        <v>78.0</v>
      </c>
      <c r="AR25" s="43">
        <v>37.0</v>
      </c>
      <c r="AS25" s="43">
        <v>51.0</v>
      </c>
      <c r="AT25" s="4">
        <f t="shared" si="4"/>
        <v>520.0</v>
      </c>
      <c r="AU25" s="4">
        <f t="shared" si="5"/>
        <v>138.0</v>
      </c>
      <c r="AV25" s="4">
        <f t="shared" si="6"/>
        <v>151.8</v>
      </c>
      <c r="AW25" s="1">
        <f t="shared" si="65"/>
        <v>17.0857142857142</v>
      </c>
      <c r="AX25" s="1">
        <f t="shared" si="66"/>
        <v>21.3571428571429</v>
      </c>
      <c r="AY25" s="1">
        <f t="shared" si="67"/>
        <v>23.0</v>
      </c>
      <c r="AZ25" s="1">
        <f t="shared" si="68"/>
        <v>31.8714285714286</v>
      </c>
      <c r="BA25" s="1">
        <f t="shared" si="69"/>
        <v>15.1142857142857</v>
      </c>
      <c r="BB25" s="1">
        <f t="shared" ref="BB25:BB26" si="88">AV25*$BB$4/$AV$4</f>
        <v>29.571428571429</v>
      </c>
      <c r="BC25" s="4">
        <f t="shared" si="13"/>
        <v>138.0</v>
      </c>
      <c r="BD25" s="3">
        <f>VLOOKUP(D25,FEB23SOH,2,false)</f>
        <v>455.0</v>
      </c>
      <c r="BE25" s="44">
        <f>VLOOKUP(D25,UNITVALUE,4,false)</f>
        <v>1.1892</v>
      </c>
      <c r="BF25" s="44">
        <f t="shared" si="16"/>
        <v>541.086</v>
      </c>
      <c r="BI25" s="6">
        <f t="shared" si="73"/>
        <v>317.0</v>
      </c>
      <c r="BJ25" s="8">
        <v>1002.0</v>
      </c>
      <c r="BK25" s="53" t="s">
        <v>0</v>
      </c>
      <c r="BM25" s="1">
        <f t="shared" si="74"/>
        <v>455.0</v>
      </c>
      <c r="BN25" s="1">
        <f t="shared" si="75"/>
        <v>17.0857142857142</v>
      </c>
      <c r="BP25" s="45">
        <f t="shared" si="76"/>
        <v>437.914285714286</v>
      </c>
      <c r="BQ25" s="5">
        <f t="shared" si="86"/>
        <v>520.767668571429</v>
      </c>
      <c r="BR25" s="1">
        <f t="shared" si="77"/>
        <v>21.3571428571429</v>
      </c>
      <c r="BS25" s="1">
        <f t="shared" si="24"/>
      </c>
      <c r="BT25" s="45">
        <f t="shared" si="78"/>
        <v>416.557142857143</v>
      </c>
      <c r="BU25" s="5">
        <f t="shared" si="87"/>
        <v>495.369754285714</v>
      </c>
      <c r="BV25" s="1">
        <f t="shared" si="79"/>
        <v>23.0</v>
      </c>
      <c r="BW25" s="1">
        <f t="shared" si="80"/>
      </c>
      <c r="BX25" s="45">
        <f t="shared" si="81"/>
        <v>393.557142857143</v>
      </c>
      <c r="BY25" s="5">
        <f t="shared" si="30"/>
        <v>468.018154285714</v>
      </c>
      <c r="BZ25" s="1">
        <f t="shared" si="31"/>
        <v>31.8714285714286</v>
      </c>
      <c r="CB25" s="45">
        <f t="shared" si="32"/>
        <v>361.685714285714</v>
      </c>
      <c r="CC25" s="5">
        <f t="shared" si="82"/>
        <v>430.116651428571</v>
      </c>
      <c r="CD25" s="1">
        <f t="shared" si="34"/>
        <v>15.1142857142857</v>
      </c>
      <c r="CF25" s="45">
        <f t="shared" si="35"/>
        <v>346.571428571428</v>
      </c>
      <c r="CG25" s="5">
        <f t="shared" si="83"/>
        <v>412.142742857142</v>
      </c>
      <c r="CH25" s="1">
        <f t="shared" si="37"/>
        <v>29.571428571429</v>
      </c>
      <c r="CJ25" s="45">
        <f t="shared" si="38"/>
        <v>316.999999999999</v>
      </c>
      <c r="CK25" s="5">
        <f t="shared" si="84"/>
        <v>376.9764</v>
      </c>
    </row>
    <row r="26" ht="17.0">
      <c r="A26" s="41" t="s">
        <v>30</v>
      </c>
      <c r="B26" s="10" t="s">
        <v>63</v>
      </c>
      <c r="C26" s="41" t="s">
        <v>73</v>
      </c>
      <c r="D26" s="42" t="s">
        <v>74</v>
      </c>
      <c r="E26" s="41">
        <v>0.0</v>
      </c>
      <c r="F26" s="41">
        <v>0.0</v>
      </c>
      <c r="G26" s="41">
        <v>0.0</v>
      </c>
      <c r="H26" s="41">
        <v>0.0</v>
      </c>
      <c r="I26" s="41">
        <v>0.0</v>
      </c>
      <c r="J26" s="41">
        <v>0.0</v>
      </c>
      <c r="K26" s="41">
        <v>0.0</v>
      </c>
      <c r="L26" s="41">
        <v>0.0</v>
      </c>
      <c r="M26" s="41">
        <v>0.0</v>
      </c>
      <c r="N26" s="41">
        <v>0.0</v>
      </c>
      <c r="O26" s="41">
        <v>0.0</v>
      </c>
      <c r="P26" s="41">
        <v>0.0</v>
      </c>
      <c r="Q26" s="41">
        <v>0.0</v>
      </c>
      <c r="R26" s="41">
        <v>0.0</v>
      </c>
      <c r="S26" s="41">
        <v>0.0</v>
      </c>
      <c r="T26" s="41">
        <v>0.0</v>
      </c>
      <c r="U26" s="41">
        <v>0.0</v>
      </c>
      <c r="V26" s="41">
        <v>0.0</v>
      </c>
      <c r="W26" s="41">
        <v>0.0</v>
      </c>
      <c r="X26" s="41">
        <v>0.0</v>
      </c>
      <c r="Y26" s="41">
        <v>0.0</v>
      </c>
      <c r="Z26" s="41">
        <v>24.0</v>
      </c>
      <c r="AA26" s="41">
        <v>66.0</v>
      </c>
      <c r="AB26" s="41">
        <v>222.0</v>
      </c>
      <c r="AC26" s="41">
        <v>204.0</v>
      </c>
      <c r="AD26" s="41">
        <v>198.0</v>
      </c>
      <c r="AE26" s="41">
        <v>138.0</v>
      </c>
      <c r="AF26" s="41">
        <v>84.0</v>
      </c>
      <c r="AG26" s="41">
        <v>54.0</v>
      </c>
      <c r="AH26" s="41">
        <v>30.0</v>
      </c>
      <c r="AI26" s="41">
        <v>36.0</v>
      </c>
      <c r="AJ26" s="41">
        <v>36.0</v>
      </c>
      <c r="AK26" s="41">
        <v>12.0</v>
      </c>
      <c r="AL26" s="41">
        <v>0.0</v>
      </c>
      <c r="AM26" s="43">
        <v>24.0</v>
      </c>
      <c r="AN26" s="43">
        <v>67.0</v>
      </c>
      <c r="AO26" s="43">
        <v>48.0</v>
      </c>
      <c r="AP26" s="43">
        <v>72.0</v>
      </c>
      <c r="AQ26" s="43">
        <v>42.0</v>
      </c>
      <c r="AR26" s="43">
        <v>36.0</v>
      </c>
      <c r="AS26" s="43">
        <v>66.0</v>
      </c>
      <c r="AT26" s="4">
        <f t="shared" si="4"/>
        <v>469.0</v>
      </c>
      <c r="AU26" s="4">
        <f t="shared" si="5"/>
        <v>138.0</v>
      </c>
      <c r="AV26" s="4">
        <f t="shared" si="6"/>
        <v>151.8</v>
      </c>
      <c r="AW26" s="1">
        <f t="shared" si="65"/>
        <v>17.0857142857142</v>
      </c>
      <c r="AX26" s="1">
        <f t="shared" si="66"/>
        <v>21.3571428571429</v>
      </c>
      <c r="AY26" s="1">
        <f t="shared" si="67"/>
        <v>23.0</v>
      </c>
      <c r="AZ26" s="1">
        <f t="shared" si="68"/>
        <v>31.8714285714286</v>
      </c>
      <c r="BA26" s="1">
        <f t="shared" si="69"/>
        <v>15.1142857142857</v>
      </c>
      <c r="BB26" s="1">
        <f t="shared" si="88"/>
        <v>29.571428571429</v>
      </c>
      <c r="BC26" s="4">
        <f t="shared" si="13"/>
        <v>138.0</v>
      </c>
      <c r="BD26" s="3">
        <f>VLOOKUP(D26,FEB23SOH,2,false)</f>
        <v>521.0</v>
      </c>
      <c r="BE26" s="44">
        <f>VLOOKUP(D26,UNITVALUE,4,false)</f>
        <v>1.1893</v>
      </c>
      <c r="BF26" s="44">
        <f t="shared" si="16"/>
        <v>619.6253</v>
      </c>
      <c r="BI26" s="6">
        <f t="shared" si="73"/>
        <v>383.0</v>
      </c>
      <c r="BJ26" s="8">
        <v>1002.0</v>
      </c>
      <c r="BK26" s="53" t="s">
        <v>0</v>
      </c>
      <c r="BM26" s="1">
        <f t="shared" si="74"/>
        <v>521.0</v>
      </c>
      <c r="BN26" s="1">
        <f t="shared" si="75"/>
        <v>17.0857142857142</v>
      </c>
      <c r="BP26" s="45">
        <f t="shared" si="76"/>
        <v>503.914285714286</v>
      </c>
      <c r="BQ26" s="5">
        <f t="shared" si="86"/>
        <v>599.30526</v>
      </c>
      <c r="BR26" s="1">
        <f t="shared" si="77"/>
        <v>21.3571428571429</v>
      </c>
      <c r="BS26" s="1">
        <f t="shared" si="24"/>
      </c>
      <c r="BT26" s="45">
        <f t="shared" si="78"/>
        <v>482.557142857143</v>
      </c>
      <c r="BU26" s="5">
        <f t="shared" si="87"/>
        <v>573.90521</v>
      </c>
      <c r="BV26" s="1">
        <f t="shared" si="79"/>
        <v>23.0</v>
      </c>
      <c r="BW26" s="1">
        <f t="shared" si="80"/>
      </c>
      <c r="BX26" s="45">
        <f t="shared" si="81"/>
        <v>459.557142857143</v>
      </c>
      <c r="BY26" s="5">
        <f t="shared" si="30"/>
        <v>546.55131</v>
      </c>
      <c r="BZ26" s="1">
        <f t="shared" si="31"/>
        <v>31.8714285714286</v>
      </c>
      <c r="CB26" s="45">
        <f t="shared" si="32"/>
        <v>427.685714285714</v>
      </c>
      <c r="CC26" s="5">
        <f t="shared" si="82"/>
        <v>508.64662</v>
      </c>
      <c r="CD26" s="1">
        <f t="shared" si="34"/>
        <v>15.1142857142857</v>
      </c>
      <c r="CF26" s="45">
        <f t="shared" si="35"/>
        <v>412.571428571428</v>
      </c>
      <c r="CG26" s="5">
        <f t="shared" si="83"/>
        <v>490.671199999999</v>
      </c>
      <c r="CH26" s="1">
        <f t="shared" si="37"/>
        <v>29.571428571429</v>
      </c>
      <c r="CJ26" s="45">
        <f t="shared" si="38"/>
        <v>382.999999999999</v>
      </c>
      <c r="CK26" s="5">
        <f t="shared" si="84"/>
        <v>455.501899999999</v>
      </c>
    </row>
    <row r="27" ht="17.0">
      <c r="A27" s="41" t="s">
        <v>30</v>
      </c>
      <c r="B27" s="41" t="s">
        <v>63</v>
      </c>
      <c r="C27" s="41" t="s">
        <v>75</v>
      </c>
      <c r="D27" s="42" t="s">
        <v>76</v>
      </c>
      <c r="E27" s="41">
        <v>0.0</v>
      </c>
      <c r="F27" s="41">
        <v>0.0</v>
      </c>
      <c r="G27" s="41">
        <v>0.0</v>
      </c>
      <c r="H27" s="41">
        <v>0.0</v>
      </c>
      <c r="I27" s="41">
        <v>0.0</v>
      </c>
      <c r="J27" s="41">
        <v>0.0</v>
      </c>
      <c r="K27" s="41">
        <v>0.0</v>
      </c>
      <c r="L27" s="41">
        <v>1.0</v>
      </c>
      <c r="M27" s="41">
        <v>0.0</v>
      </c>
      <c r="N27" s="41">
        <v>0.0</v>
      </c>
      <c r="O27" s="41">
        <v>0.0</v>
      </c>
      <c r="P27" s="41">
        <v>0.0</v>
      </c>
      <c r="Q27" s="41">
        <v>5.0</v>
      </c>
      <c r="R27" s="41">
        <v>10.0</v>
      </c>
      <c r="S27" s="41">
        <v>7.0</v>
      </c>
      <c r="T27" s="41">
        <v>2.0</v>
      </c>
      <c r="U27" s="41">
        <v>9.0</v>
      </c>
      <c r="V27" s="41">
        <v>16.0</v>
      </c>
      <c r="W27" s="41">
        <v>0.0</v>
      </c>
      <c r="X27" s="41">
        <v>0.0</v>
      </c>
      <c r="Y27" s="41">
        <v>0.0</v>
      </c>
      <c r="Z27" s="41">
        <v>0.0</v>
      </c>
      <c r="AA27" s="41">
        <v>4.0</v>
      </c>
      <c r="AB27" s="41">
        <v>0.0</v>
      </c>
      <c r="AC27" s="41">
        <v>0.0</v>
      </c>
      <c r="AD27" s="41">
        <v>0.0</v>
      </c>
      <c r="AE27" s="41">
        <v>0.0</v>
      </c>
      <c r="AF27" s="41">
        <v>0.0</v>
      </c>
      <c r="AG27" s="41">
        <v>0.0</v>
      </c>
      <c r="AH27" s="41">
        <v>0.0</v>
      </c>
      <c r="AI27" s="41">
        <v>0.0</v>
      </c>
      <c r="AJ27" s="41">
        <v>0.0</v>
      </c>
      <c r="AK27" s="41">
        <v>0.0</v>
      </c>
      <c r="AL27" s="41">
        <v>0.0</v>
      </c>
      <c r="AM27" s="43">
        <v>0.0</v>
      </c>
      <c r="AN27" s="43">
        <v>0.0</v>
      </c>
      <c r="AO27" s="43">
        <v>1.0</v>
      </c>
      <c r="AP27" s="43">
        <v>0.0</v>
      </c>
      <c r="AQ27" s="43">
        <v>0.0</v>
      </c>
      <c r="AR27" s="43">
        <v>0.0</v>
      </c>
      <c r="AS27" s="43">
        <v>0.0</v>
      </c>
      <c r="AT27" s="4">
        <f t="shared" si="4"/>
        <v>1.0</v>
      </c>
      <c r="AU27" s="4">
        <f t="shared" si="5"/>
        <v>0.0</v>
      </c>
      <c r="AV27" s="4">
        <f t="shared" si="6"/>
        <v>0.0</v>
      </c>
      <c r="AW27" s="1">
        <f>AW28+AW29+AW30</f>
        <v>0.495238095238094</v>
      </c>
      <c r="AX27" s="1">
        <f>AX28+AX29+AX30</f>
        <v>0.619047619047618</v>
      </c>
      <c r="AY27" s="1">
        <f>AY28+AY29+AY30</f>
        <v>0.666666666666667</v>
      </c>
      <c r="AZ27" s="1">
        <f>AZ28+AZ29+AZ30</f>
        <v>0.923809523809522</v>
      </c>
      <c r="BA27" s="1">
        <f>BA28+BA29+BA30</f>
        <v>0.438095238095239</v>
      </c>
      <c r="BB27" s="1">
        <f>BB28+BB29+BB30</f>
        <v>0.857142857142856</v>
      </c>
      <c r="BC27" s="4">
        <f t="shared" si="13"/>
        <v>4.0</v>
      </c>
      <c r="BD27" s="3">
        <f>VLOOKUP(D27,FEB23SOH,2,false)</f>
        <v>32.0</v>
      </c>
      <c r="BE27" s="44">
        <f>VLOOKUP(D27,UNITVALUE,4,false)</f>
        <v>4.1122</v>
      </c>
      <c r="BF27" s="44">
        <f t="shared" si="16"/>
        <v>131.5904</v>
      </c>
      <c r="BI27" s="6">
        <f t="shared" si="73"/>
        <v>28.0</v>
      </c>
      <c r="BM27" s="1">
        <f t="shared" si="74"/>
        <v>32.0</v>
      </c>
      <c r="BN27" s="1">
        <f t="shared" si="75"/>
        <v>0.495238095238094</v>
      </c>
      <c r="BP27" s="45">
        <f t="shared" si="76"/>
        <v>31.5047619047619</v>
      </c>
      <c r="BQ27" s="5">
        <f t="shared" si="86"/>
        <v>129.553881904761</v>
      </c>
      <c r="BR27" s="1">
        <f t="shared" si="77"/>
        <v>0.619047619047618</v>
      </c>
      <c r="BS27" s="1">
        <f t="shared" si="24"/>
      </c>
      <c r="BT27" s="45">
        <f t="shared" si="78"/>
        <v>30.8857142857142</v>
      </c>
      <c r="BU27" s="5">
        <f t="shared" si="87"/>
        <v>127.008234285713</v>
      </c>
      <c r="BV27" s="1">
        <f t="shared" si="79"/>
        <v>0.666666666666667</v>
      </c>
      <c r="BW27" s="1">
        <f t="shared" si="80"/>
      </c>
      <c r="BX27" s="45">
        <f t="shared" si="81"/>
        <v>30.2190476190475</v>
      </c>
      <c r="BY27" s="5">
        <f t="shared" si="30"/>
        <v>124.266767619047</v>
      </c>
      <c r="BZ27" s="1">
        <f t="shared" si="31"/>
        <v>0.923809523809522</v>
      </c>
      <c r="CB27" s="45">
        <f t="shared" si="32"/>
        <v>29.295238095238</v>
      </c>
      <c r="CC27" s="5">
        <f t="shared" si="82"/>
        <v>120.46787809523</v>
      </c>
      <c r="CD27" s="1">
        <f t="shared" si="34"/>
        <v>0.438095238095239</v>
      </c>
      <c r="CF27" s="45">
        <f t="shared" si="35"/>
        <v>28.8571428571428</v>
      </c>
      <c r="CG27" s="5">
        <f t="shared" si="83"/>
        <v>118.666342857142</v>
      </c>
      <c r="CH27" s="1">
        <f t="shared" si="37"/>
        <v>0.857142857142856</v>
      </c>
      <c r="CJ27" s="45">
        <f t="shared" si="38"/>
        <v>27.9999999999999</v>
      </c>
      <c r="CK27" s="5">
        <f t="shared" si="84"/>
        <v>115.1416</v>
      </c>
    </row>
    <row r="28" ht="17.0">
      <c r="A28" s="46" t="s">
        <v>30</v>
      </c>
      <c r="B28" s="46" t="s">
        <v>63</v>
      </c>
      <c r="C28" s="46" t="s">
        <v>77</v>
      </c>
      <c r="D28" s="47" t="s">
        <v>78</v>
      </c>
      <c r="E28" s="41">
        <v>13.0</v>
      </c>
      <c r="F28" s="41">
        <v>25.0</v>
      </c>
      <c r="G28" s="41">
        <v>12.0</v>
      </c>
      <c r="H28" s="41">
        <v>1.0</v>
      </c>
      <c r="I28" s="41">
        <v>4.0</v>
      </c>
      <c r="J28" s="41">
        <v>12.0</v>
      </c>
      <c r="K28" s="41">
        <v>0.0</v>
      </c>
      <c r="L28" s="41">
        <v>5.0</v>
      </c>
      <c r="M28" s="41">
        <v>2.0</v>
      </c>
      <c r="N28" s="41">
        <v>5.0</v>
      </c>
      <c r="O28" s="41">
        <v>6.0</v>
      </c>
      <c r="P28" s="41">
        <v>15.0</v>
      </c>
      <c r="Q28" s="41">
        <v>4.0</v>
      </c>
      <c r="R28" s="41">
        <v>1.0</v>
      </c>
      <c r="S28" s="41">
        <v>0.0</v>
      </c>
      <c r="T28" s="41">
        <v>0.0</v>
      </c>
      <c r="U28" s="41">
        <v>1.0</v>
      </c>
      <c r="V28" s="41">
        <v>1.0</v>
      </c>
      <c r="W28" s="41">
        <v>0.0</v>
      </c>
      <c r="X28" s="41">
        <v>1.0</v>
      </c>
      <c r="Y28" s="41">
        <v>0.0</v>
      </c>
      <c r="Z28" s="41">
        <v>0.0</v>
      </c>
      <c r="AA28" s="41">
        <v>0.0</v>
      </c>
      <c r="AB28" s="41">
        <v>2.0</v>
      </c>
      <c r="AC28" s="41">
        <v>0.0</v>
      </c>
      <c r="AD28" s="41">
        <v>0.0</v>
      </c>
      <c r="AE28" s="41">
        <v>0.0</v>
      </c>
      <c r="AF28" s="41">
        <v>0.0</v>
      </c>
      <c r="AG28" s="41">
        <v>0.0</v>
      </c>
      <c r="AH28" s="41">
        <v>1.0</v>
      </c>
      <c r="AI28" s="41">
        <v>1.0</v>
      </c>
      <c r="AJ28" s="41">
        <v>0.0</v>
      </c>
      <c r="AK28" s="41">
        <v>0.0</v>
      </c>
      <c r="AL28" s="41">
        <v>1.0</v>
      </c>
      <c r="AM28" s="43">
        <v>0.0</v>
      </c>
      <c r="AN28" s="43">
        <v>2.0</v>
      </c>
      <c r="AO28" s="43">
        <v>3.0</v>
      </c>
      <c r="AP28" s="43">
        <v>1.0</v>
      </c>
      <c r="AQ28" s="43">
        <v>2.0</v>
      </c>
      <c r="AR28" s="43">
        <v>2.0</v>
      </c>
      <c r="AS28" s="43">
        <v>1.0</v>
      </c>
      <c r="AT28" s="4">
        <f t="shared" si="4"/>
        <v>14.0</v>
      </c>
      <c r="AU28" s="4">
        <f t="shared" si="5"/>
        <v>3.0</v>
      </c>
      <c r="AV28" s="4">
        <f t="shared" si="6"/>
        <v>3.3</v>
      </c>
      <c r="AW28" s="48">
        <f t="shared" ref="AW28:AW30" si="95">AV28*$AW$4/$AV$4</f>
        <v>0.371428571428571</v>
      </c>
      <c r="AX28" s="48">
        <f t="shared" ref="AX28:AX30" si="96">AV28*$AX$4/$AV$4</f>
        <v>0.464285714285714</v>
      </c>
      <c r="AY28" s="48">
        <f t="shared" ref="AY28:AY30" si="97">AV28*$AY$4/$AV$4</f>
        <v>0.5</v>
      </c>
      <c r="AZ28" s="48">
        <f t="shared" ref="AZ28:AZ30" si="98">AV28*$AZ$4/$AV$4</f>
        <v>0.692857142857142</v>
      </c>
      <c r="BA28" s="48">
        <f t="shared" ref="BA28:BA30" si="99">AV28*$BA$4/$AV$4</f>
        <v>0.328571428571429</v>
      </c>
      <c r="BB28" s="48">
        <f t="shared" ref="BB28:BB30" si="100">AV28*$BB$4/$AV$4</f>
        <v>0.642857142857142</v>
      </c>
      <c r="BC28" s="4">
        <f t="shared" si="13"/>
        <v>3.0</v>
      </c>
      <c r="BD28" s="3">
        <f>VLOOKUP(D28,FEB23SOH,2,false)</f>
        <v>3.0</v>
      </c>
      <c r="BE28" s="44">
        <f>VLOOKUP(D28,UNITVALUE,4,false)</f>
        <v>44.1767</v>
      </c>
      <c r="BF28" s="44">
        <f t="shared" si="16"/>
        <v>132.5301</v>
      </c>
      <c r="BJ28" s="49"/>
      <c r="BK28" s="50"/>
      <c r="BP28" s="45"/>
      <c r="BT28" s="45"/>
      <c r="BU28" s="5"/>
      <c r="BX28" s="45"/>
      <c r="BY28" s="5"/>
      <c r="CB28" s="45"/>
      <c r="CC28" s="5"/>
      <c r="CF28" s="45"/>
      <c r="CG28" s="5"/>
      <c r="CJ28" s="45"/>
      <c r="CK28" s="5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</row>
    <row r="29" ht="17.0">
      <c r="A29" s="46" t="s">
        <v>30</v>
      </c>
      <c r="B29" s="46" t="s">
        <v>63</v>
      </c>
      <c r="C29" s="46" t="s">
        <v>79</v>
      </c>
      <c r="D29" s="47" t="s">
        <v>80</v>
      </c>
      <c r="E29" s="41">
        <v>0.0</v>
      </c>
      <c r="F29" s="41">
        <v>0.0</v>
      </c>
      <c r="G29" s="41">
        <v>0.0</v>
      </c>
      <c r="H29" s="41">
        <v>0.0</v>
      </c>
      <c r="I29" s="41">
        <v>0.0</v>
      </c>
      <c r="J29" s="41">
        <v>0.0</v>
      </c>
      <c r="K29" s="41">
        <v>0.0</v>
      </c>
      <c r="L29" s="41">
        <v>0.0</v>
      </c>
      <c r="M29" s="41">
        <v>0.0</v>
      </c>
      <c r="N29" s="41">
        <v>0.0</v>
      </c>
      <c r="O29" s="41">
        <v>0.0</v>
      </c>
      <c r="P29" s="41">
        <v>0.0</v>
      </c>
      <c r="Q29" s="41">
        <v>0.0</v>
      </c>
      <c r="R29" s="41">
        <v>0.0</v>
      </c>
      <c r="S29" s="41">
        <v>0.0</v>
      </c>
      <c r="T29" s="41">
        <v>0.0</v>
      </c>
      <c r="U29" s="41">
        <v>0.0</v>
      </c>
      <c r="V29" s="41">
        <v>0.0</v>
      </c>
      <c r="W29" s="41">
        <v>0.0</v>
      </c>
      <c r="X29" s="41">
        <v>0.0</v>
      </c>
      <c r="Y29" s="41">
        <v>0.0</v>
      </c>
      <c r="Z29" s="41">
        <v>0.0</v>
      </c>
      <c r="AA29" s="41">
        <v>0.0</v>
      </c>
      <c r="AB29" s="41">
        <v>0.0</v>
      </c>
      <c r="AC29" s="41">
        <v>0.0</v>
      </c>
      <c r="AD29" s="41">
        <v>1.0</v>
      </c>
      <c r="AE29" s="41">
        <v>0.0</v>
      </c>
      <c r="AF29" s="41">
        <v>0.0</v>
      </c>
      <c r="AG29" s="41">
        <v>0.0</v>
      </c>
      <c r="AH29" s="41">
        <v>0.0</v>
      </c>
      <c r="AI29" s="41">
        <v>0.0</v>
      </c>
      <c r="AJ29" s="41">
        <v>0.0</v>
      </c>
      <c r="AK29" s="41">
        <v>0.0</v>
      </c>
      <c r="AL29" s="41">
        <v>0.0</v>
      </c>
      <c r="AM29" s="43">
        <v>1.0</v>
      </c>
      <c r="AN29" s="43">
        <v>0.0</v>
      </c>
      <c r="AO29" s="43">
        <v>0.0</v>
      </c>
      <c r="AP29" s="43">
        <v>0.0</v>
      </c>
      <c r="AQ29" s="43">
        <v>0.0</v>
      </c>
      <c r="AR29" s="43">
        <v>0.0</v>
      </c>
      <c r="AS29" s="43">
        <v>0.0</v>
      </c>
      <c r="AT29" s="4">
        <f t="shared" si="4"/>
        <v>1.0</v>
      </c>
      <c r="AU29" s="4">
        <f t="shared" si="5"/>
        <v>1.0</v>
      </c>
      <c r="AV29" s="4">
        <f t="shared" si="6"/>
        <v>1.1</v>
      </c>
      <c r="AW29" s="48">
        <f t="shared" si="95"/>
        <v>0.123809523809523</v>
      </c>
      <c r="AX29" s="48">
        <f t="shared" si="96"/>
        <v>0.154761904761904</v>
      </c>
      <c r="AY29" s="48">
        <f t="shared" si="97"/>
        <v>0.166666666666667</v>
      </c>
      <c r="AZ29" s="48">
        <f t="shared" si="98"/>
        <v>0.23095238095238</v>
      </c>
      <c r="BA29" s="48">
        <f t="shared" si="99"/>
        <v>0.10952380952381</v>
      </c>
      <c r="BB29" s="48">
        <f t="shared" si="100"/>
        <v>0.214285714285714</v>
      </c>
      <c r="BC29" s="4">
        <f t="shared" si="13"/>
        <v>0.999999999999998</v>
      </c>
      <c r="BD29" s="3">
        <f>VLOOKUP(D29,FEB23SOH,2,false)</f>
        <v>0.0</v>
      </c>
      <c r="BE29" s="44">
        <f>VLOOKUP(D29,UNITVALUE,4,false)</f>
      </c>
      <c r="BF29" s="44">
        <f t="shared" si="16"/>
        <v>0.0</v>
      </c>
      <c r="BJ29" s="49"/>
      <c r="BK29" s="50"/>
      <c r="BP29" s="45"/>
      <c r="BT29" s="45"/>
      <c r="BU29" s="5"/>
      <c r="BX29" s="45"/>
      <c r="BY29" s="5"/>
      <c r="CB29" s="45"/>
      <c r="CC29" s="5"/>
      <c r="CF29" s="45"/>
      <c r="CG29" s="5"/>
      <c r="CJ29" s="45"/>
      <c r="CK29" s="5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</row>
    <row r="30" ht="17.0">
      <c r="A30" s="46" t="s">
        <v>30</v>
      </c>
      <c r="B30" s="46" t="s">
        <v>63</v>
      </c>
      <c r="C30" s="46" t="s">
        <v>81</v>
      </c>
      <c r="D30" s="47" t="s">
        <v>82</v>
      </c>
      <c r="E30" s="41">
        <v>0.0</v>
      </c>
      <c r="F30" s="41">
        <v>0.0</v>
      </c>
      <c r="G30" s="41">
        <v>0.0</v>
      </c>
      <c r="H30" s="41">
        <v>0.0</v>
      </c>
      <c r="I30" s="41">
        <v>0.0</v>
      </c>
      <c r="J30" s="41">
        <v>0.0</v>
      </c>
      <c r="K30" s="41">
        <v>0.0</v>
      </c>
      <c r="L30" s="41">
        <v>0.0</v>
      </c>
      <c r="M30" s="41">
        <v>0.0</v>
      </c>
      <c r="N30" s="41">
        <v>0.0</v>
      </c>
      <c r="O30" s="41">
        <v>0.0</v>
      </c>
      <c r="P30" s="41">
        <v>0.0</v>
      </c>
      <c r="Q30" s="41">
        <v>0.0</v>
      </c>
      <c r="R30" s="41">
        <v>0.0</v>
      </c>
      <c r="S30" s="41">
        <v>0.0</v>
      </c>
      <c r="T30" s="41">
        <v>0.0</v>
      </c>
      <c r="U30" s="41">
        <v>0.0</v>
      </c>
      <c r="V30" s="41">
        <v>0.0</v>
      </c>
      <c r="W30" s="41">
        <v>0.0</v>
      </c>
      <c r="X30" s="41">
        <v>0.0</v>
      </c>
      <c r="Y30" s="41">
        <v>0.0</v>
      </c>
      <c r="Z30" s="41">
        <v>0.0</v>
      </c>
      <c r="AA30" s="41">
        <v>0.0</v>
      </c>
      <c r="AB30" s="41">
        <v>0.0</v>
      </c>
      <c r="AC30" s="41">
        <v>0.0</v>
      </c>
      <c r="AD30" s="41">
        <v>0.0</v>
      </c>
      <c r="AE30" s="41">
        <v>1.0</v>
      </c>
      <c r="AF30" s="41">
        <v>0.0</v>
      </c>
      <c r="AG30" s="41">
        <v>1.0</v>
      </c>
      <c r="AH30" s="41">
        <v>0.0</v>
      </c>
      <c r="AI30" s="41">
        <v>0.0</v>
      </c>
      <c r="AJ30" s="41">
        <v>0.0</v>
      </c>
      <c r="AK30" s="41">
        <v>0.0</v>
      </c>
      <c r="AL30" s="41">
        <v>0.0</v>
      </c>
      <c r="AM30" s="43">
        <v>0.0</v>
      </c>
      <c r="AN30" s="43">
        <v>0.0</v>
      </c>
      <c r="AO30" s="43">
        <v>0.0</v>
      </c>
      <c r="AP30" s="43">
        <v>0.0</v>
      </c>
      <c r="AQ30" s="43">
        <v>0.0</v>
      </c>
      <c r="AR30" s="43">
        <v>0.0</v>
      </c>
      <c r="AS30" s="43">
        <v>0.0</v>
      </c>
      <c r="AT30" s="4">
        <f t="shared" si="4"/>
        <v>0.0</v>
      </c>
      <c r="AU30" s="4">
        <f t="shared" si="5"/>
        <v>0.0</v>
      </c>
      <c r="AV30" s="4">
        <f t="shared" si="6"/>
        <v>0.0</v>
      </c>
      <c r="AW30" s="48">
        <f t="shared" si="95"/>
        <v>0.0</v>
      </c>
      <c r="AX30" s="48">
        <f t="shared" si="96"/>
        <v>0.0</v>
      </c>
      <c r="AY30" s="48">
        <f t="shared" si="97"/>
        <v>0.0</v>
      </c>
      <c r="AZ30" s="48">
        <f t="shared" si="98"/>
        <v>0.0</v>
      </c>
      <c r="BA30" s="48">
        <f t="shared" si="99"/>
        <v>0.0</v>
      </c>
      <c r="BB30" s="48">
        <f t="shared" si="100"/>
        <v>0.0</v>
      </c>
      <c r="BC30" s="4">
        <f t="shared" si="13"/>
        <v>0.0</v>
      </c>
      <c r="BD30" s="3">
        <f>VLOOKUP(D30,FEB23SOH,2,false)</f>
        <v>0.0</v>
      </c>
      <c r="BE30" s="44">
        <f>VLOOKUP(D30,UNITVALUE,4,false)</f>
      </c>
      <c r="BF30" s="44">
        <f t="shared" si="16"/>
        <v>0.0</v>
      </c>
      <c r="BJ30" s="49"/>
      <c r="BK30" s="50"/>
      <c r="BP30" s="45"/>
      <c r="BT30" s="45"/>
      <c r="BU30" s="5"/>
      <c r="BX30" s="45"/>
      <c r="BY30" s="5"/>
      <c r="CB30" s="45"/>
      <c r="CC30" s="5"/>
      <c r="CF30" s="45"/>
      <c r="CG30" s="5"/>
      <c r="CJ30" s="45"/>
      <c r="CK30" s="5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</row>
    <row r="31" ht="17.0">
      <c r="A31" s="41" t="s">
        <v>30</v>
      </c>
      <c r="B31" s="41" t="s">
        <v>83</v>
      </c>
      <c r="C31" s="54" t="s">
        <v>84</v>
      </c>
      <c r="D31" s="55" t="s">
        <v>85</v>
      </c>
      <c r="E31" s="41">
        <v>108.0</v>
      </c>
      <c r="F31" s="41">
        <v>126.0</v>
      </c>
      <c r="G31" s="41">
        <v>102.0</v>
      </c>
      <c r="H31" s="41">
        <v>90.0</v>
      </c>
      <c r="I31" s="41">
        <v>108.0</v>
      </c>
      <c r="J31" s="41">
        <v>96.0</v>
      </c>
      <c r="K31" s="41">
        <v>48.0</v>
      </c>
      <c r="L31" s="41">
        <v>72.0</v>
      </c>
      <c r="M31" s="41">
        <v>84.0</v>
      </c>
      <c r="N31" s="41">
        <v>84.0</v>
      </c>
      <c r="O31" s="41">
        <v>84.0</v>
      </c>
      <c r="P31" s="41">
        <v>108.0</v>
      </c>
      <c r="Q31" s="41">
        <v>54.0</v>
      </c>
      <c r="R31" s="41">
        <v>90.0</v>
      </c>
      <c r="S31" s="41">
        <v>108.0</v>
      </c>
      <c r="T31" s="41">
        <v>72.0</v>
      </c>
      <c r="U31" s="41">
        <v>96.0</v>
      </c>
      <c r="V31" s="41">
        <v>48.0</v>
      </c>
      <c r="W31" s="41">
        <v>90.0</v>
      </c>
      <c r="X31" s="41">
        <v>72.0</v>
      </c>
      <c r="Y31" s="41">
        <v>42.0</v>
      </c>
      <c r="Z31" s="41">
        <v>36.0</v>
      </c>
      <c r="AA31" s="41">
        <v>78.0</v>
      </c>
      <c r="AB31" s="41">
        <v>54.0</v>
      </c>
      <c r="AC31" s="41">
        <v>120.0</v>
      </c>
      <c r="AD31" s="41">
        <v>102.0</v>
      </c>
      <c r="AE31" s="41">
        <v>48.0</v>
      </c>
      <c r="AF31" s="41">
        <v>78.0</v>
      </c>
      <c r="AG31" s="41">
        <v>71.0</v>
      </c>
      <c r="AH31" s="41">
        <v>60.0</v>
      </c>
      <c r="AI31" s="41">
        <v>90.0</v>
      </c>
      <c r="AJ31" s="41">
        <v>42.0</v>
      </c>
      <c r="AK31" s="41">
        <v>66.0</v>
      </c>
      <c r="AL31" s="41">
        <v>54.0</v>
      </c>
      <c r="AM31" s="43">
        <v>30.0</v>
      </c>
      <c r="AN31" s="43">
        <v>30.0</v>
      </c>
      <c r="AO31" s="43">
        <v>72.0</v>
      </c>
      <c r="AP31" s="43">
        <v>84.0</v>
      </c>
      <c r="AQ31" s="43">
        <v>36.0</v>
      </c>
      <c r="AR31" s="43">
        <v>30.0</v>
      </c>
      <c r="AS31" s="43">
        <v>66.0</v>
      </c>
      <c r="AT31" s="4">
        <f t="shared" si="4"/>
        <v>660.0</v>
      </c>
      <c r="AU31" s="4">
        <f t="shared" si="5"/>
        <v>342.0</v>
      </c>
      <c r="AV31" s="4">
        <f t="shared" si="6"/>
        <v>376.2</v>
      </c>
      <c r="AW31" s="1">
        <f t="shared" ref="AW31:AW42" si="101">AV31*$AW$4/$AV$4+6*$AW$57</f>
        <v>43.8285714285713</v>
      </c>
      <c r="AX31" s="1">
        <f t="shared" ref="AX31:AX42" si="102">AV31*$AX$4/$AV$4+6*$AX$57</f>
        <v>54.7857142857142</v>
      </c>
      <c r="AY31" s="1">
        <f t="shared" ref="AY31:AY42" si="103">AV31*$AY$4/$AV$4+6*$AY$57</f>
        <v>59.0</v>
      </c>
      <c r="AZ31" s="1">
        <f t="shared" ref="AZ31:AZ42" si="104">AV31*$AZ$4/$AV$4+6*$AZ$57</f>
        <v>81.7571428571428</v>
      </c>
      <c r="BA31" s="1">
        <f t="shared" ref="BA31:BA42" si="105">AV31*$BA$4/$AV$4+6*$BA$57</f>
        <v>38.7714285714286</v>
      </c>
      <c r="BB31" s="1">
        <f t="shared" ref="BB31:BB42" si="106">AV31*$BB$4/$AV$4+6*$BB$57</f>
        <v>75.8571428571428</v>
      </c>
      <c r="BC31" s="4">
        <f t="shared" si="13"/>
        <v>354.0</v>
      </c>
      <c r="BD31" s="3">
        <f>VLOOKUP(D31,FEB23SOH,2,false)</f>
        <v>660.0</v>
      </c>
      <c r="BE31" s="44">
        <f>VLOOKUP(D31,UNITVALUE,4,false)</f>
        <v>0.3499</v>
      </c>
      <c r="BF31" s="44">
        <f t="shared" si="16"/>
        <v>230.934</v>
      </c>
      <c r="BI31" s="6">
        <f t="shared" ref="BI31:BI56" si="107">BD31+BG31+BH31-BC31</f>
        <v>306.0</v>
      </c>
      <c r="BJ31" s="1">
        <f>VLOOKUP(C31,MOQ,3,FALSE())</f>
        <v>1002.0</v>
      </c>
      <c r="BM31" s="1">
        <f t="shared" ref="BM31:BM56" si="109">BD31</f>
        <v>660.0</v>
      </c>
      <c r="BN31" s="1">
        <f t="shared" ref="BN31:BN56" si="110">AW31</f>
        <v>43.8285714285713</v>
      </c>
      <c r="BP31" s="45">
        <f t="shared" ref="BP31:BP56" si="111">BM31+BO31-BN31</f>
        <v>616.171428571429</v>
      </c>
      <c r="BQ31" s="5">
        <f t="shared" ref="BQ31:BQ56" si="112">BP31*BE31</f>
        <v>215.598382857143</v>
      </c>
      <c r="BR31" s="1">
        <f t="shared" ref="BR31:BR56" si="113">AX31</f>
        <v>54.7857142857142</v>
      </c>
      <c r="BS31" s="1">
        <f t="shared" ref="BS31:BS56" si="114">BG31</f>
      </c>
      <c r="BT31" s="45">
        <f t="shared" ref="BT31:BT56" si="115">BP31+BS31-BR31</f>
        <v>561.385714285714</v>
      </c>
      <c r="BU31" s="5">
        <f t="shared" ref="BU31:BU56" si="116">BT31*BE31</f>
        <v>196.428861428571</v>
      </c>
      <c r="BV31" s="1">
        <f t="shared" ref="BV31:BV56" si="117">AY31</f>
        <v>59.0</v>
      </c>
      <c r="BW31" s="1">
        <f t="shared" ref="BW31:BW56" si="118">BG31</f>
      </c>
      <c r="BX31" s="45">
        <f t="shared" ref="BX31:BX56" si="119">BT31+BW31-BV31</f>
        <v>502.385714285714</v>
      </c>
      <c r="BY31" s="5">
        <f t="shared" ref="BY31:BY56" si="120">BX31*BE31</f>
        <v>175.784761428571</v>
      </c>
      <c r="BZ31" s="1">
        <f t="shared" ref="BZ31:BZ56" si="121">AZ31</f>
        <v>81.7571428571428</v>
      </c>
      <c r="CB31" s="45">
        <f t="shared" ref="CB31:CB56" si="122">BX31+CA31-BZ31</f>
        <v>420.628571428571</v>
      </c>
      <c r="CC31" s="5">
        <f t="shared" ref="CC31:CC55" si="123">CB31*BE31</f>
        <v>147.177937142857</v>
      </c>
      <c r="CD31" s="1">
        <f t="shared" ref="CD31:CD56" si="124">BA31</f>
        <v>38.7714285714286</v>
      </c>
      <c r="CF31" s="45">
        <f t="shared" ref="CF31:CF56" si="125">CB31+CE31-CD31</f>
        <v>381.857142857142</v>
      </c>
      <c r="CG31" s="5">
        <f t="shared" ref="CG31:CG56" si="126">CF31*BE31</f>
        <v>133.611814285713</v>
      </c>
      <c r="CH31" s="1">
        <f t="shared" ref="CH31:CH56" si="127">BB31</f>
        <v>75.8571428571428</v>
      </c>
      <c r="CJ31" s="45">
        <f t="shared" ref="CJ31:CJ56" si="128">CF31+CI31-CH31</f>
        <v>305.999999999999</v>
      </c>
      <c r="CK31" s="5">
        <f t="shared" ref="CK31:CK56" si="129">CJ31*BE31</f>
        <v>107.0694</v>
      </c>
    </row>
    <row r="32" ht="17.0">
      <c r="A32" s="41" t="s">
        <v>30</v>
      </c>
      <c r="B32" s="41" t="s">
        <v>83</v>
      </c>
      <c r="C32" s="54" t="s">
        <v>86</v>
      </c>
      <c r="D32" s="55" t="s">
        <v>87</v>
      </c>
      <c r="E32" s="41">
        <v>66.0</v>
      </c>
      <c r="F32" s="41">
        <v>120.0</v>
      </c>
      <c r="G32" s="41">
        <v>120.0</v>
      </c>
      <c r="H32" s="41">
        <v>66.0</v>
      </c>
      <c r="I32" s="41">
        <v>150.0</v>
      </c>
      <c r="J32" s="41">
        <v>156.0</v>
      </c>
      <c r="K32" s="41">
        <v>102.0</v>
      </c>
      <c r="L32" s="41">
        <v>108.0</v>
      </c>
      <c r="M32" s="41">
        <v>138.0</v>
      </c>
      <c r="N32" s="41">
        <v>120.0</v>
      </c>
      <c r="O32" s="41">
        <v>109.0</v>
      </c>
      <c r="P32" s="41">
        <v>78.0</v>
      </c>
      <c r="Q32" s="41">
        <v>108.0</v>
      </c>
      <c r="R32" s="41">
        <v>126.0</v>
      </c>
      <c r="S32" s="41">
        <v>150.0</v>
      </c>
      <c r="T32" s="41">
        <v>120.0</v>
      </c>
      <c r="U32" s="41">
        <v>138.0</v>
      </c>
      <c r="V32" s="41">
        <v>90.0</v>
      </c>
      <c r="W32" s="41">
        <v>144.0</v>
      </c>
      <c r="X32" s="41">
        <v>97.0</v>
      </c>
      <c r="Y32" s="41">
        <v>90.0</v>
      </c>
      <c r="Z32" s="41">
        <v>67.0</v>
      </c>
      <c r="AA32" s="41">
        <v>108.0</v>
      </c>
      <c r="AB32" s="41">
        <v>126.0</v>
      </c>
      <c r="AC32" s="41">
        <v>138.0</v>
      </c>
      <c r="AD32" s="41">
        <v>198.0</v>
      </c>
      <c r="AE32" s="41">
        <v>84.0</v>
      </c>
      <c r="AF32" s="41">
        <v>126.0</v>
      </c>
      <c r="AG32" s="41">
        <v>84.0</v>
      </c>
      <c r="AH32" s="41">
        <v>72.0</v>
      </c>
      <c r="AI32" s="41">
        <v>66.0</v>
      </c>
      <c r="AJ32" s="41">
        <v>108.0</v>
      </c>
      <c r="AK32" s="41">
        <v>102.0</v>
      </c>
      <c r="AL32" s="41">
        <v>96.0</v>
      </c>
      <c r="AM32" s="43">
        <v>84.0</v>
      </c>
      <c r="AN32" s="43">
        <v>54.0</v>
      </c>
      <c r="AO32" s="43">
        <v>78.0</v>
      </c>
      <c r="AP32" s="43">
        <v>174.0</v>
      </c>
      <c r="AQ32" s="43">
        <v>96.0</v>
      </c>
      <c r="AR32" s="43">
        <v>60.0</v>
      </c>
      <c r="AS32" s="43">
        <v>95.0</v>
      </c>
      <c r="AT32" s="4">
        <f t="shared" si="4"/>
        <v>1085.0</v>
      </c>
      <c r="AU32" s="4">
        <f t="shared" si="5"/>
        <v>528.0</v>
      </c>
      <c r="AV32" s="4">
        <f t="shared" si="6"/>
        <v>580.8</v>
      </c>
      <c r="AW32" s="1">
        <f t="shared" si="101"/>
        <v>66.8571428571429</v>
      </c>
      <c r="AX32" s="1">
        <f t="shared" si="102"/>
        <v>83.5714285714286</v>
      </c>
      <c r="AY32" s="1">
        <f t="shared" si="103"/>
        <v>90.0</v>
      </c>
      <c r="AZ32" s="1">
        <f t="shared" si="104"/>
        <v>124.71428571429</v>
      </c>
      <c r="BA32" s="1">
        <f t="shared" si="105"/>
        <v>59.1428571428571</v>
      </c>
      <c r="BB32" s="1">
        <f t="shared" si="106"/>
        <v>115.71428571429</v>
      </c>
      <c r="BC32" s="4">
        <f t="shared" si="13"/>
        <v>540.000000000009</v>
      </c>
      <c r="BD32" s="3">
        <f>VLOOKUP(D32,FEB23SOH,2,false)</f>
        <v>255.0</v>
      </c>
      <c r="BE32" s="44">
        <f>VLOOKUP(D32,UNITVALUE,4,false)</f>
        <v>0.3498</v>
      </c>
      <c r="BF32" s="44">
        <f t="shared" si="16"/>
        <v>89.199</v>
      </c>
      <c r="BI32" s="6">
        <f t="shared" si="107"/>
        <v>-285.000000000009</v>
      </c>
      <c r="BJ32" s="1">
        <f>VLOOKUP(C32,MOQ,3,FALSE())</f>
        <v>1002.0</v>
      </c>
      <c r="BK32" s="51">
        <f>BJ32</f>
        <v>1002.0</v>
      </c>
      <c r="BL32" s="8" t="s">
        <v>8</v>
      </c>
      <c r="BM32" s="1">
        <f t="shared" si="109"/>
        <v>255.0</v>
      </c>
      <c r="BN32" s="1">
        <f t="shared" si="110"/>
        <v>66.8571428571429</v>
      </c>
      <c r="BP32" s="45">
        <f t="shared" si="111"/>
        <v>188.142857142857</v>
      </c>
      <c r="BQ32" s="5">
        <f t="shared" si="112"/>
        <v>65.8123714285713</v>
      </c>
      <c r="BR32" s="1">
        <f t="shared" si="113"/>
        <v>83.5714285714286</v>
      </c>
      <c r="BS32" s="1">
        <f t="shared" si="114"/>
      </c>
      <c r="BT32" s="45">
        <f t="shared" si="115"/>
        <v>104.571428571428</v>
      </c>
      <c r="BU32" s="5">
        <f t="shared" si="116"/>
        <v>36.5790857142855</v>
      </c>
      <c r="BV32" s="1">
        <f t="shared" si="117"/>
        <v>90.0</v>
      </c>
      <c r="BW32" s="1">
        <f t="shared" si="118"/>
      </c>
      <c r="BX32" s="45">
        <f t="shared" si="119"/>
        <v>14.571428571428</v>
      </c>
      <c r="BY32" s="5">
        <f t="shared" si="120"/>
        <v>5.09708571428551</v>
      </c>
      <c r="BZ32" s="1">
        <f t="shared" si="121"/>
        <v>124.71428571429</v>
      </c>
      <c r="CB32" s="45">
        <f t="shared" si="122"/>
        <v>-110.142857142862</v>
      </c>
      <c r="CC32" s="5">
        <f t="shared" si="123"/>
        <v>-38.5279714285731</v>
      </c>
      <c r="CD32" s="1">
        <f t="shared" si="124"/>
        <v>59.1428571428571</v>
      </c>
      <c r="CF32" s="45">
        <f t="shared" si="125"/>
        <v>-169.285714285719</v>
      </c>
      <c r="CG32" s="5">
        <f t="shared" si="126"/>
        <v>-59.2161428571445</v>
      </c>
      <c r="CH32" s="1">
        <f t="shared" si="127"/>
        <v>115.71428571429</v>
      </c>
      <c r="CJ32" s="45">
        <f t="shared" si="128"/>
        <v>-285.000000000009</v>
      </c>
      <c r="CK32" s="5">
        <f t="shared" si="129"/>
        <v>-99.6930000000031</v>
      </c>
    </row>
    <row r="33" ht="17.0">
      <c r="A33" s="41" t="s">
        <v>30</v>
      </c>
      <c r="B33" s="41" t="s">
        <v>83</v>
      </c>
      <c r="C33" s="54" t="s">
        <v>88</v>
      </c>
      <c r="D33" s="55" t="s">
        <v>89</v>
      </c>
      <c r="E33" s="41">
        <v>54.0</v>
      </c>
      <c r="F33" s="41">
        <v>54.0</v>
      </c>
      <c r="G33" s="41">
        <v>36.0</v>
      </c>
      <c r="H33" s="41">
        <v>54.0</v>
      </c>
      <c r="I33" s="41">
        <v>72.0</v>
      </c>
      <c r="J33" s="41">
        <v>48.0</v>
      </c>
      <c r="K33" s="41">
        <v>48.0</v>
      </c>
      <c r="L33" s="41">
        <v>54.0</v>
      </c>
      <c r="M33" s="41">
        <v>60.0</v>
      </c>
      <c r="N33" s="41">
        <v>48.0</v>
      </c>
      <c r="O33" s="41">
        <v>60.0</v>
      </c>
      <c r="P33" s="41">
        <v>72.0</v>
      </c>
      <c r="Q33" s="41">
        <v>18.0</v>
      </c>
      <c r="R33" s="41">
        <v>54.0</v>
      </c>
      <c r="S33" s="41">
        <v>42.0</v>
      </c>
      <c r="T33" s="41">
        <v>60.0</v>
      </c>
      <c r="U33" s="41">
        <v>78.0</v>
      </c>
      <c r="V33" s="41">
        <v>48.0</v>
      </c>
      <c r="W33" s="41">
        <v>48.0</v>
      </c>
      <c r="X33" s="41">
        <v>18.0</v>
      </c>
      <c r="Y33" s="41">
        <v>30.0</v>
      </c>
      <c r="Z33" s="41">
        <v>30.0</v>
      </c>
      <c r="AA33" s="41">
        <v>66.0</v>
      </c>
      <c r="AB33" s="41">
        <v>72.0</v>
      </c>
      <c r="AC33" s="41">
        <v>66.0</v>
      </c>
      <c r="AD33" s="41">
        <v>48.0</v>
      </c>
      <c r="AE33" s="41">
        <v>24.0</v>
      </c>
      <c r="AF33" s="41">
        <v>60.0</v>
      </c>
      <c r="AG33" s="41">
        <v>48.0</v>
      </c>
      <c r="AH33" s="41">
        <v>54.0</v>
      </c>
      <c r="AI33" s="41">
        <v>24.0</v>
      </c>
      <c r="AJ33" s="41">
        <v>48.0</v>
      </c>
      <c r="AK33" s="41">
        <v>42.0</v>
      </c>
      <c r="AL33" s="41">
        <v>48.0</v>
      </c>
      <c r="AM33" s="43">
        <v>12.0</v>
      </c>
      <c r="AN33" s="43">
        <v>36.0</v>
      </c>
      <c r="AO33" s="43">
        <v>66.0</v>
      </c>
      <c r="AP33" s="43">
        <v>72.0</v>
      </c>
      <c r="AQ33" s="43">
        <v>42.0</v>
      </c>
      <c r="AR33" s="43">
        <v>30.0</v>
      </c>
      <c r="AS33" s="43">
        <v>80.0</v>
      </c>
      <c r="AT33" s="4">
        <f t="shared" si="4"/>
        <v>554.0</v>
      </c>
      <c r="AU33" s="4">
        <f t="shared" si="5"/>
        <v>228.0</v>
      </c>
      <c r="AV33" s="4">
        <f t="shared" si="6"/>
        <v>250.8</v>
      </c>
      <c r="AW33" s="1">
        <f t="shared" si="101"/>
        <v>29.7142857142857</v>
      </c>
      <c r="AX33" s="1">
        <f t="shared" si="102"/>
        <v>37.142857142857</v>
      </c>
      <c r="AY33" s="1">
        <f t="shared" si="103"/>
        <v>40.0</v>
      </c>
      <c r="AZ33" s="1">
        <f t="shared" si="104"/>
        <v>55.4285714285714</v>
      </c>
      <c r="BA33" s="1">
        <f t="shared" si="105"/>
        <v>26.2857142857143</v>
      </c>
      <c r="BB33" s="1">
        <f t="shared" si="106"/>
        <v>51.4285714285714</v>
      </c>
      <c r="BC33" s="4">
        <f t="shared" si="13"/>
        <v>240.0</v>
      </c>
      <c r="BD33" s="3">
        <f>VLOOKUP(D33,FEB23SOH,2,false)</f>
        <v>666.0</v>
      </c>
      <c r="BE33" s="44">
        <f>VLOOKUP(D33,UNITVALUE,4,false)</f>
        <v>0.3499</v>
      </c>
      <c r="BF33" s="44">
        <f t="shared" si="16"/>
        <v>233.0334</v>
      </c>
      <c r="BI33" s="6">
        <f t="shared" si="107"/>
        <v>426.0</v>
      </c>
      <c r="BJ33" s="1">
        <f>VLOOKUP(C33,MOQ,3,FALSE())</f>
        <v>1002.0</v>
      </c>
      <c r="BM33" s="1">
        <f t="shared" si="109"/>
        <v>666.0</v>
      </c>
      <c r="BN33" s="1">
        <f t="shared" si="110"/>
        <v>29.7142857142857</v>
      </c>
      <c r="BP33" s="45">
        <f t="shared" si="111"/>
        <v>636.285714285714</v>
      </c>
      <c r="BQ33" s="5">
        <f t="shared" si="112"/>
        <v>222.636371428571</v>
      </c>
      <c r="BR33" s="1">
        <f t="shared" si="113"/>
        <v>37.142857142857</v>
      </c>
      <c r="BS33" s="1">
        <f t="shared" si="114"/>
      </c>
      <c r="BT33" s="45">
        <f t="shared" si="115"/>
        <v>599.142857142857</v>
      </c>
      <c r="BU33" s="5">
        <f t="shared" si="116"/>
        <v>209.640085714286</v>
      </c>
      <c r="BV33" s="1">
        <f t="shared" si="117"/>
        <v>40.0</v>
      </c>
      <c r="BW33" s="1">
        <f t="shared" si="118"/>
      </c>
      <c r="BX33" s="45">
        <f t="shared" si="119"/>
        <v>559.142857142857</v>
      </c>
      <c r="BY33" s="5">
        <f t="shared" si="120"/>
        <v>195.644085714286</v>
      </c>
      <c r="BZ33" s="1">
        <f t="shared" si="121"/>
        <v>55.4285714285714</v>
      </c>
      <c r="CB33" s="45">
        <f t="shared" si="122"/>
        <v>503.714285714286</v>
      </c>
      <c r="CC33" s="5">
        <f t="shared" si="123"/>
        <v>176.24962857142</v>
      </c>
      <c r="CD33" s="1">
        <f t="shared" si="124"/>
        <v>26.2857142857143</v>
      </c>
      <c r="CF33" s="45">
        <f t="shared" si="125"/>
        <v>477.428571428571</v>
      </c>
      <c r="CG33" s="5">
        <f t="shared" si="126"/>
        <v>167.052257142857</v>
      </c>
      <c r="CH33" s="1">
        <f t="shared" si="127"/>
        <v>51.4285714285714</v>
      </c>
      <c r="CJ33" s="45">
        <f t="shared" si="128"/>
        <v>426.0</v>
      </c>
      <c r="CK33" s="5">
        <f t="shared" si="129"/>
        <v>149.0574</v>
      </c>
    </row>
    <row r="34" ht="17.0">
      <c r="A34" s="41" t="s">
        <v>30</v>
      </c>
      <c r="B34" s="41" t="s">
        <v>83</v>
      </c>
      <c r="C34" s="54" t="s">
        <v>90</v>
      </c>
      <c r="D34" s="55" t="s">
        <v>91</v>
      </c>
      <c r="E34" s="41">
        <v>90.0</v>
      </c>
      <c r="F34" s="41">
        <v>102.0</v>
      </c>
      <c r="G34" s="41">
        <v>84.0</v>
      </c>
      <c r="H34" s="41">
        <v>120.0</v>
      </c>
      <c r="I34" s="41">
        <v>144.0</v>
      </c>
      <c r="J34" s="41">
        <v>108.0</v>
      </c>
      <c r="K34" s="41">
        <v>90.0</v>
      </c>
      <c r="L34" s="41">
        <v>90.0</v>
      </c>
      <c r="M34" s="41">
        <v>121.0</v>
      </c>
      <c r="N34" s="41">
        <v>180.0</v>
      </c>
      <c r="O34" s="41">
        <v>120.0</v>
      </c>
      <c r="P34" s="41">
        <v>162.0</v>
      </c>
      <c r="Q34" s="41">
        <v>132.0</v>
      </c>
      <c r="R34" s="41">
        <v>150.0</v>
      </c>
      <c r="S34" s="41">
        <v>132.0</v>
      </c>
      <c r="T34" s="41">
        <v>0.0</v>
      </c>
      <c r="U34" s="41">
        <v>0.0</v>
      </c>
      <c r="V34" s="41">
        <v>0.0</v>
      </c>
      <c r="W34" s="41">
        <v>18.0</v>
      </c>
      <c r="X34" s="41">
        <v>126.0</v>
      </c>
      <c r="Y34" s="41">
        <v>66.0</v>
      </c>
      <c r="Z34" s="41">
        <v>114.0</v>
      </c>
      <c r="AA34" s="41">
        <v>138.0</v>
      </c>
      <c r="AB34" s="41">
        <v>132.0</v>
      </c>
      <c r="AC34" s="41">
        <v>168.0</v>
      </c>
      <c r="AD34" s="41">
        <v>216.0</v>
      </c>
      <c r="AE34" s="41">
        <v>18.0</v>
      </c>
      <c r="AF34" s="41">
        <v>0.0</v>
      </c>
      <c r="AG34" s="41">
        <v>0.0</v>
      </c>
      <c r="AH34" s="41">
        <v>144.0</v>
      </c>
      <c r="AI34" s="41">
        <v>96.0</v>
      </c>
      <c r="AJ34" s="41">
        <v>150.0</v>
      </c>
      <c r="AK34" s="41">
        <v>66.0</v>
      </c>
      <c r="AL34" s="41">
        <v>84.0</v>
      </c>
      <c r="AM34" s="43">
        <v>84.0</v>
      </c>
      <c r="AN34" s="43">
        <v>84.0</v>
      </c>
      <c r="AO34" s="43">
        <v>138.0</v>
      </c>
      <c r="AP34" s="43">
        <v>192.0</v>
      </c>
      <c r="AQ34" s="43">
        <v>126.0</v>
      </c>
      <c r="AR34" s="43">
        <v>78.0</v>
      </c>
      <c r="AS34" s="43">
        <v>168.0</v>
      </c>
      <c r="AT34" s="4">
        <f t="shared" si="4"/>
        <v>1410.0</v>
      </c>
      <c r="AU34" s="4">
        <f t="shared" si="5"/>
        <v>624.0</v>
      </c>
      <c r="AV34" s="4">
        <f t="shared" si="6"/>
        <v>686.4</v>
      </c>
      <c r="AW34" s="1">
        <f t="shared" si="101"/>
        <v>78.7428571428571</v>
      </c>
      <c r="AX34" s="1">
        <f t="shared" si="102"/>
        <v>98.4285714285714</v>
      </c>
      <c r="AY34" s="1">
        <f t="shared" si="103"/>
        <v>106.0</v>
      </c>
      <c r="AZ34" s="1">
        <f t="shared" si="104"/>
        <v>146.885714285719</v>
      </c>
      <c r="BA34" s="1">
        <f t="shared" si="105"/>
        <v>69.6571428571428</v>
      </c>
      <c r="BB34" s="1">
        <f t="shared" si="106"/>
        <v>136.285714285714</v>
      </c>
      <c r="BC34" s="4">
        <f t="shared" si="13"/>
        <v>636.000000000004</v>
      </c>
      <c r="BD34" s="3">
        <f>VLOOKUP(D34,FEB23SOH,2,false)</f>
        <v>636.0</v>
      </c>
      <c r="BE34" s="44">
        <f>VLOOKUP(D34,UNITVALUE,4,false)</f>
        <v>0.3345</v>
      </c>
      <c r="BF34" s="44">
        <f t="shared" si="16"/>
        <v>212.742</v>
      </c>
      <c r="BI34" s="6">
        <f t="shared" si="107"/>
        <v>-3.979039320256561E-12</v>
      </c>
      <c r="BJ34" s="1">
        <f>VLOOKUP(C34,MOQ,3,FALSE())</f>
        <v>1002.0</v>
      </c>
      <c r="BK34" s="51">
        <f>BJ34</f>
        <v>1002.0</v>
      </c>
      <c r="BL34" s="8" t="s">
        <v>10</v>
      </c>
      <c r="BM34" s="1">
        <f t="shared" si="109"/>
        <v>636.0</v>
      </c>
      <c r="BN34" s="1">
        <f t="shared" si="110"/>
        <v>78.7428571428571</v>
      </c>
      <c r="BP34" s="45">
        <f t="shared" si="111"/>
        <v>557.257142857142</v>
      </c>
      <c r="BQ34" s="5">
        <f t="shared" si="112"/>
        <v>186.402514285714</v>
      </c>
      <c r="BR34" s="1">
        <f t="shared" si="113"/>
        <v>98.4285714285714</v>
      </c>
      <c r="BS34" s="1">
        <f t="shared" si="114"/>
      </c>
      <c r="BT34" s="45">
        <f t="shared" si="115"/>
        <v>458.82857142857</v>
      </c>
      <c r="BU34" s="5">
        <f t="shared" si="116"/>
        <v>153.478157142857</v>
      </c>
      <c r="BV34" s="1">
        <f t="shared" si="117"/>
        <v>106.0</v>
      </c>
      <c r="BW34" s="1">
        <f t="shared" si="118"/>
      </c>
      <c r="BX34" s="45">
        <f t="shared" si="119"/>
        <v>352.82857142857</v>
      </c>
      <c r="BY34" s="5">
        <f t="shared" si="120"/>
        <v>118.02115714286</v>
      </c>
      <c r="BZ34" s="1">
        <f t="shared" si="121"/>
        <v>146.885714285719</v>
      </c>
      <c r="CB34" s="45">
        <f t="shared" si="122"/>
        <v>205.942857142851</v>
      </c>
      <c r="CC34" s="5">
        <f t="shared" si="123"/>
        <v>68.8878857142837</v>
      </c>
      <c r="CD34" s="1">
        <f t="shared" si="124"/>
        <v>69.6571428571428</v>
      </c>
      <c r="CF34" s="45">
        <f t="shared" si="125"/>
        <v>136.285714285708</v>
      </c>
      <c r="CG34" s="5">
        <f t="shared" si="126"/>
        <v>45.5875714285693</v>
      </c>
      <c r="CH34" s="1">
        <f t="shared" si="127"/>
        <v>136.285714285714</v>
      </c>
      <c r="CJ34" s="45">
        <f t="shared" si="128"/>
        <v>-5.9969806898152E-12</v>
      </c>
      <c r="CK34" s="5">
        <f t="shared" si="129"/>
        <v>-2.0059900407431846E-12</v>
      </c>
    </row>
    <row r="35" ht="17.0">
      <c r="A35" s="41" t="s">
        <v>30</v>
      </c>
      <c r="B35" s="41" t="s">
        <v>83</v>
      </c>
      <c r="C35" s="54" t="s">
        <v>92</v>
      </c>
      <c r="D35" s="42" t="s">
        <v>93</v>
      </c>
      <c r="E35" s="41">
        <v>60.0</v>
      </c>
      <c r="F35" s="41">
        <v>90.0</v>
      </c>
      <c r="G35" s="41">
        <v>66.0</v>
      </c>
      <c r="H35" s="41">
        <v>54.0</v>
      </c>
      <c r="I35" s="41">
        <v>78.0</v>
      </c>
      <c r="J35" s="41">
        <v>84.0</v>
      </c>
      <c r="K35" s="41">
        <v>30.0</v>
      </c>
      <c r="L35" s="41">
        <v>60.0</v>
      </c>
      <c r="M35" s="41">
        <v>54.0</v>
      </c>
      <c r="N35" s="41">
        <v>72.0</v>
      </c>
      <c r="O35" s="41">
        <v>54.0</v>
      </c>
      <c r="P35" s="41">
        <v>54.0</v>
      </c>
      <c r="Q35" s="41">
        <v>36.0</v>
      </c>
      <c r="R35" s="41">
        <v>48.0</v>
      </c>
      <c r="S35" s="41">
        <v>48.0</v>
      </c>
      <c r="T35" s="41">
        <v>102.0</v>
      </c>
      <c r="U35" s="41">
        <v>72.0</v>
      </c>
      <c r="V35" s="41">
        <v>18.0</v>
      </c>
      <c r="W35" s="41">
        <v>96.0</v>
      </c>
      <c r="X35" s="41">
        <v>42.0</v>
      </c>
      <c r="Y35" s="41">
        <v>36.0</v>
      </c>
      <c r="Z35" s="41">
        <v>12.0</v>
      </c>
      <c r="AA35" s="41">
        <v>54.0</v>
      </c>
      <c r="AB35" s="41">
        <v>60.0</v>
      </c>
      <c r="AC35" s="41">
        <v>108.0</v>
      </c>
      <c r="AD35" s="41">
        <v>90.0</v>
      </c>
      <c r="AE35" s="41">
        <v>48.0</v>
      </c>
      <c r="AF35" s="41">
        <v>54.0</v>
      </c>
      <c r="AG35" s="41">
        <v>36.0</v>
      </c>
      <c r="AH35" s="41">
        <v>24.0</v>
      </c>
      <c r="AI35" s="41">
        <v>66.0</v>
      </c>
      <c r="AJ35" s="41">
        <v>42.0</v>
      </c>
      <c r="AK35" s="41">
        <v>42.0</v>
      </c>
      <c r="AL35" s="41">
        <v>42.0</v>
      </c>
      <c r="AM35" s="43">
        <v>42.0</v>
      </c>
      <c r="AN35" s="43">
        <v>30.0</v>
      </c>
      <c r="AO35" s="43">
        <v>72.0</v>
      </c>
      <c r="AP35" s="43">
        <v>78.0</v>
      </c>
      <c r="AQ35" s="43">
        <v>66.0</v>
      </c>
      <c r="AR35" s="43">
        <v>18.0</v>
      </c>
      <c r="AS35" s="43">
        <v>58.0</v>
      </c>
      <c r="AT35" s="4">
        <f t="shared" si="4"/>
        <v>580.0</v>
      </c>
      <c r="AU35" s="4">
        <f t="shared" si="5"/>
        <v>258.0</v>
      </c>
      <c r="AV35" s="4">
        <f t="shared" si="6"/>
        <v>283.8</v>
      </c>
      <c r="AW35" s="1">
        <f t="shared" si="101"/>
        <v>33.4285714285713</v>
      </c>
      <c r="AX35" s="1">
        <f t="shared" si="102"/>
        <v>41.7857142857142</v>
      </c>
      <c r="AY35" s="1">
        <f t="shared" si="103"/>
        <v>45.0</v>
      </c>
      <c r="AZ35" s="1">
        <f t="shared" si="104"/>
        <v>62.3571428571428</v>
      </c>
      <c r="BA35" s="1">
        <f t="shared" si="105"/>
        <v>29.5714285714286</v>
      </c>
      <c r="BB35" s="1">
        <f t="shared" si="106"/>
        <v>57.8571428571428</v>
      </c>
      <c r="BC35" s="4">
        <f t="shared" si="13"/>
        <v>270.0</v>
      </c>
      <c r="BD35" s="3">
        <f>VLOOKUP(D35,FEB23SOH,2,false)</f>
        <v>444.0</v>
      </c>
      <c r="BE35" s="44">
        <f>VLOOKUP(D35,UNITVALUE,4,false)</f>
        <v>0.3591</v>
      </c>
      <c r="BF35" s="44">
        <f t="shared" si="16"/>
        <v>159.4404</v>
      </c>
      <c r="BI35" s="6">
        <f t="shared" si="107"/>
        <v>174.0</v>
      </c>
      <c r="BJ35" s="1">
        <f>VLOOKUP(C35,MOQ,3,FALSE())</f>
        <v>1002.0</v>
      </c>
      <c r="BM35" s="1">
        <f t="shared" si="109"/>
        <v>444.0</v>
      </c>
      <c r="BN35" s="1">
        <f t="shared" si="110"/>
        <v>33.4285714285713</v>
      </c>
      <c r="BP35" s="45">
        <f t="shared" si="111"/>
        <v>410.571428571429</v>
      </c>
      <c r="BQ35" s="5">
        <f t="shared" si="112"/>
        <v>147.4362</v>
      </c>
      <c r="BR35" s="1">
        <f t="shared" si="113"/>
        <v>41.7857142857142</v>
      </c>
      <c r="BS35" s="1">
        <f t="shared" si="114"/>
      </c>
      <c r="BT35" s="45">
        <f t="shared" si="115"/>
        <v>368.785714285714</v>
      </c>
      <c r="BU35" s="5">
        <f t="shared" si="116"/>
        <v>132.43095</v>
      </c>
      <c r="BV35" s="1">
        <f t="shared" si="117"/>
        <v>45.0</v>
      </c>
      <c r="BW35" s="1">
        <f t="shared" si="118"/>
      </c>
      <c r="BX35" s="45">
        <f t="shared" si="119"/>
        <v>323.785714285714</v>
      </c>
      <c r="BY35" s="5">
        <f t="shared" si="120"/>
        <v>116.27145</v>
      </c>
      <c r="BZ35" s="1">
        <f t="shared" si="121"/>
        <v>62.3571428571428</v>
      </c>
      <c r="CB35" s="45">
        <f t="shared" si="122"/>
        <v>261.428571428571</v>
      </c>
      <c r="CC35" s="5">
        <f t="shared" si="123"/>
        <v>93.8789999999998</v>
      </c>
      <c r="CD35" s="1">
        <f t="shared" si="124"/>
        <v>29.5714285714286</v>
      </c>
      <c r="CF35" s="45">
        <f t="shared" si="125"/>
        <v>231.857142857142</v>
      </c>
      <c r="CG35" s="5">
        <f t="shared" si="126"/>
        <v>83.2598999999997</v>
      </c>
      <c r="CH35" s="1">
        <f t="shared" si="127"/>
        <v>57.8571428571428</v>
      </c>
      <c r="CJ35" s="45">
        <f t="shared" si="128"/>
        <v>173.999999999999</v>
      </c>
      <c r="CK35" s="5">
        <f t="shared" si="129"/>
        <v>62.4833999999996</v>
      </c>
    </row>
    <row r="36" ht="17.0">
      <c r="A36" s="41" t="s">
        <v>30</v>
      </c>
      <c r="B36" s="41" t="s">
        <v>83</v>
      </c>
      <c r="C36" s="54" t="s">
        <v>94</v>
      </c>
      <c r="D36" s="42" t="s">
        <v>95</v>
      </c>
      <c r="E36" s="41">
        <v>48.0</v>
      </c>
      <c r="F36" s="41">
        <v>84.0</v>
      </c>
      <c r="G36" s="41">
        <v>48.0</v>
      </c>
      <c r="H36" s="41">
        <v>96.0</v>
      </c>
      <c r="I36" s="41">
        <v>90.0</v>
      </c>
      <c r="J36" s="41">
        <v>60.0</v>
      </c>
      <c r="K36" s="41">
        <v>42.0</v>
      </c>
      <c r="L36" s="41">
        <v>48.0</v>
      </c>
      <c r="M36" s="41">
        <v>72.0</v>
      </c>
      <c r="N36" s="41">
        <v>78.0</v>
      </c>
      <c r="O36" s="41">
        <v>12.0</v>
      </c>
      <c r="P36" s="41">
        <v>54.0</v>
      </c>
      <c r="Q36" s="41">
        <v>42.0</v>
      </c>
      <c r="R36" s="41">
        <v>60.0</v>
      </c>
      <c r="S36" s="41">
        <v>48.0</v>
      </c>
      <c r="T36" s="41">
        <v>72.0</v>
      </c>
      <c r="U36" s="41">
        <v>84.0</v>
      </c>
      <c r="V36" s="41">
        <v>48.0</v>
      </c>
      <c r="W36" s="41">
        <v>84.0</v>
      </c>
      <c r="X36" s="41">
        <v>60.0</v>
      </c>
      <c r="Y36" s="41">
        <v>18.0</v>
      </c>
      <c r="Z36" s="41">
        <v>18.0</v>
      </c>
      <c r="AA36" s="41">
        <v>54.0</v>
      </c>
      <c r="AB36" s="41">
        <v>42.0</v>
      </c>
      <c r="AC36" s="41">
        <v>48.0</v>
      </c>
      <c r="AD36" s="41">
        <v>72.0</v>
      </c>
      <c r="AE36" s="41">
        <v>24.0</v>
      </c>
      <c r="AF36" s="41">
        <v>12.0</v>
      </c>
      <c r="AG36" s="41">
        <v>42.0</v>
      </c>
      <c r="AH36" s="41">
        <v>18.0</v>
      </c>
      <c r="AI36" s="41">
        <v>48.0</v>
      </c>
      <c r="AJ36" s="41">
        <v>54.0</v>
      </c>
      <c r="AK36" s="41">
        <v>18.0</v>
      </c>
      <c r="AL36" s="41">
        <v>36.0</v>
      </c>
      <c r="AM36" s="43">
        <v>18.0</v>
      </c>
      <c r="AN36" s="43">
        <v>24.0</v>
      </c>
      <c r="AO36" s="43">
        <v>48.0</v>
      </c>
      <c r="AP36" s="43">
        <v>48.0</v>
      </c>
      <c r="AQ36" s="43">
        <v>18.0</v>
      </c>
      <c r="AR36" s="43">
        <v>18.0</v>
      </c>
      <c r="AS36" s="43">
        <v>22.0</v>
      </c>
      <c r="AT36" s="4">
        <f t="shared" si="4"/>
        <v>370.0</v>
      </c>
      <c r="AU36" s="4">
        <f t="shared" si="5"/>
        <v>192.0</v>
      </c>
      <c r="AV36" s="4">
        <f t="shared" si="6"/>
        <v>211.2</v>
      </c>
      <c r="AW36" s="1">
        <f t="shared" si="101"/>
        <v>25.2571428571429</v>
      </c>
      <c r="AX36" s="1">
        <f t="shared" si="102"/>
        <v>31.571428571429</v>
      </c>
      <c r="AY36" s="1">
        <f t="shared" si="103"/>
        <v>34.0</v>
      </c>
      <c r="AZ36" s="1">
        <f t="shared" si="104"/>
        <v>47.1142857142857</v>
      </c>
      <c r="BA36" s="1">
        <f t="shared" si="105"/>
        <v>22.3428571428571</v>
      </c>
      <c r="BB36" s="1">
        <f t="shared" si="106"/>
        <v>43.7142857142857</v>
      </c>
      <c r="BC36" s="4">
        <f t="shared" si="13"/>
        <v>204.0</v>
      </c>
      <c r="BD36" s="3">
        <f>VLOOKUP(D36,FEB23SOH,2,false)</f>
        <v>996.0</v>
      </c>
      <c r="BE36" s="44">
        <f>VLOOKUP(D36,UNITVALUE,4,false)</f>
        <v>0.3346</v>
      </c>
      <c r="BF36" s="44">
        <f t="shared" si="16"/>
        <v>333.2616</v>
      </c>
      <c r="BI36" s="6">
        <f t="shared" si="107"/>
        <v>792.0</v>
      </c>
      <c r="BJ36" s="1">
        <f>VLOOKUP(C36,MOQ,3,FALSE())</f>
        <v>1002.0</v>
      </c>
      <c r="BM36" s="1">
        <f t="shared" si="109"/>
        <v>996.0</v>
      </c>
      <c r="BN36" s="1">
        <f t="shared" si="110"/>
        <v>25.2571428571429</v>
      </c>
      <c r="BP36" s="45">
        <f t="shared" si="111"/>
        <v>970.742857142857</v>
      </c>
      <c r="BQ36" s="5">
        <f t="shared" si="112"/>
        <v>324.81056</v>
      </c>
      <c r="BR36" s="1">
        <f t="shared" si="113"/>
        <v>31.571428571429</v>
      </c>
      <c r="BS36" s="1">
        <f t="shared" si="114"/>
      </c>
      <c r="BT36" s="45">
        <f t="shared" si="115"/>
        <v>939.171428571428</v>
      </c>
      <c r="BU36" s="5">
        <f t="shared" si="116"/>
        <v>314.24676</v>
      </c>
      <c r="BV36" s="1">
        <f t="shared" si="117"/>
        <v>34.0</v>
      </c>
      <c r="BW36" s="1">
        <f t="shared" si="118"/>
      </c>
      <c r="BX36" s="45">
        <f t="shared" si="119"/>
        <v>905.171428571428</v>
      </c>
      <c r="BY36" s="5">
        <f t="shared" si="120"/>
        <v>302.87036</v>
      </c>
      <c r="BZ36" s="1">
        <f t="shared" si="121"/>
        <v>47.1142857142857</v>
      </c>
      <c r="CB36" s="45">
        <f t="shared" si="122"/>
        <v>858.057142857142</v>
      </c>
      <c r="CC36" s="5">
        <f t="shared" si="123"/>
        <v>287.10592</v>
      </c>
      <c r="CD36" s="1">
        <f t="shared" si="124"/>
        <v>22.3428571428571</v>
      </c>
      <c r="CF36" s="45">
        <f t="shared" si="125"/>
        <v>835.714285714284</v>
      </c>
      <c r="CG36" s="5">
        <f t="shared" si="126"/>
        <v>279.629999999999</v>
      </c>
      <c r="CH36" s="1">
        <f t="shared" si="127"/>
        <v>43.7142857142857</v>
      </c>
      <c r="CJ36" s="45">
        <f t="shared" si="128"/>
        <v>791.999999999998</v>
      </c>
      <c r="CK36" s="5">
        <f t="shared" si="129"/>
        <v>265.003199999999</v>
      </c>
    </row>
    <row r="37" ht="17.0">
      <c r="A37" s="41" t="s">
        <v>30</v>
      </c>
      <c r="B37" s="41" t="s">
        <v>83</v>
      </c>
      <c r="C37" s="54" t="s">
        <v>96</v>
      </c>
      <c r="D37" s="42" t="s">
        <v>97</v>
      </c>
      <c r="E37" s="41">
        <v>78.0</v>
      </c>
      <c r="F37" s="41">
        <v>162.0</v>
      </c>
      <c r="G37" s="41">
        <v>66.0</v>
      </c>
      <c r="H37" s="41">
        <v>96.0</v>
      </c>
      <c r="I37" s="41">
        <v>126.0</v>
      </c>
      <c r="J37" s="41">
        <v>109.0</v>
      </c>
      <c r="K37" s="41">
        <v>72.0</v>
      </c>
      <c r="L37" s="41">
        <v>98.0</v>
      </c>
      <c r="M37" s="41">
        <v>90.0</v>
      </c>
      <c r="N37" s="41">
        <v>120.0</v>
      </c>
      <c r="O37" s="41">
        <v>60.0</v>
      </c>
      <c r="P37" s="41">
        <v>102.0</v>
      </c>
      <c r="Q37" s="41">
        <v>78.0</v>
      </c>
      <c r="R37" s="41">
        <v>108.0</v>
      </c>
      <c r="S37" s="41">
        <v>126.0</v>
      </c>
      <c r="T37" s="41">
        <v>120.0</v>
      </c>
      <c r="U37" s="41">
        <v>138.0</v>
      </c>
      <c r="V37" s="41">
        <v>66.0</v>
      </c>
      <c r="W37" s="41">
        <v>108.0</v>
      </c>
      <c r="X37" s="41">
        <v>78.0</v>
      </c>
      <c r="Y37" s="41">
        <v>78.0</v>
      </c>
      <c r="Z37" s="41">
        <v>36.0</v>
      </c>
      <c r="AA37" s="41">
        <v>114.0</v>
      </c>
      <c r="AB37" s="41">
        <v>72.0</v>
      </c>
      <c r="AC37" s="41">
        <v>150.0</v>
      </c>
      <c r="AD37" s="41">
        <v>138.0</v>
      </c>
      <c r="AE37" s="41">
        <v>114.0</v>
      </c>
      <c r="AF37" s="41">
        <v>60.0</v>
      </c>
      <c r="AG37" s="41">
        <v>60.0</v>
      </c>
      <c r="AH37" s="41">
        <v>96.0</v>
      </c>
      <c r="AI37" s="41">
        <v>42.0</v>
      </c>
      <c r="AJ37" s="41">
        <v>72.0</v>
      </c>
      <c r="AK37" s="41">
        <v>72.0</v>
      </c>
      <c r="AL37" s="41">
        <v>66.0</v>
      </c>
      <c r="AM37" s="43">
        <v>48.0</v>
      </c>
      <c r="AN37" s="43">
        <v>48.0</v>
      </c>
      <c r="AO37" s="43">
        <v>90.0</v>
      </c>
      <c r="AP37" s="43">
        <v>126.0</v>
      </c>
      <c r="AQ37" s="43">
        <v>72.0</v>
      </c>
      <c r="AR37" s="43">
        <v>36.0</v>
      </c>
      <c r="AS37" s="43">
        <v>88.0</v>
      </c>
      <c r="AT37" s="4">
        <f t="shared" si="4"/>
        <v>856.0</v>
      </c>
      <c r="AU37" s="4">
        <f t="shared" si="5"/>
        <v>396.0</v>
      </c>
      <c r="AV37" s="4">
        <f t="shared" si="6"/>
        <v>435.6</v>
      </c>
      <c r="AW37" s="1">
        <f t="shared" si="101"/>
        <v>50.5142857142857</v>
      </c>
      <c r="AX37" s="1">
        <f t="shared" si="102"/>
        <v>63.142857142857</v>
      </c>
      <c r="AY37" s="1">
        <f t="shared" si="103"/>
        <v>68.0</v>
      </c>
      <c r="AZ37" s="1">
        <f t="shared" si="104"/>
        <v>94.2285714285714</v>
      </c>
      <c r="BA37" s="1">
        <f t="shared" si="105"/>
        <v>44.6857142857143</v>
      </c>
      <c r="BB37" s="1">
        <f t="shared" si="106"/>
        <v>87.4285714285714</v>
      </c>
      <c r="BC37" s="4">
        <f t="shared" si="13"/>
        <v>408.0</v>
      </c>
      <c r="BD37" s="3">
        <f>VLOOKUP(D37,FEB23SOH,2,false)</f>
        <v>201.0</v>
      </c>
      <c r="BE37" s="44">
        <f>VLOOKUP(D37,UNITVALUE,4,false)</f>
        <v>0.36</v>
      </c>
      <c r="BF37" s="44">
        <f t="shared" si="16"/>
        <v>72.36</v>
      </c>
      <c r="BI37" s="6">
        <f t="shared" si="107"/>
        <v>-207.0</v>
      </c>
      <c r="BJ37" s="1">
        <f>VLOOKUP(C37,MOQ,3,FALSE())</f>
        <v>1002.0</v>
      </c>
      <c r="BK37" s="51">
        <f>BJ37</f>
        <v>1002.0</v>
      </c>
      <c r="BL37" s="8" t="s">
        <v>8</v>
      </c>
      <c r="BM37" s="1">
        <f t="shared" si="109"/>
        <v>201.0</v>
      </c>
      <c r="BN37" s="1">
        <f t="shared" si="110"/>
        <v>50.5142857142857</v>
      </c>
      <c r="BP37" s="45">
        <f t="shared" si="111"/>
        <v>150.485714285714</v>
      </c>
      <c r="BQ37" s="5">
        <f t="shared" si="112"/>
        <v>54.174857142857</v>
      </c>
      <c r="BR37" s="1">
        <f t="shared" si="113"/>
        <v>63.142857142857</v>
      </c>
      <c r="BS37" s="1">
        <f t="shared" si="114"/>
      </c>
      <c r="BT37" s="45">
        <f t="shared" si="115"/>
        <v>87.342857142857</v>
      </c>
      <c r="BU37" s="5">
        <f t="shared" si="116"/>
        <v>31.4434285714285</v>
      </c>
      <c r="BV37" s="1">
        <f t="shared" si="117"/>
        <v>68.0</v>
      </c>
      <c r="BW37" s="1">
        <f t="shared" si="118"/>
      </c>
      <c r="BX37" s="45">
        <f t="shared" si="119"/>
        <v>19.342857142857</v>
      </c>
      <c r="BY37" s="5">
        <f t="shared" si="120"/>
        <v>6.96342857142852</v>
      </c>
      <c r="BZ37" s="1">
        <f t="shared" si="121"/>
        <v>94.2285714285714</v>
      </c>
      <c r="CB37" s="45">
        <f t="shared" si="122"/>
        <v>-74.8857142857144</v>
      </c>
      <c r="CC37" s="5">
        <f t="shared" si="123"/>
        <v>-26.9588571428571</v>
      </c>
      <c r="CD37" s="1">
        <f t="shared" si="124"/>
        <v>44.6857142857143</v>
      </c>
      <c r="CF37" s="45">
        <f t="shared" si="125"/>
        <v>-119.571428571427</v>
      </c>
      <c r="CG37" s="5">
        <f t="shared" si="126"/>
        <v>-43.0457142857137</v>
      </c>
      <c r="CH37" s="1">
        <f t="shared" si="127"/>
        <v>87.4285714285714</v>
      </c>
      <c r="CJ37" s="45">
        <f t="shared" si="128"/>
        <v>-206.999999999998</v>
      </c>
      <c r="CK37" s="5">
        <f t="shared" si="129"/>
        <v>-74.5199999999992</v>
      </c>
    </row>
    <row r="38" ht="17.0">
      <c r="A38" s="41" t="s">
        <v>30</v>
      </c>
      <c r="B38" s="41" t="s">
        <v>83</v>
      </c>
      <c r="C38" s="54" t="s">
        <v>98</v>
      </c>
      <c r="D38" s="42" t="s">
        <v>99</v>
      </c>
      <c r="E38" s="41">
        <v>24.0</v>
      </c>
      <c r="F38" s="41">
        <v>66.0</v>
      </c>
      <c r="G38" s="41">
        <v>42.0</v>
      </c>
      <c r="H38" s="41">
        <v>78.0</v>
      </c>
      <c r="I38" s="41">
        <v>96.0</v>
      </c>
      <c r="J38" s="41">
        <v>91.0</v>
      </c>
      <c r="K38" s="41">
        <v>72.0</v>
      </c>
      <c r="L38" s="41">
        <v>54.0</v>
      </c>
      <c r="M38" s="41">
        <v>114.0</v>
      </c>
      <c r="N38" s="41">
        <v>60.0</v>
      </c>
      <c r="O38" s="41">
        <v>84.0</v>
      </c>
      <c r="P38" s="41">
        <v>60.0</v>
      </c>
      <c r="Q38" s="41">
        <v>66.0</v>
      </c>
      <c r="R38" s="41">
        <v>108.0</v>
      </c>
      <c r="S38" s="41">
        <v>114.0</v>
      </c>
      <c r="T38" s="41">
        <v>96.0</v>
      </c>
      <c r="U38" s="41">
        <v>90.0</v>
      </c>
      <c r="V38" s="41">
        <v>78.0</v>
      </c>
      <c r="W38" s="41">
        <v>90.0</v>
      </c>
      <c r="X38" s="41">
        <v>78.0</v>
      </c>
      <c r="Y38" s="41">
        <v>60.0</v>
      </c>
      <c r="Z38" s="41">
        <v>54.0</v>
      </c>
      <c r="AA38" s="41">
        <v>102.0</v>
      </c>
      <c r="AB38" s="41">
        <v>84.0</v>
      </c>
      <c r="AC38" s="41">
        <v>138.0</v>
      </c>
      <c r="AD38" s="41">
        <v>96.0</v>
      </c>
      <c r="AE38" s="41">
        <v>60.0</v>
      </c>
      <c r="AF38" s="41">
        <v>108.0</v>
      </c>
      <c r="AG38" s="41">
        <v>78.0</v>
      </c>
      <c r="AH38" s="41">
        <v>84.0</v>
      </c>
      <c r="AI38" s="41">
        <v>54.0</v>
      </c>
      <c r="AJ38" s="41">
        <v>66.0</v>
      </c>
      <c r="AK38" s="41">
        <v>60.0</v>
      </c>
      <c r="AL38" s="41">
        <v>60.0</v>
      </c>
      <c r="AM38" s="43">
        <v>30.0</v>
      </c>
      <c r="AN38" s="43">
        <v>48.0</v>
      </c>
      <c r="AO38" s="43">
        <v>96.0</v>
      </c>
      <c r="AP38" s="43">
        <v>102.0</v>
      </c>
      <c r="AQ38" s="43">
        <v>60.0</v>
      </c>
      <c r="AR38" s="43">
        <v>30.0</v>
      </c>
      <c r="AS38" s="43">
        <v>88.0</v>
      </c>
      <c r="AT38" s="4">
        <f t="shared" si="4"/>
        <v>778.0</v>
      </c>
      <c r="AU38" s="4">
        <f t="shared" si="5"/>
        <v>354.0</v>
      </c>
      <c r="AV38" s="4">
        <f t="shared" si="6"/>
        <v>389.4</v>
      </c>
      <c r="AW38" s="1">
        <f t="shared" si="101"/>
        <v>45.3142857142857</v>
      </c>
      <c r="AX38" s="1">
        <f t="shared" si="102"/>
        <v>56.642857142857</v>
      </c>
      <c r="AY38" s="1">
        <f t="shared" si="103"/>
        <v>61.0</v>
      </c>
      <c r="AZ38" s="1">
        <f t="shared" si="104"/>
        <v>84.5285714285714</v>
      </c>
      <c r="BA38" s="1">
        <f t="shared" si="105"/>
        <v>40.0857142857143</v>
      </c>
      <c r="BB38" s="1">
        <f t="shared" si="106"/>
        <v>78.4285714285714</v>
      </c>
      <c r="BC38" s="4">
        <f t="shared" si="13"/>
        <v>366.0</v>
      </c>
      <c r="BD38" s="3">
        <f>VLOOKUP(D38,FEB23SOH,2,false)</f>
        <v>821.0</v>
      </c>
      <c r="BE38" s="44">
        <f>VLOOKUP(D38,UNITVALUE,4,false)</f>
        <v>0.3345</v>
      </c>
      <c r="BF38" s="44">
        <f t="shared" si="16"/>
        <v>274.6245</v>
      </c>
      <c r="BI38" s="6">
        <f t="shared" si="107"/>
        <v>455.0</v>
      </c>
      <c r="BJ38" s="1">
        <f>VLOOKUP(C38,MOQ,3,FALSE())</f>
        <v>1002.0</v>
      </c>
      <c r="BM38" s="1">
        <f t="shared" si="109"/>
        <v>821.0</v>
      </c>
      <c r="BN38" s="1">
        <f t="shared" si="110"/>
        <v>45.3142857142857</v>
      </c>
      <c r="BP38" s="45">
        <f t="shared" si="111"/>
        <v>775.685714285714</v>
      </c>
      <c r="BQ38" s="5">
        <f t="shared" si="112"/>
        <v>259.466871428571</v>
      </c>
      <c r="BR38" s="1">
        <f t="shared" si="113"/>
        <v>56.642857142857</v>
      </c>
      <c r="BS38" s="1">
        <f t="shared" si="114"/>
      </c>
      <c r="BT38" s="45">
        <f t="shared" si="115"/>
        <v>719.042857142857</v>
      </c>
      <c r="BU38" s="5">
        <f t="shared" si="116"/>
        <v>240.519835714286</v>
      </c>
      <c r="BV38" s="1">
        <f t="shared" si="117"/>
        <v>61.0</v>
      </c>
      <c r="BW38" s="1">
        <f t="shared" si="118"/>
      </c>
      <c r="BX38" s="45">
        <f t="shared" si="119"/>
        <v>658.042857142857</v>
      </c>
      <c r="BY38" s="5">
        <f t="shared" si="120"/>
        <v>220.115335714286</v>
      </c>
      <c r="BZ38" s="1">
        <f t="shared" si="121"/>
        <v>84.5285714285714</v>
      </c>
      <c r="CB38" s="45">
        <f t="shared" si="122"/>
        <v>573.51428571429</v>
      </c>
      <c r="CC38" s="5">
        <f t="shared" si="123"/>
        <v>191.84052857143</v>
      </c>
      <c r="CD38" s="1">
        <f t="shared" si="124"/>
        <v>40.0857142857143</v>
      </c>
      <c r="CF38" s="45">
        <f t="shared" si="125"/>
        <v>533.428571428576</v>
      </c>
      <c r="CG38" s="5">
        <f t="shared" si="126"/>
        <v>178.431857142859</v>
      </c>
      <c r="CH38" s="1">
        <f t="shared" si="127"/>
        <v>78.4285714285714</v>
      </c>
      <c r="CJ38" s="45">
        <f t="shared" si="128"/>
        <v>455.000000000004</v>
      </c>
      <c r="CK38" s="5">
        <f t="shared" si="129"/>
        <v>152.197500000001</v>
      </c>
    </row>
    <row r="39" ht="17.0">
      <c r="A39" s="41" t="s">
        <v>30</v>
      </c>
      <c r="B39" s="41" t="s">
        <v>83</v>
      </c>
      <c r="C39" s="54" t="s">
        <v>100</v>
      </c>
      <c r="D39" s="55" t="s">
        <v>101</v>
      </c>
      <c r="E39" s="41">
        <v>72.0</v>
      </c>
      <c r="F39" s="41">
        <v>132.0</v>
      </c>
      <c r="G39" s="41">
        <v>108.0</v>
      </c>
      <c r="H39" s="41">
        <v>126.0</v>
      </c>
      <c r="I39" s="41">
        <v>162.0</v>
      </c>
      <c r="J39" s="41">
        <v>126.0</v>
      </c>
      <c r="K39" s="41">
        <v>90.0</v>
      </c>
      <c r="L39" s="41">
        <v>108.0</v>
      </c>
      <c r="M39" s="41">
        <v>97.0</v>
      </c>
      <c r="N39" s="41">
        <v>150.0</v>
      </c>
      <c r="O39" s="41">
        <v>114.0</v>
      </c>
      <c r="P39" s="41">
        <v>174.0</v>
      </c>
      <c r="Q39" s="41">
        <v>150.0</v>
      </c>
      <c r="R39" s="41">
        <v>180.0</v>
      </c>
      <c r="S39" s="41">
        <v>204.0</v>
      </c>
      <c r="T39" s="41">
        <v>210.0</v>
      </c>
      <c r="U39" s="41">
        <v>258.0</v>
      </c>
      <c r="V39" s="41">
        <v>186.0</v>
      </c>
      <c r="W39" s="41">
        <v>168.0</v>
      </c>
      <c r="X39" s="41">
        <v>84.0</v>
      </c>
      <c r="Y39" s="41">
        <v>78.0</v>
      </c>
      <c r="Z39" s="41">
        <v>84.0</v>
      </c>
      <c r="AA39" s="41">
        <v>150.0</v>
      </c>
      <c r="AB39" s="41">
        <v>132.0</v>
      </c>
      <c r="AC39" s="41">
        <v>192.0</v>
      </c>
      <c r="AD39" s="41">
        <v>234.0</v>
      </c>
      <c r="AE39" s="41">
        <v>108.0</v>
      </c>
      <c r="AF39" s="41">
        <v>180.0</v>
      </c>
      <c r="AG39" s="41">
        <v>120.0</v>
      </c>
      <c r="AH39" s="41">
        <v>138.0</v>
      </c>
      <c r="AI39" s="41">
        <v>90.0</v>
      </c>
      <c r="AJ39" s="41">
        <v>186.0</v>
      </c>
      <c r="AK39" s="41">
        <v>102.0</v>
      </c>
      <c r="AL39" s="41">
        <v>90.0</v>
      </c>
      <c r="AM39" s="43">
        <v>102.0</v>
      </c>
      <c r="AN39" s="43">
        <v>96.0</v>
      </c>
      <c r="AO39" s="43">
        <v>156.0</v>
      </c>
      <c r="AP39" s="43">
        <v>276.0</v>
      </c>
      <c r="AQ39" s="43">
        <v>174.0</v>
      </c>
      <c r="AR39" s="43">
        <v>66.0</v>
      </c>
      <c r="AS39" s="43">
        <v>212.0</v>
      </c>
      <c r="AT39" s="4">
        <f t="shared" si="4"/>
        <v>1688.0</v>
      </c>
      <c r="AU39" s="4">
        <f t="shared" si="5"/>
        <v>708.0</v>
      </c>
      <c r="AV39" s="4">
        <f t="shared" si="6"/>
        <v>778.8</v>
      </c>
      <c r="AW39" s="1">
        <f t="shared" si="101"/>
        <v>89.1428571428571</v>
      </c>
      <c r="AX39" s="1">
        <f t="shared" si="102"/>
        <v>111.428571428571</v>
      </c>
      <c r="AY39" s="1">
        <f t="shared" si="103"/>
        <v>120.0</v>
      </c>
      <c r="AZ39" s="1">
        <f t="shared" si="104"/>
        <v>166.285714285714</v>
      </c>
      <c r="BA39" s="1">
        <f t="shared" si="105"/>
        <v>78.8571428571428</v>
      </c>
      <c r="BB39" s="1">
        <f t="shared" si="106"/>
        <v>154.285714285714</v>
      </c>
      <c r="BC39" s="4">
        <f t="shared" si="13"/>
        <v>719.999999999999</v>
      </c>
      <c r="BD39" s="3">
        <f>VLOOKUP(D39,FEB23SOH,2,false)</f>
        <v>0.0</v>
      </c>
      <c r="BE39" s="44">
        <f>VLOOKUP(D39,UNITVALUE,4,false)</f>
      </c>
      <c r="BF39" s="44">
        <f t="shared" si="16"/>
        <v>0.0</v>
      </c>
      <c r="BI39" s="6">
        <f t="shared" si="107"/>
        <v>-719.999999999999</v>
      </c>
      <c r="BJ39" s="1">
        <f>VLOOKUP(C39,MOQ,3,FALSE())</f>
        <v>1002.0</v>
      </c>
      <c r="BK39" s="51">
        <f>BJ39</f>
        <v>1002.0</v>
      </c>
      <c r="BL39" s="8" t="s">
        <v>68</v>
      </c>
      <c r="BM39" s="1">
        <f t="shared" si="109"/>
        <v>0.0</v>
      </c>
      <c r="BN39" s="1">
        <f t="shared" si="110"/>
        <v>89.1428571428571</v>
      </c>
      <c r="BP39" s="45">
        <f t="shared" si="111"/>
        <v>-89.1428571428571</v>
      </c>
      <c r="BQ39" s="5">
        <f t="shared" si="112"/>
        <v>0.0</v>
      </c>
      <c r="BR39" s="1">
        <f t="shared" si="113"/>
        <v>111.428571428571</v>
      </c>
      <c r="BS39" s="1">
        <f t="shared" si="114"/>
      </c>
      <c r="BT39" s="45">
        <f t="shared" si="115"/>
        <v>-200.571428571428</v>
      </c>
      <c r="BU39" s="5">
        <f t="shared" si="116"/>
        <v>0.0</v>
      </c>
      <c r="BV39" s="1">
        <f t="shared" si="117"/>
        <v>120.0</v>
      </c>
      <c r="BW39" s="1">
        <f t="shared" si="118"/>
      </c>
      <c r="BX39" s="45">
        <f t="shared" si="119"/>
        <v>-320.571428571428</v>
      </c>
      <c r="BY39" s="5">
        <f t="shared" si="120"/>
        <v>0.0</v>
      </c>
      <c r="BZ39" s="1">
        <f t="shared" si="121"/>
        <v>166.285714285714</v>
      </c>
      <c r="CB39" s="45">
        <f t="shared" si="122"/>
        <v>-486.857142857142</v>
      </c>
      <c r="CC39" s="5">
        <f t="shared" si="123"/>
        <v>0.0</v>
      </c>
      <c r="CD39" s="1">
        <f t="shared" si="124"/>
        <v>78.8571428571428</v>
      </c>
      <c r="CF39" s="45">
        <f t="shared" si="125"/>
        <v>-565.714285714284</v>
      </c>
      <c r="CG39" s="5">
        <f t="shared" si="126"/>
        <v>0.0</v>
      </c>
      <c r="CH39" s="1">
        <f t="shared" si="127"/>
        <v>154.285714285714</v>
      </c>
      <c r="CJ39" s="45">
        <f t="shared" si="128"/>
        <v>-719.999999999998</v>
      </c>
      <c r="CK39" s="5">
        <f t="shared" si="129"/>
        <v>0.0</v>
      </c>
    </row>
    <row r="40" ht="17.0">
      <c r="A40" s="41" t="s">
        <v>30</v>
      </c>
      <c r="B40" s="41" t="s">
        <v>83</v>
      </c>
      <c r="C40" s="54" t="s">
        <v>102</v>
      </c>
      <c r="D40" s="42" t="s">
        <v>103</v>
      </c>
      <c r="E40" s="41">
        <v>30.0</v>
      </c>
      <c r="F40" s="41">
        <v>78.0</v>
      </c>
      <c r="G40" s="41">
        <v>84.0</v>
      </c>
      <c r="H40" s="41">
        <v>78.0</v>
      </c>
      <c r="I40" s="41">
        <v>102.0</v>
      </c>
      <c r="J40" s="41">
        <v>72.0</v>
      </c>
      <c r="K40" s="41">
        <v>24.0</v>
      </c>
      <c r="L40" s="41">
        <v>54.0</v>
      </c>
      <c r="M40" s="41">
        <v>60.0</v>
      </c>
      <c r="N40" s="41">
        <v>102.0</v>
      </c>
      <c r="O40" s="41">
        <v>84.0</v>
      </c>
      <c r="P40" s="41">
        <v>60.0</v>
      </c>
      <c r="Q40" s="41">
        <v>72.0</v>
      </c>
      <c r="R40" s="41">
        <v>48.0</v>
      </c>
      <c r="S40" s="41">
        <v>48.0</v>
      </c>
      <c r="T40" s="41">
        <v>90.0</v>
      </c>
      <c r="U40" s="41">
        <v>72.0</v>
      </c>
      <c r="V40" s="41">
        <v>36.0</v>
      </c>
      <c r="W40" s="41">
        <v>72.0</v>
      </c>
      <c r="X40" s="41">
        <v>66.0</v>
      </c>
      <c r="Y40" s="41">
        <v>18.0</v>
      </c>
      <c r="Z40" s="41">
        <v>12.0</v>
      </c>
      <c r="AA40" s="41">
        <v>84.0</v>
      </c>
      <c r="AB40" s="41">
        <v>42.0</v>
      </c>
      <c r="AC40" s="41">
        <v>48.0</v>
      </c>
      <c r="AD40" s="41">
        <v>66.0</v>
      </c>
      <c r="AE40" s="41">
        <v>48.0</v>
      </c>
      <c r="AF40" s="41">
        <v>60.0</v>
      </c>
      <c r="AG40" s="41">
        <v>30.0</v>
      </c>
      <c r="AH40" s="41">
        <v>24.0</v>
      </c>
      <c r="AI40" s="41">
        <v>90.0</v>
      </c>
      <c r="AJ40" s="41">
        <v>15.0</v>
      </c>
      <c r="AK40" s="41">
        <v>12.0</v>
      </c>
      <c r="AL40" s="41">
        <v>48.0</v>
      </c>
      <c r="AM40" s="43">
        <v>36.0</v>
      </c>
      <c r="AN40" s="43">
        <v>36.0</v>
      </c>
      <c r="AO40" s="43">
        <v>66.0</v>
      </c>
      <c r="AP40" s="43">
        <v>120.0</v>
      </c>
      <c r="AQ40" s="43">
        <v>30.0</v>
      </c>
      <c r="AR40" s="43">
        <v>30.0</v>
      </c>
      <c r="AS40" s="43">
        <v>51.0</v>
      </c>
      <c r="AT40" s="4">
        <f t="shared" si="4"/>
        <v>558.0</v>
      </c>
      <c r="AU40" s="4">
        <f t="shared" si="5"/>
        <v>225.0</v>
      </c>
      <c r="AV40" s="4">
        <f t="shared" si="6"/>
        <v>247.5</v>
      </c>
      <c r="AW40" s="1">
        <f t="shared" si="101"/>
        <v>29.3428571428571</v>
      </c>
      <c r="AX40" s="1">
        <f t="shared" si="102"/>
        <v>36.6785714285714</v>
      </c>
      <c r="AY40" s="1">
        <f t="shared" si="103"/>
        <v>39.5</v>
      </c>
      <c r="AZ40" s="1">
        <f t="shared" si="104"/>
        <v>54.7357142857142</v>
      </c>
      <c r="BA40" s="1">
        <f t="shared" si="105"/>
        <v>25.9571428571428</v>
      </c>
      <c r="BB40" s="1">
        <f t="shared" si="106"/>
        <v>50.7857142857142</v>
      </c>
      <c r="BC40" s="4">
        <f t="shared" si="13"/>
        <v>237.0</v>
      </c>
      <c r="BD40" s="3">
        <f>VLOOKUP(D40,FEB23SOH,2,false)</f>
        <v>582.0</v>
      </c>
      <c r="BE40" s="44">
        <f>VLOOKUP(D40,UNITVALUE,4,false)</f>
        <v>0.3499</v>
      </c>
      <c r="BF40" s="44">
        <f t="shared" si="16"/>
        <v>203.6418</v>
      </c>
      <c r="BI40" s="6">
        <f t="shared" si="107"/>
        <v>345.0</v>
      </c>
      <c r="BJ40" s="1">
        <f>VLOOKUP(C40,MOQ,3,FALSE())</f>
        <v>1002.0</v>
      </c>
      <c r="BM40" s="1">
        <f t="shared" si="109"/>
        <v>582.0</v>
      </c>
      <c r="BN40" s="1">
        <f t="shared" si="110"/>
        <v>29.3428571428571</v>
      </c>
      <c r="BP40" s="45">
        <f t="shared" si="111"/>
        <v>552.657142857142</v>
      </c>
      <c r="BQ40" s="5">
        <f t="shared" si="112"/>
        <v>193.374734285714</v>
      </c>
      <c r="BR40" s="1">
        <f t="shared" si="113"/>
        <v>36.6785714285714</v>
      </c>
      <c r="BS40" s="1">
        <f t="shared" si="114"/>
      </c>
      <c r="BT40" s="45">
        <f t="shared" si="115"/>
        <v>515.97857142857</v>
      </c>
      <c r="BU40" s="5">
        <f t="shared" si="116"/>
        <v>180.540902142857</v>
      </c>
      <c r="BV40" s="1">
        <f t="shared" si="117"/>
        <v>39.5</v>
      </c>
      <c r="BW40" s="1">
        <f t="shared" si="118"/>
      </c>
      <c r="BX40" s="45">
        <f t="shared" si="119"/>
        <v>476.47857142857</v>
      </c>
      <c r="BY40" s="5">
        <f t="shared" si="120"/>
        <v>166.719852142857</v>
      </c>
      <c r="BZ40" s="1">
        <f t="shared" si="121"/>
        <v>54.7357142857142</v>
      </c>
      <c r="CB40" s="45">
        <f t="shared" si="122"/>
        <v>421.742857142856</v>
      </c>
      <c r="CC40" s="5">
        <f t="shared" si="123"/>
        <v>147.567825714285</v>
      </c>
      <c r="CD40" s="1">
        <f t="shared" si="124"/>
        <v>25.9571428571428</v>
      </c>
      <c r="CF40" s="45">
        <f t="shared" si="125"/>
        <v>395.785714285713</v>
      </c>
      <c r="CG40" s="5">
        <f t="shared" si="126"/>
        <v>138.485421428571</v>
      </c>
      <c r="CH40" s="1">
        <f t="shared" si="127"/>
        <v>50.7857142857142</v>
      </c>
      <c r="CJ40" s="45">
        <f t="shared" si="128"/>
        <v>345.0</v>
      </c>
      <c r="CK40" s="5">
        <f t="shared" si="129"/>
        <v>120.7155</v>
      </c>
    </row>
    <row r="41" ht="17.0">
      <c r="A41" s="41" t="s">
        <v>30</v>
      </c>
      <c r="B41" s="41" t="s">
        <v>83</v>
      </c>
      <c r="C41" s="54" t="s">
        <v>104</v>
      </c>
      <c r="D41" s="42" t="s">
        <v>105</v>
      </c>
      <c r="E41" s="41">
        <v>96.0</v>
      </c>
      <c r="F41" s="41">
        <v>150.0</v>
      </c>
      <c r="G41" s="41">
        <v>90.0</v>
      </c>
      <c r="H41" s="41">
        <v>120.0</v>
      </c>
      <c r="I41" s="41">
        <v>132.0</v>
      </c>
      <c r="J41" s="41">
        <v>114.0</v>
      </c>
      <c r="K41" s="41">
        <v>84.0</v>
      </c>
      <c r="L41" s="41">
        <v>78.0</v>
      </c>
      <c r="M41" s="41">
        <v>126.0</v>
      </c>
      <c r="N41" s="41">
        <v>102.0</v>
      </c>
      <c r="O41" s="41">
        <v>84.0</v>
      </c>
      <c r="P41" s="41">
        <v>96.0</v>
      </c>
      <c r="Q41" s="41">
        <v>90.0</v>
      </c>
      <c r="R41" s="41">
        <v>96.0</v>
      </c>
      <c r="S41" s="41">
        <v>150.0</v>
      </c>
      <c r="T41" s="41">
        <v>114.0</v>
      </c>
      <c r="U41" s="41">
        <v>108.0</v>
      </c>
      <c r="V41" s="41">
        <v>54.0</v>
      </c>
      <c r="W41" s="41">
        <v>102.0</v>
      </c>
      <c r="X41" s="41">
        <v>109.0</v>
      </c>
      <c r="Y41" s="41">
        <v>42.0</v>
      </c>
      <c r="Z41" s="41">
        <v>60.0</v>
      </c>
      <c r="AA41" s="41">
        <v>114.0</v>
      </c>
      <c r="AB41" s="41">
        <v>90.0</v>
      </c>
      <c r="AC41" s="41">
        <v>144.0</v>
      </c>
      <c r="AD41" s="41">
        <v>120.0</v>
      </c>
      <c r="AE41" s="41">
        <v>54.0</v>
      </c>
      <c r="AF41" s="41">
        <v>0.0</v>
      </c>
      <c r="AG41" s="41">
        <v>0.0</v>
      </c>
      <c r="AH41" s="41">
        <v>78.0</v>
      </c>
      <c r="AI41" s="41">
        <v>84.0</v>
      </c>
      <c r="AJ41" s="41">
        <v>54.0</v>
      </c>
      <c r="AK41" s="41">
        <v>84.0</v>
      </c>
      <c r="AL41" s="41">
        <v>126.0</v>
      </c>
      <c r="AM41" s="43">
        <v>54.0</v>
      </c>
      <c r="AN41" s="43">
        <v>54.0</v>
      </c>
      <c r="AO41" s="43">
        <v>84.0</v>
      </c>
      <c r="AP41" s="43">
        <v>156.0</v>
      </c>
      <c r="AQ41" s="43">
        <v>108.0</v>
      </c>
      <c r="AR41" s="43">
        <v>48.0</v>
      </c>
      <c r="AS41" s="43">
        <v>88.0</v>
      </c>
      <c r="AT41" s="4">
        <f t="shared" si="4"/>
        <v>1018.0</v>
      </c>
      <c r="AU41" s="4">
        <f t="shared" si="5"/>
        <v>480.0</v>
      </c>
      <c r="AV41" s="4">
        <f t="shared" si="6"/>
        <v>528.0</v>
      </c>
      <c r="AW41" s="1">
        <f t="shared" si="101"/>
        <v>60.9142857142857</v>
      </c>
      <c r="AX41" s="1">
        <f t="shared" si="102"/>
        <v>76.142857142857</v>
      </c>
      <c r="AY41" s="1">
        <f t="shared" si="103"/>
        <v>82.0</v>
      </c>
      <c r="AZ41" s="1">
        <f t="shared" si="104"/>
        <v>113.62857142857</v>
      </c>
      <c r="BA41" s="1">
        <f t="shared" si="105"/>
        <v>53.8857142857143</v>
      </c>
      <c r="BB41" s="1">
        <f t="shared" si="106"/>
        <v>105.42857142857</v>
      </c>
      <c r="BC41" s="4">
        <f t="shared" si="13"/>
        <v>491.999999999997</v>
      </c>
      <c r="BD41" s="3">
        <f>VLOOKUP(D41,FEB23SOH,2,false)</f>
        <v>12.0</v>
      </c>
      <c r="BE41" s="44">
        <f>VLOOKUP(D41,UNITVALUE,4,false)</f>
        <v>0.3592</v>
      </c>
      <c r="BF41" s="44">
        <f t="shared" si="16"/>
        <v>4.3104</v>
      </c>
      <c r="BI41" s="6">
        <f t="shared" si="107"/>
        <v>-479.999999999997</v>
      </c>
      <c r="BJ41" s="1">
        <f>VLOOKUP(C41,MOQ,3,FALSE())</f>
        <v>1002.0</v>
      </c>
      <c r="BK41" s="51">
        <f>BJ41</f>
        <v>1002.0</v>
      </c>
      <c r="BL41" s="8" t="s">
        <v>5</v>
      </c>
      <c r="BM41" s="1">
        <f t="shared" si="109"/>
        <v>12.0</v>
      </c>
      <c r="BN41" s="1">
        <f t="shared" si="110"/>
        <v>60.9142857142857</v>
      </c>
      <c r="BP41" s="45">
        <f t="shared" si="111"/>
        <v>-48.9142857142857</v>
      </c>
      <c r="BQ41" s="5">
        <f t="shared" si="112"/>
        <v>-17.5700114285714</v>
      </c>
      <c r="BR41" s="1">
        <f t="shared" si="113"/>
        <v>76.142857142857</v>
      </c>
      <c r="BS41" s="1">
        <f t="shared" si="114"/>
      </c>
      <c r="BT41" s="45">
        <f t="shared" si="115"/>
        <v>-125.057142857142</v>
      </c>
      <c r="BU41" s="5">
        <f t="shared" si="116"/>
        <v>-44.9205257142854</v>
      </c>
      <c r="BV41" s="1">
        <f t="shared" si="117"/>
        <v>82.0</v>
      </c>
      <c r="BW41" s="1">
        <f t="shared" si="118"/>
      </c>
      <c r="BX41" s="45">
        <f t="shared" si="119"/>
        <v>-207.057142857142</v>
      </c>
      <c r="BY41" s="5">
        <f t="shared" si="120"/>
        <v>-74.3749257142854</v>
      </c>
      <c r="BZ41" s="1">
        <f t="shared" si="121"/>
        <v>113.62857142857</v>
      </c>
      <c r="CB41" s="45">
        <f t="shared" si="122"/>
        <v>-320.685714285712</v>
      </c>
      <c r="CC41" s="5">
        <f t="shared" si="123"/>
        <v>-115.190308571426</v>
      </c>
      <c r="CD41" s="1">
        <f t="shared" si="124"/>
        <v>53.8857142857143</v>
      </c>
      <c r="CF41" s="45">
        <f t="shared" si="125"/>
        <v>-374.571428571426</v>
      </c>
      <c r="CG41" s="5">
        <f t="shared" si="126"/>
        <v>-134.546057142856</v>
      </c>
      <c r="CH41" s="1">
        <f t="shared" si="127"/>
        <v>105.42857142857</v>
      </c>
      <c r="CJ41" s="45">
        <f t="shared" si="128"/>
        <v>-479.999999999996</v>
      </c>
      <c r="CK41" s="5">
        <f t="shared" si="129"/>
        <v>-172.415999999997</v>
      </c>
    </row>
    <row r="42" ht="17.0">
      <c r="A42" s="41" t="s">
        <v>30</v>
      </c>
      <c r="B42" s="41" t="s">
        <v>83</v>
      </c>
      <c r="C42" s="41" t="s">
        <v>106</v>
      </c>
      <c r="D42" s="55" t="s">
        <v>107</v>
      </c>
      <c r="E42" s="41">
        <v>30.0</v>
      </c>
      <c r="F42" s="41">
        <v>90.0</v>
      </c>
      <c r="G42" s="41">
        <v>54.0</v>
      </c>
      <c r="H42" s="41">
        <v>84.0</v>
      </c>
      <c r="I42" s="41">
        <v>72.0</v>
      </c>
      <c r="J42" s="41">
        <v>66.0</v>
      </c>
      <c r="K42" s="41">
        <v>54.0</v>
      </c>
      <c r="L42" s="41">
        <v>60.0</v>
      </c>
      <c r="M42" s="41">
        <v>60.0</v>
      </c>
      <c r="N42" s="41">
        <v>96.0</v>
      </c>
      <c r="O42" s="41">
        <v>36.0</v>
      </c>
      <c r="P42" s="41">
        <v>48.0</v>
      </c>
      <c r="Q42" s="41">
        <v>12.0</v>
      </c>
      <c r="R42" s="41">
        <v>84.0</v>
      </c>
      <c r="S42" s="41">
        <v>78.0</v>
      </c>
      <c r="T42" s="41">
        <v>90.0</v>
      </c>
      <c r="U42" s="41">
        <v>72.0</v>
      </c>
      <c r="V42" s="41">
        <v>54.0</v>
      </c>
      <c r="W42" s="41">
        <v>84.0</v>
      </c>
      <c r="X42" s="41">
        <v>48.0</v>
      </c>
      <c r="Y42" s="41">
        <v>36.0</v>
      </c>
      <c r="Z42" s="41">
        <v>48.0</v>
      </c>
      <c r="AA42" s="41">
        <v>48.0</v>
      </c>
      <c r="AB42" s="41">
        <v>84.0</v>
      </c>
      <c r="AC42" s="41">
        <v>84.0</v>
      </c>
      <c r="AD42" s="41">
        <v>66.0</v>
      </c>
      <c r="AE42" s="41">
        <v>18.0</v>
      </c>
      <c r="AF42" s="41">
        <v>54.0</v>
      </c>
      <c r="AG42" s="41">
        <v>54.0</v>
      </c>
      <c r="AH42" s="41">
        <v>42.0</v>
      </c>
      <c r="AI42" s="41">
        <v>42.0</v>
      </c>
      <c r="AJ42" s="41">
        <v>108.0</v>
      </c>
      <c r="AK42" s="41">
        <v>30.0</v>
      </c>
      <c r="AL42" s="41">
        <v>36.0</v>
      </c>
      <c r="AM42" s="43">
        <v>30.0</v>
      </c>
      <c r="AN42" s="43">
        <v>24.0</v>
      </c>
      <c r="AO42" s="43">
        <v>66.0</v>
      </c>
      <c r="AP42" s="43">
        <v>48.0</v>
      </c>
      <c r="AQ42" s="43">
        <v>72.0</v>
      </c>
      <c r="AR42" s="43">
        <v>30.0</v>
      </c>
      <c r="AS42" s="43">
        <v>80.0</v>
      </c>
      <c r="AT42" s="4">
        <f t="shared" si="4"/>
        <v>608.0</v>
      </c>
      <c r="AU42" s="4">
        <f t="shared" si="5"/>
        <v>288.0</v>
      </c>
      <c r="AV42" s="4">
        <f t="shared" si="6"/>
        <v>316.8</v>
      </c>
      <c r="AW42" s="1">
        <f t="shared" si="101"/>
        <v>37.1428571428571</v>
      </c>
      <c r="AX42" s="1">
        <f t="shared" si="102"/>
        <v>46.4285714285714</v>
      </c>
      <c r="AY42" s="1">
        <f t="shared" si="103"/>
        <v>50.0</v>
      </c>
      <c r="AZ42" s="1">
        <f t="shared" si="104"/>
        <v>69.2857142857142</v>
      </c>
      <c r="BA42" s="1">
        <f t="shared" si="105"/>
        <v>32.8571428571428</v>
      </c>
      <c r="BB42" s="1">
        <f t="shared" si="106"/>
        <v>64.2857142857142</v>
      </c>
      <c r="BC42" s="4">
        <f t="shared" si="13"/>
        <v>300.0</v>
      </c>
      <c r="BD42" s="3">
        <f>VLOOKUP(D42,FEB23SOH,2,false)</f>
        <v>462.0</v>
      </c>
      <c r="BE42" s="44">
        <f>VLOOKUP(D42,UNITVALUE,4,false)</f>
        <v>0.359</v>
      </c>
      <c r="BF42" s="44">
        <f t="shared" si="16"/>
        <v>165.858</v>
      </c>
      <c r="BI42" s="6">
        <f t="shared" si="107"/>
        <v>162.0</v>
      </c>
      <c r="BJ42" s="1">
        <f>VLOOKUP(C42,MOQ,3,FALSE())</f>
        <v>1002.0</v>
      </c>
      <c r="BM42" s="1">
        <f t="shared" si="109"/>
        <v>462.0</v>
      </c>
      <c r="BN42" s="1">
        <f t="shared" si="110"/>
        <v>37.1428571428571</v>
      </c>
      <c r="BP42" s="45">
        <f t="shared" si="111"/>
        <v>424.857142857142</v>
      </c>
      <c r="BQ42" s="5">
        <f t="shared" si="112"/>
        <v>152.523714285713</v>
      </c>
      <c r="BR42" s="1">
        <f t="shared" si="113"/>
        <v>46.4285714285714</v>
      </c>
      <c r="BS42" s="1">
        <f t="shared" si="114"/>
      </c>
      <c r="BT42" s="45">
        <f t="shared" si="115"/>
        <v>378.42857142857</v>
      </c>
      <c r="BU42" s="5">
        <f t="shared" si="116"/>
        <v>135.855857142857</v>
      </c>
      <c r="BV42" s="1">
        <f t="shared" si="117"/>
        <v>50.0</v>
      </c>
      <c r="BW42" s="1">
        <f t="shared" si="118"/>
      </c>
      <c r="BX42" s="45">
        <f t="shared" si="119"/>
        <v>328.42857142857</v>
      </c>
      <c r="BY42" s="5">
        <f t="shared" si="120"/>
        <v>117.90585714286</v>
      </c>
      <c r="BZ42" s="1">
        <f t="shared" si="121"/>
        <v>69.2857142857142</v>
      </c>
      <c r="CB42" s="45">
        <f t="shared" si="122"/>
        <v>259.14285714286</v>
      </c>
      <c r="CC42" s="5">
        <f t="shared" si="123"/>
        <v>93.0322857142867</v>
      </c>
      <c r="CD42" s="1">
        <f t="shared" si="124"/>
        <v>32.8571428571428</v>
      </c>
      <c r="CF42" s="45">
        <f t="shared" si="125"/>
        <v>226.285714285717</v>
      </c>
      <c r="CG42" s="5">
        <f t="shared" si="126"/>
        <v>81.2365714285724</v>
      </c>
      <c r="CH42" s="1">
        <f t="shared" si="127"/>
        <v>64.2857142857142</v>
      </c>
      <c r="CJ42" s="45">
        <f t="shared" si="128"/>
        <v>162.000000000002</v>
      </c>
      <c r="CK42" s="5">
        <f t="shared" si="129"/>
        <v>58.1580000000007</v>
      </c>
    </row>
    <row r="43" ht="17.0">
      <c r="A43" s="41" t="s">
        <v>30</v>
      </c>
      <c r="B43" s="41" t="s">
        <v>83</v>
      </c>
      <c r="C43" s="41" t="s">
        <v>108</v>
      </c>
      <c r="D43" s="42" t="s">
        <v>109</v>
      </c>
      <c r="E43" s="41">
        <v>90.0</v>
      </c>
      <c r="F43" s="41">
        <v>120.0</v>
      </c>
      <c r="G43" s="41">
        <v>60.0</v>
      </c>
      <c r="H43" s="41">
        <v>132.0</v>
      </c>
      <c r="I43" s="41">
        <v>162.0</v>
      </c>
      <c r="J43" s="41">
        <v>162.0</v>
      </c>
      <c r="K43" s="41">
        <v>114.0</v>
      </c>
      <c r="L43" s="41">
        <v>120.0</v>
      </c>
      <c r="M43" s="41">
        <v>102.0</v>
      </c>
      <c r="N43" s="41">
        <v>144.0</v>
      </c>
      <c r="O43" s="41">
        <v>90.0</v>
      </c>
      <c r="P43" s="41">
        <v>114.0</v>
      </c>
      <c r="Q43" s="41">
        <v>108.0</v>
      </c>
      <c r="R43" s="41">
        <v>96.0</v>
      </c>
      <c r="S43" s="41">
        <v>162.0</v>
      </c>
      <c r="T43" s="41">
        <v>150.0</v>
      </c>
      <c r="U43" s="41">
        <v>150.0</v>
      </c>
      <c r="V43" s="41">
        <v>126.0</v>
      </c>
      <c r="W43" s="41">
        <v>108.0</v>
      </c>
      <c r="X43" s="41">
        <v>90.0</v>
      </c>
      <c r="Y43" s="41">
        <v>90.0</v>
      </c>
      <c r="Z43" s="41">
        <v>42.0</v>
      </c>
      <c r="AA43" s="41">
        <v>132.0</v>
      </c>
      <c r="AB43" s="41">
        <v>120.0</v>
      </c>
      <c r="AC43" s="41">
        <v>114.0</v>
      </c>
      <c r="AD43" s="41">
        <v>180.0</v>
      </c>
      <c r="AE43" s="41">
        <v>66.0</v>
      </c>
      <c r="AF43" s="41">
        <v>78.0</v>
      </c>
      <c r="AG43" s="41">
        <v>114.0</v>
      </c>
      <c r="AH43" s="41">
        <v>102.0</v>
      </c>
      <c r="AI43" s="41">
        <v>96.0</v>
      </c>
      <c r="AJ43" s="41">
        <v>84.0</v>
      </c>
      <c r="AK43" s="41">
        <v>84.0</v>
      </c>
      <c r="AL43" s="41">
        <v>120.0</v>
      </c>
      <c r="AM43" s="43">
        <v>84.0</v>
      </c>
      <c r="AN43" s="43">
        <v>72.0</v>
      </c>
      <c r="AO43" s="43">
        <v>108.0</v>
      </c>
      <c r="AP43" s="43">
        <v>186.0</v>
      </c>
      <c r="AQ43" s="43">
        <v>108.0</v>
      </c>
      <c r="AR43" s="43">
        <v>66.0</v>
      </c>
      <c r="AS43" s="43">
        <v>80.0</v>
      </c>
      <c r="AT43" s="4">
        <f t="shared" si="4"/>
        <v>1190.0</v>
      </c>
      <c r="AU43" s="4">
        <f t="shared" si="5"/>
        <v>570.0</v>
      </c>
      <c r="AV43" s="4">
        <f t="shared" si="6"/>
        <v>627.0</v>
      </c>
      <c r="AW43" s="1">
        <f>AV43*$AW$4/$AV$4</f>
        <v>70.5714285714286</v>
      </c>
      <c r="AX43" s="1">
        <f>AV43*$AX$4/$AV$4</f>
        <v>88.2142857142857</v>
      </c>
      <c r="AY43" s="1">
        <f>AV43*$AY$4/$AV$4</f>
        <v>95.0</v>
      </c>
      <c r="AZ43" s="1">
        <f>AV43*$AZ$4/$AV$4</f>
        <v>131.642857142857</v>
      </c>
      <c r="BA43" s="1">
        <f>AV43*$BA$4/$AV$4</f>
        <v>62.4285714285714</v>
      </c>
      <c r="BB43" s="1">
        <f>AV43*$BB$4/$AV$4</f>
        <v>122.142857142857</v>
      </c>
      <c r="BC43" s="4">
        <f t="shared" si="13"/>
        <v>570.0</v>
      </c>
      <c r="BD43" s="3">
        <f>VLOOKUP(D43,FEB23SOH,2,false)</f>
        <v>246.0</v>
      </c>
      <c r="BE43" s="44">
        <f>VLOOKUP(D43,UNITVALUE,4,false)</f>
        <v>0.3498</v>
      </c>
      <c r="BF43" s="44">
        <f t="shared" si="16"/>
        <v>86.0508</v>
      </c>
      <c r="BI43" s="6">
        <f t="shared" si="107"/>
        <v>-324.0</v>
      </c>
      <c r="BJ43" s="1">
        <f>VLOOKUP(C43,MOQ,3,FALSE())</f>
        <v>1002.0</v>
      </c>
      <c r="BK43" s="51">
        <f>BJ43</f>
        <v>1002.0</v>
      </c>
      <c r="BL43" s="8" t="s">
        <v>7</v>
      </c>
      <c r="BM43" s="1">
        <f t="shared" si="109"/>
        <v>246.0</v>
      </c>
      <c r="BN43" s="1">
        <f t="shared" si="110"/>
        <v>70.5714285714286</v>
      </c>
      <c r="BP43" s="45">
        <f t="shared" si="111"/>
        <v>175.428571428571</v>
      </c>
      <c r="BQ43" s="5">
        <f t="shared" si="112"/>
        <v>61.3649142857141</v>
      </c>
      <c r="BR43" s="1">
        <f t="shared" si="113"/>
        <v>88.2142857142857</v>
      </c>
      <c r="BS43" s="1">
        <f t="shared" si="114"/>
      </c>
      <c r="BT43" s="45">
        <f t="shared" si="115"/>
        <v>87.2142857142853</v>
      </c>
      <c r="BU43" s="5">
        <f t="shared" si="116"/>
        <v>30.507557142857</v>
      </c>
      <c r="BV43" s="1">
        <f t="shared" si="117"/>
        <v>95.0</v>
      </c>
      <c r="BW43" s="1">
        <f t="shared" si="118"/>
      </c>
      <c r="BX43" s="45">
        <f t="shared" si="119"/>
        <v>-7.7857142857147</v>
      </c>
      <c r="BY43" s="5">
        <f t="shared" si="120"/>
        <v>-2.723442857143</v>
      </c>
      <c r="BZ43" s="1">
        <f t="shared" si="121"/>
        <v>131.642857142857</v>
      </c>
      <c r="CB43" s="45">
        <f t="shared" si="122"/>
        <v>-139.428571428571</v>
      </c>
      <c r="CC43" s="5">
        <f t="shared" si="123"/>
        <v>-48.7721142857141</v>
      </c>
      <c r="CD43" s="1">
        <f t="shared" si="124"/>
        <v>62.4285714285714</v>
      </c>
      <c r="CF43" s="45">
        <f t="shared" si="125"/>
        <v>-201.857142857142</v>
      </c>
      <c r="CG43" s="5">
        <f t="shared" si="126"/>
        <v>-70.6096285714282</v>
      </c>
      <c r="CH43" s="1">
        <f t="shared" si="127"/>
        <v>122.142857142857</v>
      </c>
      <c r="CJ43" s="45">
        <f t="shared" si="128"/>
        <v>-323.999999999999</v>
      </c>
      <c r="CK43" s="5">
        <f t="shared" si="129"/>
        <v>-113.3351999998</v>
      </c>
    </row>
    <row r="44" ht="17.0">
      <c r="A44" s="41" t="s">
        <v>30</v>
      </c>
      <c r="B44" s="41" t="s">
        <v>83</v>
      </c>
      <c r="C44" s="41" t="s">
        <v>110</v>
      </c>
      <c r="D44" s="55" t="s">
        <v>111</v>
      </c>
      <c r="E44" s="41">
        <v>108.0</v>
      </c>
      <c r="F44" s="41">
        <v>156.0</v>
      </c>
      <c r="G44" s="41">
        <v>90.0</v>
      </c>
      <c r="H44" s="41">
        <v>96.0</v>
      </c>
      <c r="I44" s="41">
        <v>132.0</v>
      </c>
      <c r="J44" s="41">
        <v>108.0</v>
      </c>
      <c r="K44" s="41">
        <v>90.0</v>
      </c>
      <c r="L44" s="41">
        <v>102.0</v>
      </c>
      <c r="M44" s="41">
        <v>96.0</v>
      </c>
      <c r="N44" s="41">
        <v>102.0</v>
      </c>
      <c r="O44" s="41">
        <v>54.0</v>
      </c>
      <c r="P44" s="41">
        <v>144.0</v>
      </c>
      <c r="Q44" s="41">
        <v>102.0</v>
      </c>
      <c r="R44" s="41">
        <v>78.0</v>
      </c>
      <c r="S44" s="41">
        <v>126.0</v>
      </c>
      <c r="T44" s="41">
        <v>132.0</v>
      </c>
      <c r="U44" s="41">
        <v>138.0</v>
      </c>
      <c r="V44" s="41">
        <v>73.0</v>
      </c>
      <c r="W44" s="41">
        <v>126.0</v>
      </c>
      <c r="X44" s="41">
        <v>102.0</v>
      </c>
      <c r="Y44" s="41">
        <v>48.0</v>
      </c>
      <c r="Z44" s="41">
        <v>48.0</v>
      </c>
      <c r="AA44" s="41">
        <v>126.0</v>
      </c>
      <c r="AB44" s="41">
        <v>54.0</v>
      </c>
      <c r="AC44" s="41">
        <v>102.0</v>
      </c>
      <c r="AD44" s="41">
        <v>138.0</v>
      </c>
      <c r="AE44" s="41">
        <v>48.0</v>
      </c>
      <c r="AF44" s="41">
        <v>144.0</v>
      </c>
      <c r="AG44" s="41">
        <v>108.0</v>
      </c>
      <c r="AH44" s="41">
        <v>84.0</v>
      </c>
      <c r="AI44" s="41">
        <v>96.0</v>
      </c>
      <c r="AJ44" s="41">
        <v>36.0</v>
      </c>
      <c r="AK44" s="41">
        <v>54.0</v>
      </c>
      <c r="AL44" s="41">
        <v>72.0</v>
      </c>
      <c r="AM44" s="43">
        <v>42.0</v>
      </c>
      <c r="AN44" s="43">
        <v>30.0</v>
      </c>
      <c r="AO44" s="43">
        <v>72.0</v>
      </c>
      <c r="AP44" s="43">
        <v>126.0</v>
      </c>
      <c r="AQ44" s="43">
        <v>78.0</v>
      </c>
      <c r="AR44" s="43">
        <v>72.0</v>
      </c>
      <c r="AS44" s="43">
        <v>102.0</v>
      </c>
      <c r="AT44" s="4">
        <f t="shared" si="4"/>
        <v>864.0</v>
      </c>
      <c r="AU44" s="4">
        <f t="shared" si="5"/>
        <v>384.0</v>
      </c>
      <c r="AV44" s="4">
        <f t="shared" si="6"/>
        <v>422.4</v>
      </c>
      <c r="AW44" s="1">
        <f t="shared" ref="AW44:AW48" si="142">AV44*$AW$4/$AV$4+6*$AW$57</f>
        <v>49.0285714285713</v>
      </c>
      <c r="AX44" s="1">
        <f t="shared" ref="AX44:AX48" si="143">AV44*$AX$4/$AV$4+6*$AX$57</f>
        <v>61.2857142857142</v>
      </c>
      <c r="AY44" s="1">
        <f t="shared" ref="AY44:AY48" si="144">AV44*$AY$4/$AV$4+6*$AY$57</f>
        <v>66.0</v>
      </c>
      <c r="AZ44" s="1">
        <f t="shared" ref="AZ44:AZ48" si="145">AV44*$AZ$4/$AV$4+6*$AZ$57</f>
        <v>91.4571428571428</v>
      </c>
      <c r="BA44" s="1">
        <f t="shared" ref="BA44:BA48" si="146">AV44*$BA$4/$AV$4+6*$BA$57</f>
        <v>43.3714285714286</v>
      </c>
      <c r="BB44" s="1">
        <f t="shared" ref="BB44:BB48" si="147">AV44*$BB$4/$AV$4+6*$BB$57</f>
        <v>84.8571428571428</v>
      </c>
      <c r="BC44" s="4">
        <f t="shared" si="13"/>
        <v>396.0</v>
      </c>
      <c r="BD44" s="3">
        <f>VLOOKUP(D44,FEB23SOH,2,false)</f>
        <v>809.0</v>
      </c>
      <c r="BE44" s="44">
        <f>VLOOKUP(D44,UNITVALUE,4,false)</f>
        <v>0.3345</v>
      </c>
      <c r="BF44" s="44">
        <f t="shared" si="16"/>
        <v>270.6105</v>
      </c>
      <c r="BI44" s="6">
        <f t="shared" si="107"/>
        <v>413.0</v>
      </c>
      <c r="BJ44" s="1">
        <f>VLOOKUP(C44,MOQ,3,FALSE())</f>
        <v>1002.0</v>
      </c>
      <c r="BM44" s="1">
        <f t="shared" si="109"/>
        <v>809.0</v>
      </c>
      <c r="BN44" s="1">
        <f t="shared" si="110"/>
        <v>49.0285714285713</v>
      </c>
      <c r="BP44" s="45">
        <f t="shared" si="111"/>
        <v>759.971428571429</v>
      </c>
      <c r="BQ44" s="5">
        <f t="shared" si="112"/>
        <v>254.210442857143</v>
      </c>
      <c r="BR44" s="1">
        <f t="shared" si="113"/>
        <v>61.2857142857142</v>
      </c>
      <c r="BS44" s="1">
        <f t="shared" si="114"/>
      </c>
      <c r="BT44" s="45">
        <f t="shared" si="115"/>
        <v>698.685714285714</v>
      </c>
      <c r="BU44" s="5">
        <f t="shared" si="116"/>
        <v>233.710371428571</v>
      </c>
      <c r="BV44" s="1">
        <f t="shared" si="117"/>
        <v>66.0</v>
      </c>
      <c r="BW44" s="1">
        <f t="shared" si="118"/>
      </c>
      <c r="BX44" s="45">
        <f t="shared" si="119"/>
        <v>632.685714285714</v>
      </c>
      <c r="BY44" s="5">
        <f t="shared" si="120"/>
        <v>211.633371428571</v>
      </c>
      <c r="BZ44" s="1">
        <f t="shared" si="121"/>
        <v>91.4571428571428</v>
      </c>
      <c r="CB44" s="45">
        <f t="shared" si="122"/>
        <v>541.228571428571</v>
      </c>
      <c r="CC44" s="5">
        <f t="shared" si="123"/>
        <v>181.040957142857</v>
      </c>
      <c r="CD44" s="1">
        <f t="shared" si="124"/>
        <v>43.3714285714286</v>
      </c>
      <c r="CF44" s="45">
        <f t="shared" si="125"/>
        <v>497.857142857142</v>
      </c>
      <c r="CG44" s="5">
        <f t="shared" si="126"/>
        <v>166.533214285714</v>
      </c>
      <c r="CH44" s="1">
        <f t="shared" si="127"/>
        <v>84.8571428571428</v>
      </c>
      <c r="CJ44" s="45">
        <f t="shared" si="128"/>
        <v>412.999999999999</v>
      </c>
      <c r="CK44" s="5">
        <f t="shared" si="129"/>
        <v>138.1485</v>
      </c>
    </row>
    <row r="45" ht="17.0">
      <c r="A45" s="41" t="s">
        <v>30</v>
      </c>
      <c r="B45" s="41" t="s">
        <v>83</v>
      </c>
      <c r="C45" s="41" t="s">
        <v>112</v>
      </c>
      <c r="D45" s="55" t="s">
        <v>113</v>
      </c>
      <c r="E45" s="41">
        <v>30.0</v>
      </c>
      <c r="F45" s="41">
        <v>42.0</v>
      </c>
      <c r="G45" s="41">
        <v>6.0</v>
      </c>
      <c r="H45" s="41">
        <v>66.0</v>
      </c>
      <c r="I45" s="41">
        <v>66.0</v>
      </c>
      <c r="J45" s="41">
        <v>24.0</v>
      </c>
      <c r="K45" s="41">
        <v>18.0</v>
      </c>
      <c r="L45" s="41">
        <v>24.0</v>
      </c>
      <c r="M45" s="41">
        <v>36.0</v>
      </c>
      <c r="N45" s="41">
        <v>30.0</v>
      </c>
      <c r="O45" s="41">
        <v>24.0</v>
      </c>
      <c r="P45" s="41">
        <v>42.0</v>
      </c>
      <c r="Q45" s="41">
        <v>42.0</v>
      </c>
      <c r="R45" s="41">
        <v>48.0</v>
      </c>
      <c r="S45" s="41">
        <v>18.0</v>
      </c>
      <c r="T45" s="41">
        <v>60.0</v>
      </c>
      <c r="U45" s="41">
        <v>84.0</v>
      </c>
      <c r="V45" s="41">
        <v>12.0</v>
      </c>
      <c r="W45" s="41">
        <v>30.0</v>
      </c>
      <c r="X45" s="41">
        <v>42.0</v>
      </c>
      <c r="Y45" s="41">
        <v>6.0</v>
      </c>
      <c r="Z45" s="41">
        <v>24.0</v>
      </c>
      <c r="AA45" s="41">
        <v>42.0</v>
      </c>
      <c r="AB45" s="41">
        <v>6.0</v>
      </c>
      <c r="AC45" s="41">
        <v>42.0</v>
      </c>
      <c r="AD45" s="41">
        <v>48.0</v>
      </c>
      <c r="AE45" s="41">
        <v>18.0</v>
      </c>
      <c r="AF45" s="41">
        <v>42.0</v>
      </c>
      <c r="AG45" s="41">
        <v>42.0</v>
      </c>
      <c r="AH45" s="41">
        <v>48.0</v>
      </c>
      <c r="AI45" s="41">
        <v>18.0</v>
      </c>
      <c r="AJ45" s="41">
        <v>30.0</v>
      </c>
      <c r="AK45" s="41">
        <v>6.0</v>
      </c>
      <c r="AL45" s="41">
        <v>36.0</v>
      </c>
      <c r="AM45" s="43">
        <v>36.0</v>
      </c>
      <c r="AN45" s="43">
        <v>18.0</v>
      </c>
      <c r="AO45" s="43">
        <v>18.0</v>
      </c>
      <c r="AP45" s="43">
        <v>60.0</v>
      </c>
      <c r="AQ45" s="43">
        <v>18.0</v>
      </c>
      <c r="AR45" s="43">
        <v>24.0</v>
      </c>
      <c r="AS45" s="43">
        <v>29.0</v>
      </c>
      <c r="AT45" s="4">
        <f t="shared" si="4"/>
        <v>341.0</v>
      </c>
      <c r="AU45" s="4">
        <f t="shared" si="5"/>
        <v>174.0</v>
      </c>
      <c r="AV45" s="4">
        <f t="shared" si="6"/>
        <v>191.4</v>
      </c>
      <c r="AW45" s="1">
        <f t="shared" si="142"/>
        <v>23.0285714285713</v>
      </c>
      <c r="AX45" s="1">
        <f t="shared" si="143"/>
        <v>28.7857142857142</v>
      </c>
      <c r="AY45" s="1">
        <f t="shared" si="144"/>
        <v>31.0</v>
      </c>
      <c r="AZ45" s="1">
        <f t="shared" si="145"/>
        <v>42.9571428571428</v>
      </c>
      <c r="BA45" s="1">
        <f t="shared" si="146"/>
        <v>20.3714285714286</v>
      </c>
      <c r="BB45" s="1">
        <f t="shared" si="147"/>
        <v>39.8571428571428</v>
      </c>
      <c r="BC45" s="4">
        <f t="shared" si="13"/>
        <v>186.0</v>
      </c>
      <c r="BD45" s="3">
        <f>VLOOKUP(D45,FEB23SOH,2,false)</f>
        <v>570.0</v>
      </c>
      <c r="BE45" s="44">
        <f>VLOOKUP(D45,UNITVALUE,4,false)</f>
        <v>0.3483</v>
      </c>
      <c r="BF45" s="44">
        <f t="shared" si="16"/>
        <v>198.531</v>
      </c>
      <c r="BI45" s="6">
        <f t="shared" si="107"/>
        <v>384.0</v>
      </c>
      <c r="BJ45" s="1">
        <f>VLOOKUP(C45,MOQ,3,FALSE())</f>
        <v>1002.0</v>
      </c>
      <c r="BM45" s="1">
        <f t="shared" si="109"/>
        <v>570.0</v>
      </c>
      <c r="BN45" s="1">
        <f t="shared" si="110"/>
        <v>23.0285714285713</v>
      </c>
      <c r="BP45" s="45">
        <f t="shared" si="111"/>
        <v>546.971428571429</v>
      </c>
      <c r="BQ45" s="5">
        <f t="shared" si="112"/>
        <v>190.510148571429</v>
      </c>
      <c r="BR45" s="1">
        <f t="shared" si="113"/>
        <v>28.7857142857142</v>
      </c>
      <c r="BS45" s="1">
        <f t="shared" si="114"/>
      </c>
      <c r="BT45" s="45">
        <f t="shared" si="115"/>
        <v>518.185714285714</v>
      </c>
      <c r="BU45" s="5">
        <f t="shared" si="116"/>
        <v>180.484084285714</v>
      </c>
      <c r="BV45" s="1">
        <f t="shared" si="117"/>
        <v>31.0</v>
      </c>
      <c r="BW45" s="1">
        <f t="shared" si="118"/>
      </c>
      <c r="BX45" s="45">
        <f t="shared" si="119"/>
        <v>487.185714285713</v>
      </c>
      <c r="BY45" s="5">
        <f t="shared" si="120"/>
        <v>169.686784285713</v>
      </c>
      <c r="BZ45" s="1">
        <f t="shared" si="121"/>
        <v>42.9571428571428</v>
      </c>
      <c r="CB45" s="45">
        <f t="shared" si="122"/>
        <v>444.22857142857</v>
      </c>
      <c r="CC45" s="5">
        <f t="shared" si="123"/>
        <v>154.72481142857</v>
      </c>
      <c r="CD45" s="1">
        <f t="shared" si="124"/>
        <v>20.3714285714286</v>
      </c>
      <c r="CF45" s="45">
        <f t="shared" si="125"/>
        <v>423.857142857141</v>
      </c>
      <c r="CG45" s="5">
        <f t="shared" si="126"/>
        <v>147.629442857142</v>
      </c>
      <c r="CH45" s="1">
        <f t="shared" si="127"/>
        <v>39.8571428571428</v>
      </c>
      <c r="CJ45" s="45">
        <f t="shared" si="128"/>
        <v>383.999999999998</v>
      </c>
      <c r="CK45" s="5">
        <f t="shared" si="129"/>
        <v>133.747199999999</v>
      </c>
    </row>
    <row r="46" ht="17.0">
      <c r="A46" s="41" t="s">
        <v>30</v>
      </c>
      <c r="B46" s="41" t="s">
        <v>83</v>
      </c>
      <c r="C46" s="41" t="s">
        <v>114</v>
      </c>
      <c r="D46" s="55" t="s">
        <v>115</v>
      </c>
      <c r="E46" s="41">
        <v>66.0</v>
      </c>
      <c r="F46" s="41">
        <v>138.0</v>
      </c>
      <c r="G46" s="41">
        <v>72.0</v>
      </c>
      <c r="H46" s="41">
        <v>96.0</v>
      </c>
      <c r="I46" s="41">
        <v>120.0</v>
      </c>
      <c r="J46" s="41">
        <v>90.0</v>
      </c>
      <c r="K46" s="41">
        <v>96.0</v>
      </c>
      <c r="L46" s="41">
        <v>114.0</v>
      </c>
      <c r="M46" s="41">
        <v>102.0</v>
      </c>
      <c r="N46" s="41">
        <v>96.0</v>
      </c>
      <c r="O46" s="41">
        <v>84.0</v>
      </c>
      <c r="P46" s="41">
        <v>114.0</v>
      </c>
      <c r="Q46" s="41">
        <v>114.0</v>
      </c>
      <c r="R46" s="41">
        <v>84.0</v>
      </c>
      <c r="S46" s="41">
        <v>132.0</v>
      </c>
      <c r="T46" s="41">
        <v>144.0</v>
      </c>
      <c r="U46" s="41">
        <v>144.0</v>
      </c>
      <c r="V46" s="41">
        <v>54.0</v>
      </c>
      <c r="W46" s="41">
        <v>102.0</v>
      </c>
      <c r="X46" s="41">
        <v>60.0</v>
      </c>
      <c r="Y46" s="41">
        <v>30.0</v>
      </c>
      <c r="Z46" s="41">
        <v>48.0</v>
      </c>
      <c r="AA46" s="41">
        <v>84.0</v>
      </c>
      <c r="AB46" s="41">
        <v>72.0</v>
      </c>
      <c r="AC46" s="41">
        <v>150.0</v>
      </c>
      <c r="AD46" s="41">
        <v>108.0</v>
      </c>
      <c r="AE46" s="41">
        <v>72.0</v>
      </c>
      <c r="AF46" s="41">
        <v>36.0</v>
      </c>
      <c r="AG46" s="41">
        <v>72.0</v>
      </c>
      <c r="AH46" s="41">
        <v>60.0</v>
      </c>
      <c r="AI46" s="41">
        <v>90.0</v>
      </c>
      <c r="AJ46" s="41">
        <v>48.0</v>
      </c>
      <c r="AK46" s="41">
        <v>60.0</v>
      </c>
      <c r="AL46" s="41">
        <v>66.0</v>
      </c>
      <c r="AM46" s="43">
        <v>36.0</v>
      </c>
      <c r="AN46" s="43">
        <v>12.0</v>
      </c>
      <c r="AO46" s="43">
        <v>114.0</v>
      </c>
      <c r="AP46" s="43">
        <v>102.0</v>
      </c>
      <c r="AQ46" s="43">
        <v>102.0</v>
      </c>
      <c r="AR46" s="43">
        <v>30.0</v>
      </c>
      <c r="AS46" s="43">
        <v>80.0</v>
      </c>
      <c r="AT46" s="4">
        <f t="shared" si="4"/>
        <v>800.0</v>
      </c>
      <c r="AU46" s="4">
        <f t="shared" si="5"/>
        <v>360.0</v>
      </c>
      <c r="AV46" s="4">
        <f t="shared" si="6"/>
        <v>396.0</v>
      </c>
      <c r="AW46" s="1">
        <f t="shared" si="142"/>
        <v>46.0571428571429</v>
      </c>
      <c r="AX46" s="1">
        <f t="shared" si="143"/>
        <v>57.5714285714286</v>
      </c>
      <c r="AY46" s="1">
        <f t="shared" si="144"/>
        <v>62.0</v>
      </c>
      <c r="AZ46" s="1">
        <f t="shared" si="145"/>
        <v>85.9142857142857</v>
      </c>
      <c r="BA46" s="1">
        <f t="shared" si="146"/>
        <v>40.7428571428571</v>
      </c>
      <c r="BB46" s="1">
        <f t="shared" si="147"/>
        <v>79.7142857142857</v>
      </c>
      <c r="BC46" s="4">
        <f t="shared" si="13"/>
        <v>372.0</v>
      </c>
      <c r="BD46" s="3">
        <f>VLOOKUP(D46,FEB23SOH,2,false)</f>
        <v>186.0</v>
      </c>
      <c r="BE46" s="44">
        <f>VLOOKUP(D46,UNITVALUE,4,false)</f>
        <v>0.3603</v>
      </c>
      <c r="BF46" s="44">
        <f t="shared" si="16"/>
        <v>67.0158</v>
      </c>
      <c r="BI46" s="6">
        <f t="shared" si="107"/>
        <v>-186.0</v>
      </c>
      <c r="BJ46" s="1">
        <f>VLOOKUP(C46,MOQ,3,FALSE())</f>
        <v>1002.0</v>
      </c>
      <c r="BK46" s="51">
        <f>BJ46</f>
        <v>1002.0</v>
      </c>
      <c r="BL46" s="8" t="s">
        <v>8</v>
      </c>
      <c r="BM46" s="1">
        <f t="shared" si="109"/>
        <v>186.0</v>
      </c>
      <c r="BN46" s="1">
        <f t="shared" si="110"/>
        <v>46.0571428571429</v>
      </c>
      <c r="BP46" s="45">
        <f t="shared" si="111"/>
        <v>139.942857142857</v>
      </c>
      <c r="BQ46" s="5">
        <f t="shared" si="112"/>
        <v>50.4214114285713</v>
      </c>
      <c r="BR46" s="1">
        <f t="shared" si="113"/>
        <v>57.5714285714286</v>
      </c>
      <c r="BS46" s="1">
        <f t="shared" si="114"/>
      </c>
      <c r="BT46" s="45">
        <f t="shared" si="115"/>
        <v>82.3714285714284</v>
      </c>
      <c r="BU46" s="5">
        <f t="shared" si="116"/>
        <v>29.678425714286</v>
      </c>
      <c r="BV46" s="1">
        <f t="shared" si="117"/>
        <v>62.0</v>
      </c>
      <c r="BW46" s="1">
        <f t="shared" si="118"/>
      </c>
      <c r="BX46" s="45">
        <f t="shared" si="119"/>
        <v>20.3714285714283</v>
      </c>
      <c r="BY46" s="5">
        <f t="shared" si="120"/>
        <v>7.33982571428561</v>
      </c>
      <c r="BZ46" s="1">
        <f t="shared" si="121"/>
        <v>85.9142857142857</v>
      </c>
      <c r="CB46" s="45">
        <f t="shared" si="122"/>
        <v>-65.5428571428574</v>
      </c>
      <c r="CC46" s="5">
        <f t="shared" si="123"/>
        <v>-23.6150914285715</v>
      </c>
      <c r="CD46" s="1">
        <f t="shared" si="124"/>
        <v>40.7428571428571</v>
      </c>
      <c r="CF46" s="45">
        <f t="shared" si="125"/>
        <v>-106.285714285714</v>
      </c>
      <c r="CG46" s="5">
        <f t="shared" si="126"/>
        <v>-38.2947428571426</v>
      </c>
      <c r="CH46" s="1">
        <f t="shared" si="127"/>
        <v>79.7142857142857</v>
      </c>
      <c r="CJ46" s="45">
        <f t="shared" si="128"/>
        <v>-185.999999999998</v>
      </c>
      <c r="CK46" s="5">
        <f t="shared" si="129"/>
        <v>-67.0157999999992</v>
      </c>
    </row>
    <row r="47" ht="17.0">
      <c r="A47" s="41" t="s">
        <v>30</v>
      </c>
      <c r="B47" s="41" t="s">
        <v>83</v>
      </c>
      <c r="C47" s="41" t="s">
        <v>116</v>
      </c>
      <c r="D47" s="55" t="s">
        <v>117</v>
      </c>
      <c r="E47" s="41">
        <v>90.0</v>
      </c>
      <c r="F47" s="41">
        <v>132.0</v>
      </c>
      <c r="G47" s="41">
        <v>102.0</v>
      </c>
      <c r="H47" s="41">
        <v>72.0</v>
      </c>
      <c r="I47" s="41">
        <v>150.0</v>
      </c>
      <c r="J47" s="41">
        <v>108.0</v>
      </c>
      <c r="K47" s="41">
        <v>108.0</v>
      </c>
      <c r="L47" s="41">
        <v>72.0</v>
      </c>
      <c r="M47" s="41">
        <v>78.0</v>
      </c>
      <c r="N47" s="41">
        <v>132.0</v>
      </c>
      <c r="O47" s="41">
        <v>97.0</v>
      </c>
      <c r="P47" s="41">
        <v>103.0</v>
      </c>
      <c r="Q47" s="41">
        <v>72.0</v>
      </c>
      <c r="R47" s="41">
        <v>54.0</v>
      </c>
      <c r="S47" s="41">
        <v>144.0</v>
      </c>
      <c r="T47" s="41">
        <v>90.0</v>
      </c>
      <c r="U47" s="41">
        <v>72.0</v>
      </c>
      <c r="V47" s="41">
        <v>36.0</v>
      </c>
      <c r="W47" s="41">
        <v>78.0</v>
      </c>
      <c r="X47" s="41">
        <v>48.0</v>
      </c>
      <c r="Y47" s="41">
        <v>24.0</v>
      </c>
      <c r="Z47" s="41">
        <v>48.0</v>
      </c>
      <c r="AA47" s="41">
        <v>66.0</v>
      </c>
      <c r="AB47" s="41">
        <v>78.0</v>
      </c>
      <c r="AC47" s="41">
        <v>144.0</v>
      </c>
      <c r="AD47" s="41">
        <v>48.0</v>
      </c>
      <c r="AE47" s="41">
        <v>54.0</v>
      </c>
      <c r="AF47" s="41">
        <v>96.0</v>
      </c>
      <c r="AG47" s="41">
        <v>60.0</v>
      </c>
      <c r="AH47" s="41">
        <v>48.0</v>
      </c>
      <c r="AI47" s="41">
        <v>36.0</v>
      </c>
      <c r="AJ47" s="41">
        <v>42.0</v>
      </c>
      <c r="AK47" s="41">
        <v>48.0</v>
      </c>
      <c r="AL47" s="41">
        <v>60.0</v>
      </c>
      <c r="AM47" s="43">
        <v>36.0</v>
      </c>
      <c r="AN47" s="43">
        <v>30.0</v>
      </c>
      <c r="AO47" s="43">
        <v>48.0</v>
      </c>
      <c r="AP47" s="43">
        <v>138.0</v>
      </c>
      <c r="AQ47" s="43">
        <v>60.0</v>
      </c>
      <c r="AR47" s="43">
        <v>24.0</v>
      </c>
      <c r="AS47" s="43">
        <v>38.0</v>
      </c>
      <c r="AT47" s="4">
        <f t="shared" si="4"/>
        <v>608.0</v>
      </c>
      <c r="AU47" s="4">
        <f t="shared" si="5"/>
        <v>270.0</v>
      </c>
      <c r="AV47" s="4">
        <f t="shared" si="6"/>
        <v>297.0</v>
      </c>
      <c r="AW47" s="1">
        <f t="shared" si="142"/>
        <v>34.9142857142857</v>
      </c>
      <c r="AX47" s="1">
        <f t="shared" si="143"/>
        <v>43.642857142857</v>
      </c>
      <c r="AY47" s="1">
        <f t="shared" si="144"/>
        <v>47.0</v>
      </c>
      <c r="AZ47" s="1">
        <f t="shared" si="145"/>
        <v>65.1285714285714</v>
      </c>
      <c r="BA47" s="1">
        <f t="shared" si="146"/>
        <v>30.8857142857147</v>
      </c>
      <c r="BB47" s="1">
        <f t="shared" si="147"/>
        <v>60.4285714285714</v>
      </c>
      <c r="BC47" s="4">
        <f t="shared" si="13"/>
        <v>282.0</v>
      </c>
      <c r="BD47" s="3">
        <f>VLOOKUP(D47,FEB23SOH,2,false)</f>
        <v>597.0</v>
      </c>
      <c r="BE47" s="44">
        <f>VLOOKUP(D47,UNITVALUE,4,false)</f>
        <v>0.3499</v>
      </c>
      <c r="BF47" s="44">
        <f t="shared" si="16"/>
        <v>208.8903</v>
      </c>
      <c r="BI47" s="6">
        <f t="shared" si="107"/>
        <v>315.0</v>
      </c>
      <c r="BJ47" s="1">
        <f>VLOOKUP(C47,MOQ,3,FALSE())</f>
        <v>1002.0</v>
      </c>
      <c r="BM47" s="1">
        <f t="shared" si="109"/>
        <v>597.0</v>
      </c>
      <c r="BN47" s="1">
        <f t="shared" si="110"/>
        <v>34.9142857142857</v>
      </c>
      <c r="BP47" s="45">
        <f t="shared" si="111"/>
        <v>562.085714285714</v>
      </c>
      <c r="BQ47" s="5">
        <f t="shared" si="112"/>
        <v>196.673791428571</v>
      </c>
      <c r="BR47" s="1">
        <f t="shared" si="113"/>
        <v>43.642857142857</v>
      </c>
      <c r="BS47" s="1">
        <f t="shared" si="114"/>
      </c>
      <c r="BT47" s="45">
        <f t="shared" si="115"/>
        <v>518.442857142857</v>
      </c>
      <c r="BU47" s="5">
        <f t="shared" si="116"/>
        <v>181.403155714286</v>
      </c>
      <c r="BV47" s="1">
        <f t="shared" si="117"/>
        <v>47.0</v>
      </c>
      <c r="BW47" s="1">
        <f t="shared" si="118"/>
      </c>
      <c r="BX47" s="45">
        <f t="shared" si="119"/>
        <v>471.442857142857</v>
      </c>
      <c r="BY47" s="5">
        <f t="shared" si="120"/>
        <v>164.95785571429</v>
      </c>
      <c r="BZ47" s="1">
        <f t="shared" si="121"/>
        <v>65.1285714285714</v>
      </c>
      <c r="CB47" s="45">
        <f t="shared" si="122"/>
        <v>406.31428571429</v>
      </c>
      <c r="CC47" s="5">
        <f t="shared" si="123"/>
        <v>142.16936857143</v>
      </c>
      <c r="CD47" s="1">
        <f t="shared" si="124"/>
        <v>30.8857142857147</v>
      </c>
      <c r="CF47" s="45">
        <f t="shared" si="125"/>
        <v>375.428571428575</v>
      </c>
      <c r="CG47" s="5">
        <f t="shared" si="126"/>
        <v>131.362457142858</v>
      </c>
      <c r="CH47" s="1">
        <f t="shared" si="127"/>
        <v>60.4285714285714</v>
      </c>
      <c r="CJ47" s="45">
        <f t="shared" si="128"/>
        <v>315.000000000003</v>
      </c>
      <c r="CK47" s="5">
        <f t="shared" si="129"/>
        <v>110.218500000001</v>
      </c>
    </row>
    <row r="48" ht="17.0">
      <c r="A48" s="41" t="s">
        <v>30</v>
      </c>
      <c r="B48" s="41" t="s">
        <v>83</v>
      </c>
      <c r="C48" s="41" t="s">
        <v>118</v>
      </c>
      <c r="D48" s="55" t="s">
        <v>119</v>
      </c>
      <c r="E48" s="41">
        <v>0.0</v>
      </c>
      <c r="F48" s="41">
        <v>0.0</v>
      </c>
      <c r="G48" s="41">
        <v>0.0</v>
      </c>
      <c r="H48" s="41">
        <v>0.0</v>
      </c>
      <c r="I48" s="41">
        <v>0.0</v>
      </c>
      <c r="J48" s="41">
        <v>0.0</v>
      </c>
      <c r="K48" s="41">
        <v>24.0</v>
      </c>
      <c r="L48" s="41">
        <v>114.0</v>
      </c>
      <c r="M48" s="41">
        <v>120.0</v>
      </c>
      <c r="N48" s="41">
        <v>108.0</v>
      </c>
      <c r="O48" s="41">
        <v>72.0</v>
      </c>
      <c r="P48" s="41">
        <v>120.0</v>
      </c>
      <c r="Q48" s="41">
        <v>114.0</v>
      </c>
      <c r="R48" s="41">
        <v>96.0</v>
      </c>
      <c r="S48" s="41">
        <v>144.0</v>
      </c>
      <c r="T48" s="41">
        <v>120.0</v>
      </c>
      <c r="U48" s="41">
        <v>120.0</v>
      </c>
      <c r="V48" s="41">
        <v>78.0</v>
      </c>
      <c r="W48" s="41">
        <v>108.0</v>
      </c>
      <c r="X48" s="41">
        <v>85.0</v>
      </c>
      <c r="Y48" s="41">
        <v>114.0</v>
      </c>
      <c r="Z48" s="41">
        <v>42.0</v>
      </c>
      <c r="AA48" s="41">
        <v>120.0</v>
      </c>
      <c r="AB48" s="41">
        <v>108.0</v>
      </c>
      <c r="AC48" s="41">
        <v>180.0</v>
      </c>
      <c r="AD48" s="41">
        <v>156.0</v>
      </c>
      <c r="AE48" s="41">
        <v>54.0</v>
      </c>
      <c r="AF48" s="41">
        <v>174.0</v>
      </c>
      <c r="AG48" s="41">
        <v>102.0</v>
      </c>
      <c r="AH48" s="41">
        <v>114.0</v>
      </c>
      <c r="AI48" s="41">
        <v>66.0</v>
      </c>
      <c r="AJ48" s="41">
        <v>72.0</v>
      </c>
      <c r="AK48" s="41">
        <v>84.0</v>
      </c>
      <c r="AL48" s="41">
        <v>108.0</v>
      </c>
      <c r="AM48" s="43">
        <v>72.0</v>
      </c>
      <c r="AN48" s="43">
        <v>30.0</v>
      </c>
      <c r="AO48" s="43">
        <v>102.0</v>
      </c>
      <c r="AP48" s="43">
        <v>144.0</v>
      </c>
      <c r="AQ48" s="43">
        <v>120.0</v>
      </c>
      <c r="AR48" s="43">
        <v>42.0</v>
      </c>
      <c r="AS48" s="43">
        <v>80.0</v>
      </c>
      <c r="AT48" s="4">
        <f t="shared" si="4"/>
        <v>1034.0</v>
      </c>
      <c r="AU48" s="4">
        <f t="shared" si="5"/>
        <v>516.0</v>
      </c>
      <c r="AV48" s="4">
        <f t="shared" si="6"/>
        <v>567.6</v>
      </c>
      <c r="AW48" s="1">
        <f t="shared" si="142"/>
        <v>65.3714285714285</v>
      </c>
      <c r="AX48" s="1">
        <f t="shared" si="143"/>
        <v>81.7142857142858</v>
      </c>
      <c r="AY48" s="1">
        <f t="shared" si="144"/>
        <v>88.0</v>
      </c>
      <c r="AZ48" s="1">
        <f t="shared" si="145"/>
        <v>121.942857142849</v>
      </c>
      <c r="BA48" s="1">
        <f t="shared" si="146"/>
        <v>57.8285714285714</v>
      </c>
      <c r="BB48" s="1">
        <f t="shared" si="147"/>
        <v>113.1428571429</v>
      </c>
      <c r="BC48" s="4">
        <f t="shared" si="13"/>
        <v>528.000000000034</v>
      </c>
      <c r="BD48" s="3">
        <f>VLOOKUP(D48,FEB23SOH,2,false)</f>
        <v>461.0</v>
      </c>
      <c r="BE48" s="44">
        <f>VLOOKUP(D48,UNITVALUE,4,false)</f>
        <v>0.3499</v>
      </c>
      <c r="BF48" s="44">
        <f t="shared" si="16"/>
        <v>161.3039</v>
      </c>
      <c r="BI48" s="6">
        <f t="shared" si="107"/>
        <v>-67.000000000033</v>
      </c>
      <c r="BJ48" s="1">
        <f>VLOOKUP(C48,MOQ,3,FALSE())</f>
        <v>1002.0</v>
      </c>
      <c r="BK48" s="51">
        <f t="shared" ref="BK48:BK50" si="149">BJ48</f>
        <v>1002.0</v>
      </c>
      <c r="BL48" s="8" t="s">
        <v>10</v>
      </c>
      <c r="BM48" s="1">
        <f t="shared" si="109"/>
        <v>461.0</v>
      </c>
      <c r="BN48" s="1">
        <f t="shared" si="110"/>
        <v>65.3714285714285</v>
      </c>
      <c r="BP48" s="45">
        <f t="shared" si="111"/>
        <v>395.628571428571</v>
      </c>
      <c r="BQ48" s="5">
        <f t="shared" si="112"/>
        <v>138.430437142857</v>
      </c>
      <c r="BR48" s="1">
        <f t="shared" si="113"/>
        <v>81.7142857142858</v>
      </c>
      <c r="BS48" s="1">
        <f t="shared" si="114"/>
      </c>
      <c r="BT48" s="45">
        <f t="shared" si="115"/>
        <v>313.914285714285</v>
      </c>
      <c r="BU48" s="5">
        <f t="shared" si="116"/>
        <v>109.838608571428</v>
      </c>
      <c r="BV48" s="1">
        <f t="shared" si="117"/>
        <v>88.0</v>
      </c>
      <c r="BW48" s="1">
        <f t="shared" si="118"/>
      </c>
      <c r="BX48" s="45">
        <f t="shared" si="119"/>
        <v>225.914285714284</v>
      </c>
      <c r="BY48" s="5">
        <f t="shared" si="120"/>
        <v>79.047408571428</v>
      </c>
      <c r="BZ48" s="1">
        <f t="shared" si="121"/>
        <v>121.942857142849</v>
      </c>
      <c r="CB48" s="45">
        <f t="shared" si="122"/>
        <v>103.971428571435</v>
      </c>
      <c r="CC48" s="5">
        <f t="shared" si="123"/>
        <v>36.3796028571451</v>
      </c>
      <c r="CD48" s="1">
        <f t="shared" si="124"/>
        <v>57.8285714285714</v>
      </c>
      <c r="CF48" s="45">
        <f t="shared" si="125"/>
        <v>46.1428571428636</v>
      </c>
      <c r="CG48" s="5">
        <f t="shared" si="126"/>
        <v>16.145385714288</v>
      </c>
      <c r="CH48" s="1">
        <f t="shared" si="127"/>
        <v>113.1428571429</v>
      </c>
      <c r="CJ48" s="45">
        <f t="shared" si="128"/>
        <v>-67.0000000000364</v>
      </c>
      <c r="CK48" s="5">
        <f t="shared" si="129"/>
        <v>-23.4433000000127</v>
      </c>
    </row>
    <row r="49" ht="17.0">
      <c r="A49" s="41" t="s">
        <v>30</v>
      </c>
      <c r="B49" s="41" t="s">
        <v>83</v>
      </c>
      <c r="C49" s="41" t="s">
        <v>120</v>
      </c>
      <c r="D49" s="42" t="s">
        <v>121</v>
      </c>
      <c r="E49" s="41">
        <v>54.0</v>
      </c>
      <c r="F49" s="41">
        <v>114.0</v>
      </c>
      <c r="G49" s="41">
        <v>30.0</v>
      </c>
      <c r="H49" s="41">
        <v>72.0</v>
      </c>
      <c r="I49" s="41">
        <v>72.0</v>
      </c>
      <c r="J49" s="41">
        <v>60.0</v>
      </c>
      <c r="K49" s="41">
        <v>48.0</v>
      </c>
      <c r="L49" s="41">
        <v>54.0</v>
      </c>
      <c r="M49" s="41">
        <v>72.0</v>
      </c>
      <c r="N49" s="41">
        <v>48.0</v>
      </c>
      <c r="O49" s="41">
        <v>60.0</v>
      </c>
      <c r="P49" s="41">
        <v>78.0</v>
      </c>
      <c r="Q49" s="41">
        <v>72.0</v>
      </c>
      <c r="R49" s="41">
        <v>72.0</v>
      </c>
      <c r="S49" s="41">
        <v>78.0</v>
      </c>
      <c r="T49" s="41">
        <v>84.0</v>
      </c>
      <c r="U49" s="41">
        <v>84.0</v>
      </c>
      <c r="V49" s="41">
        <v>54.0</v>
      </c>
      <c r="W49" s="41">
        <v>72.0</v>
      </c>
      <c r="X49" s="41">
        <v>54.0</v>
      </c>
      <c r="Y49" s="41">
        <v>54.0</v>
      </c>
      <c r="Z49" s="41">
        <v>36.0</v>
      </c>
      <c r="AA49" s="41">
        <v>66.0</v>
      </c>
      <c r="AB49" s="41">
        <v>48.0</v>
      </c>
      <c r="AC49" s="41">
        <v>78.0</v>
      </c>
      <c r="AD49" s="41">
        <v>84.0</v>
      </c>
      <c r="AE49" s="41">
        <v>60.0</v>
      </c>
      <c r="AF49" s="41">
        <v>54.0</v>
      </c>
      <c r="AG49" s="41">
        <v>24.0</v>
      </c>
      <c r="AH49" s="41">
        <v>47.0</v>
      </c>
      <c r="AI49" s="41">
        <v>78.0</v>
      </c>
      <c r="AJ49" s="41">
        <v>48.0</v>
      </c>
      <c r="AK49" s="41">
        <v>60.0</v>
      </c>
      <c r="AL49" s="41">
        <v>60.0</v>
      </c>
      <c r="AM49" s="43">
        <v>30.0</v>
      </c>
      <c r="AN49" s="43">
        <v>36.0</v>
      </c>
      <c r="AO49" s="43">
        <v>96.0</v>
      </c>
      <c r="AP49" s="43">
        <v>102.0</v>
      </c>
      <c r="AQ49" s="43">
        <v>60.0</v>
      </c>
      <c r="AR49" s="43">
        <v>48.0</v>
      </c>
      <c r="AS49" s="43">
        <v>88.0</v>
      </c>
      <c r="AT49" s="4">
        <f t="shared" si="4"/>
        <v>753.0</v>
      </c>
      <c r="AU49" s="4">
        <f t="shared" si="5"/>
        <v>323.0</v>
      </c>
      <c r="AV49" s="4">
        <f t="shared" si="6"/>
        <v>355.3</v>
      </c>
      <c r="AW49" s="1">
        <f>AV49*$AW$4/$AV$4</f>
        <v>39.9904761904761</v>
      </c>
      <c r="AX49" s="1">
        <f>AV49*$AX$4/$AV$4</f>
        <v>49.9880952380952</v>
      </c>
      <c r="AY49" s="1">
        <f>AV49*$AY$4/$AV$4</f>
        <v>53.8333333333333</v>
      </c>
      <c r="AZ49" s="1">
        <f>AV49*$AZ$4/$AV$4</f>
        <v>74.597619047619</v>
      </c>
      <c r="BA49" s="1">
        <f>AV49*$BA$4/$AV$4</f>
        <v>35.3761904761904</v>
      </c>
      <c r="BB49" s="1">
        <f>AV49*$BB$4/$AV$4</f>
        <v>69.2142857142857</v>
      </c>
      <c r="BC49" s="4">
        <f t="shared" si="13"/>
        <v>323.0</v>
      </c>
      <c r="BD49" s="3">
        <f>VLOOKUP(D49,FEB23SOH,2,false)</f>
        <v>264.0</v>
      </c>
      <c r="BE49" s="44">
        <f>VLOOKUP(D49,UNITVALUE,4,false)</f>
        <v>0.3594</v>
      </c>
      <c r="BF49" s="44">
        <f t="shared" si="16"/>
        <v>94.8816</v>
      </c>
      <c r="BI49" s="6">
        <f t="shared" si="107"/>
        <v>-59.0</v>
      </c>
      <c r="BJ49" s="1">
        <f>VLOOKUP(C49,MOQ,3,FALSE())</f>
        <v>1002.0</v>
      </c>
      <c r="BK49" s="51">
        <f t="shared" si="149"/>
        <v>1002.0</v>
      </c>
      <c r="BL49" s="8" t="s">
        <v>10</v>
      </c>
      <c r="BM49" s="1">
        <f t="shared" si="109"/>
        <v>264.0</v>
      </c>
      <c r="BN49" s="1">
        <f t="shared" si="110"/>
        <v>39.9904761904761</v>
      </c>
      <c r="BP49" s="45">
        <f t="shared" si="111"/>
        <v>224.009523809523</v>
      </c>
      <c r="BQ49" s="5">
        <f t="shared" si="112"/>
        <v>80.5090228571426</v>
      </c>
      <c r="BR49" s="1">
        <f t="shared" si="113"/>
        <v>49.9880952380952</v>
      </c>
      <c r="BS49" s="1">
        <f t="shared" si="114"/>
      </c>
      <c r="BT49" s="45">
        <f t="shared" si="115"/>
        <v>174.021428571428</v>
      </c>
      <c r="BU49" s="5">
        <f t="shared" si="116"/>
        <v>62.5433014285712</v>
      </c>
      <c r="BV49" s="1">
        <f t="shared" si="117"/>
        <v>53.8333333333333</v>
      </c>
      <c r="BW49" s="1">
        <f t="shared" si="118"/>
      </c>
      <c r="BX49" s="45">
        <f t="shared" si="119"/>
        <v>120.188095238094</v>
      </c>
      <c r="BY49" s="5">
        <f t="shared" si="120"/>
        <v>43.195601428571</v>
      </c>
      <c r="BZ49" s="1">
        <f t="shared" si="121"/>
        <v>74.597619047619</v>
      </c>
      <c r="CB49" s="45">
        <f t="shared" si="122"/>
        <v>45.590476190475</v>
      </c>
      <c r="CC49" s="5">
        <f t="shared" si="123"/>
        <v>16.3852171428567</v>
      </c>
      <c r="CD49" s="1">
        <f t="shared" si="124"/>
        <v>35.3761904761904</v>
      </c>
      <c r="CF49" s="45">
        <f t="shared" si="125"/>
        <v>10.2142857142846</v>
      </c>
      <c r="CG49" s="5">
        <f t="shared" si="126"/>
        <v>3.6710142857139</v>
      </c>
      <c r="CH49" s="1">
        <f t="shared" si="127"/>
        <v>69.2142857142857</v>
      </c>
      <c r="CJ49" s="45">
        <f t="shared" si="128"/>
        <v>-59.000000000001</v>
      </c>
      <c r="CK49" s="5">
        <f t="shared" si="129"/>
        <v>-21.2046000000003</v>
      </c>
    </row>
    <row r="50" ht="17.0">
      <c r="A50" s="41" t="s">
        <v>30</v>
      </c>
      <c r="B50" s="41" t="s">
        <v>83</v>
      </c>
      <c r="C50" s="41" t="s">
        <v>122</v>
      </c>
      <c r="D50" s="55" t="s">
        <v>123</v>
      </c>
      <c r="E50" s="41">
        <v>48.0</v>
      </c>
      <c r="F50" s="41">
        <v>72.0</v>
      </c>
      <c r="G50" s="41">
        <v>42.0</v>
      </c>
      <c r="H50" s="41">
        <v>60.0</v>
      </c>
      <c r="I50" s="41">
        <v>96.0</v>
      </c>
      <c r="J50" s="41">
        <v>36.0</v>
      </c>
      <c r="K50" s="41">
        <v>48.0</v>
      </c>
      <c r="L50" s="41">
        <v>72.0</v>
      </c>
      <c r="M50" s="41">
        <v>48.0</v>
      </c>
      <c r="N50" s="41">
        <v>66.0</v>
      </c>
      <c r="O50" s="41">
        <v>48.0</v>
      </c>
      <c r="P50" s="41">
        <v>42.0</v>
      </c>
      <c r="Q50" s="41">
        <v>42.0</v>
      </c>
      <c r="R50" s="41">
        <v>42.0</v>
      </c>
      <c r="S50" s="41">
        <v>54.0</v>
      </c>
      <c r="T50" s="41">
        <v>12.0</v>
      </c>
      <c r="U50" s="41">
        <v>66.0</v>
      </c>
      <c r="V50" s="41">
        <v>30.0</v>
      </c>
      <c r="W50" s="41">
        <v>60.0</v>
      </c>
      <c r="X50" s="41">
        <v>24.0</v>
      </c>
      <c r="Y50" s="41">
        <v>12.0</v>
      </c>
      <c r="Z50" s="41">
        <v>18.0</v>
      </c>
      <c r="AA50" s="41">
        <v>36.0</v>
      </c>
      <c r="AB50" s="41">
        <v>30.0</v>
      </c>
      <c r="AC50" s="41">
        <v>66.0</v>
      </c>
      <c r="AD50" s="41">
        <v>78.0</v>
      </c>
      <c r="AE50" s="41">
        <v>30.0</v>
      </c>
      <c r="AF50" s="41">
        <v>30.0</v>
      </c>
      <c r="AG50" s="41">
        <v>36.0</v>
      </c>
      <c r="AH50" s="41">
        <v>18.0</v>
      </c>
      <c r="AI50" s="41">
        <v>36.0</v>
      </c>
      <c r="AJ50" s="41">
        <v>24.0</v>
      </c>
      <c r="AK50" s="41">
        <v>30.0</v>
      </c>
      <c r="AL50" s="41">
        <v>12.0</v>
      </c>
      <c r="AM50" s="43">
        <v>24.0</v>
      </c>
      <c r="AN50" s="43">
        <v>18.0</v>
      </c>
      <c r="AO50" s="43">
        <v>48.0</v>
      </c>
      <c r="AP50" s="43">
        <v>24.0</v>
      </c>
      <c r="AQ50" s="43">
        <v>48.0</v>
      </c>
      <c r="AR50" s="43">
        <v>12.0</v>
      </c>
      <c r="AS50" s="43">
        <v>37.0</v>
      </c>
      <c r="AT50" s="4">
        <f t="shared" si="4"/>
        <v>331.0</v>
      </c>
      <c r="AU50" s="4">
        <f t="shared" si="5"/>
        <v>144.0</v>
      </c>
      <c r="AV50" s="4">
        <f t="shared" si="6"/>
        <v>158.4</v>
      </c>
      <c r="AW50" s="1">
        <f>AV50*$AW$4/$AV$4+6*$AW$57</f>
        <v>19.3142857142857</v>
      </c>
      <c r="AX50" s="1">
        <f>AV50*$AX$4/$AV$4+6*$AX$57</f>
        <v>24.142857142857</v>
      </c>
      <c r="AY50" s="1">
        <f>AV50*$AY$4/$AV$4+6*$AY$57</f>
        <v>26.0</v>
      </c>
      <c r="AZ50" s="1">
        <f>AV50*$AZ$4/$AV$4+6*$AZ$57</f>
        <v>36.0285714285714</v>
      </c>
      <c r="BA50" s="1">
        <f>AV50*$BA$4/$AV$4+6*$BA$57</f>
        <v>17.0857142857147</v>
      </c>
      <c r="BB50" s="1">
        <f>AV50*$BB$4/$AV$4+6*$BB$57</f>
        <v>33.4285714285714</v>
      </c>
      <c r="BC50" s="4">
        <f t="shared" si="13"/>
        <v>156.0</v>
      </c>
      <c r="BD50" s="3">
        <f>VLOOKUP(D50,FEB23SOH,2,false)</f>
        <v>120.0</v>
      </c>
      <c r="BE50" s="44">
        <f>VLOOKUP(D50,UNITVALUE,4,false)</f>
        <v>0.3293</v>
      </c>
      <c r="BF50" s="44">
        <f t="shared" si="16"/>
        <v>39.516</v>
      </c>
      <c r="BI50" s="6">
        <f t="shared" si="107"/>
        <v>-36.0</v>
      </c>
      <c r="BJ50" s="1">
        <f>VLOOKUP(C50,MOQ,3,FALSE())</f>
        <v>1002.0</v>
      </c>
      <c r="BK50" s="51">
        <f t="shared" si="149"/>
        <v>1002.0</v>
      </c>
      <c r="BL50" s="8" t="s">
        <v>9</v>
      </c>
      <c r="BM50" s="1">
        <f t="shared" si="109"/>
        <v>120.0</v>
      </c>
      <c r="BN50" s="1">
        <f t="shared" si="110"/>
        <v>19.3142857142857</v>
      </c>
      <c r="BP50" s="45">
        <f t="shared" si="111"/>
        <v>100.685714285714</v>
      </c>
      <c r="BQ50" s="5">
        <f t="shared" si="112"/>
        <v>33.1558057142856</v>
      </c>
      <c r="BR50" s="1">
        <f t="shared" si="113"/>
        <v>24.142857142857</v>
      </c>
      <c r="BS50" s="1">
        <f t="shared" si="114"/>
      </c>
      <c r="BT50" s="45">
        <f t="shared" si="115"/>
        <v>76.542857142857</v>
      </c>
      <c r="BU50" s="5">
        <f t="shared" si="116"/>
        <v>25.2055628571428</v>
      </c>
      <c r="BV50" s="1">
        <f t="shared" si="117"/>
        <v>26.0</v>
      </c>
      <c r="BW50" s="1">
        <f t="shared" si="118"/>
      </c>
      <c r="BX50" s="45">
        <f t="shared" si="119"/>
        <v>50.542857142857</v>
      </c>
      <c r="BY50" s="5">
        <f t="shared" si="120"/>
        <v>16.6437628571428</v>
      </c>
      <c r="BZ50" s="1">
        <f t="shared" si="121"/>
        <v>36.0285714285714</v>
      </c>
      <c r="CB50" s="45">
        <f t="shared" si="122"/>
        <v>14.5142857142856</v>
      </c>
      <c r="CC50" s="5">
        <f t="shared" si="123"/>
        <v>4.77955428571424</v>
      </c>
      <c r="CD50" s="1">
        <f t="shared" si="124"/>
        <v>17.0857142857147</v>
      </c>
      <c r="CF50" s="45">
        <f t="shared" si="125"/>
        <v>-2.5714285714291</v>
      </c>
      <c r="CG50" s="5">
        <f t="shared" si="126"/>
        <v>-0.846771428571602</v>
      </c>
      <c r="CH50" s="1">
        <f t="shared" si="127"/>
        <v>33.4285714285714</v>
      </c>
      <c r="CJ50" s="45">
        <f t="shared" si="128"/>
        <v>-36.0000000000005</v>
      </c>
      <c r="CK50" s="5">
        <f t="shared" si="129"/>
        <v>-11.8548000000001</v>
      </c>
    </row>
    <row r="51" ht="17.0">
      <c r="A51" s="41" t="s">
        <v>30</v>
      </c>
      <c r="B51" s="41" t="s">
        <v>83</v>
      </c>
      <c r="C51" s="41" t="s">
        <v>124</v>
      </c>
      <c r="D51" s="42" t="s">
        <v>125</v>
      </c>
      <c r="E51" s="41">
        <v>60.0</v>
      </c>
      <c r="F51" s="41">
        <v>84.0</v>
      </c>
      <c r="G51" s="41">
        <v>84.0</v>
      </c>
      <c r="H51" s="41">
        <v>90.0</v>
      </c>
      <c r="I51" s="41">
        <v>126.0</v>
      </c>
      <c r="J51" s="41">
        <v>78.0</v>
      </c>
      <c r="K51" s="41">
        <v>54.0</v>
      </c>
      <c r="L51" s="41">
        <v>102.0</v>
      </c>
      <c r="M51" s="41">
        <v>72.0</v>
      </c>
      <c r="N51" s="41">
        <v>27.0</v>
      </c>
      <c r="O51" s="41">
        <v>90.0</v>
      </c>
      <c r="P51" s="41">
        <v>54.0</v>
      </c>
      <c r="Q51" s="41">
        <v>36.0</v>
      </c>
      <c r="R51" s="41">
        <v>60.0</v>
      </c>
      <c r="S51" s="41">
        <v>84.0</v>
      </c>
      <c r="T51" s="41">
        <v>84.0</v>
      </c>
      <c r="U51" s="41">
        <v>126.0</v>
      </c>
      <c r="V51" s="41">
        <v>72.0</v>
      </c>
      <c r="W51" s="41">
        <v>90.0</v>
      </c>
      <c r="X51" s="41">
        <v>78.0</v>
      </c>
      <c r="Y51" s="41">
        <v>54.0</v>
      </c>
      <c r="Z51" s="41">
        <v>42.0</v>
      </c>
      <c r="AA51" s="41">
        <v>96.0</v>
      </c>
      <c r="AB51" s="41">
        <v>102.0</v>
      </c>
      <c r="AC51" s="41">
        <v>132.0</v>
      </c>
      <c r="AD51" s="41">
        <v>84.0</v>
      </c>
      <c r="AE51" s="41">
        <v>66.0</v>
      </c>
      <c r="AF51" s="41">
        <v>78.0</v>
      </c>
      <c r="AG51" s="41">
        <v>66.0</v>
      </c>
      <c r="AH51" s="41">
        <v>78.0</v>
      </c>
      <c r="AI51" s="41">
        <v>60.0</v>
      </c>
      <c r="AJ51" s="41">
        <v>60.0</v>
      </c>
      <c r="AK51" s="41">
        <v>66.0</v>
      </c>
      <c r="AL51" s="41">
        <v>66.0</v>
      </c>
      <c r="AM51" s="43">
        <v>54.0</v>
      </c>
      <c r="AN51" s="43">
        <v>36.0</v>
      </c>
      <c r="AO51" s="43">
        <v>78.0</v>
      </c>
      <c r="AP51" s="43">
        <v>90.0</v>
      </c>
      <c r="AQ51" s="43">
        <v>66.0</v>
      </c>
      <c r="AR51" s="43">
        <v>24.0</v>
      </c>
      <c r="AS51" s="43">
        <v>82.0</v>
      </c>
      <c r="AT51" s="4">
        <f t="shared" si="4"/>
        <v>760.0</v>
      </c>
      <c r="AU51" s="4">
        <f t="shared" si="5"/>
        <v>384.0</v>
      </c>
      <c r="AV51" s="4">
        <f t="shared" si="6"/>
        <v>422.4</v>
      </c>
      <c r="AW51" s="1">
        <f t="shared" ref="AW51:AW57" si="162">AV51*$AW$4/$AV$4</f>
        <v>47.5428571428571</v>
      </c>
      <c r="AX51" s="1">
        <f t="shared" ref="AX51:AX57" si="163">AV51*$AX$4/$AV$4</f>
        <v>59.4285714285714</v>
      </c>
      <c r="AY51" s="1">
        <f t="shared" ref="AY51:AY57" si="164">AV51*$AY$4/$AV$4</f>
        <v>64.0</v>
      </c>
      <c r="AZ51" s="1">
        <f t="shared" ref="AZ51:AZ57" si="165">AV51*$AZ$4/$AV$4</f>
        <v>88.6857142857142</v>
      </c>
      <c r="BA51" s="1">
        <f t="shared" ref="BA51:BA57" si="166">AV51*$BA$4/$AV$4</f>
        <v>42.0571428571429</v>
      </c>
      <c r="BB51" s="1">
        <f t="shared" ref="BB51:BB57" si="167">AV51*$BB$4/$AV$4</f>
        <v>82.2857142857142</v>
      </c>
      <c r="BC51" s="4">
        <f t="shared" si="13"/>
        <v>384.0</v>
      </c>
      <c r="BD51" s="3">
        <f>VLOOKUP(D51,FEB23SOH,2,false)</f>
        <v>773.0</v>
      </c>
      <c r="BE51" s="44">
        <f>VLOOKUP(D51,UNITVALUE,4,false)</f>
        <v>0.3345</v>
      </c>
      <c r="BF51" s="44">
        <f t="shared" si="16"/>
        <v>258.5685</v>
      </c>
      <c r="BI51" s="6">
        <f t="shared" si="107"/>
        <v>389.0</v>
      </c>
      <c r="BJ51" s="1">
        <f>VLOOKUP(C51,MOQ,3,FALSE())</f>
        <v>1002.0</v>
      </c>
      <c r="BM51" s="1">
        <f t="shared" si="109"/>
        <v>773.0</v>
      </c>
      <c r="BN51" s="1">
        <f t="shared" si="110"/>
        <v>47.5428571428571</v>
      </c>
      <c r="BP51" s="45">
        <f t="shared" si="111"/>
        <v>725.457142857142</v>
      </c>
      <c r="BQ51" s="5">
        <f t="shared" si="112"/>
        <v>242.665414285714</v>
      </c>
      <c r="BR51" s="1">
        <f t="shared" si="113"/>
        <v>59.4285714285714</v>
      </c>
      <c r="BS51" s="1">
        <f t="shared" si="114"/>
      </c>
      <c r="BT51" s="45">
        <f t="shared" si="115"/>
        <v>666.02857142857</v>
      </c>
      <c r="BU51" s="5">
        <f t="shared" si="116"/>
        <v>222.786557142857</v>
      </c>
      <c r="BV51" s="1">
        <f t="shared" si="117"/>
        <v>64.0</v>
      </c>
      <c r="BW51" s="1">
        <f t="shared" si="118"/>
      </c>
      <c r="BX51" s="45">
        <f t="shared" si="119"/>
        <v>602.02857142857</v>
      </c>
      <c r="BY51" s="5">
        <f t="shared" si="120"/>
        <v>201.378557142857</v>
      </c>
      <c r="BZ51" s="1">
        <f t="shared" si="121"/>
        <v>88.6857142857142</v>
      </c>
      <c r="CB51" s="45">
        <f t="shared" si="122"/>
        <v>513.342857142856</v>
      </c>
      <c r="CC51" s="5">
        <f t="shared" si="123"/>
        <v>171.713185714285</v>
      </c>
      <c r="CD51" s="1">
        <f t="shared" si="124"/>
        <v>42.0571428571429</v>
      </c>
      <c r="CF51" s="45">
        <f t="shared" si="125"/>
        <v>471.285714285713</v>
      </c>
      <c r="CG51" s="5">
        <f t="shared" si="126"/>
        <v>157.645071428571</v>
      </c>
      <c r="CH51" s="1">
        <f t="shared" si="127"/>
        <v>82.2857142857142</v>
      </c>
      <c r="CJ51" s="45">
        <f t="shared" si="128"/>
        <v>389.0</v>
      </c>
      <c r="CK51" s="5">
        <f t="shared" si="129"/>
        <v>130.1205</v>
      </c>
    </row>
    <row r="52" ht="17.0">
      <c r="A52" s="41" t="s">
        <v>30</v>
      </c>
      <c r="B52" s="41" t="s">
        <v>83</v>
      </c>
      <c r="C52" s="41" t="s">
        <v>126</v>
      </c>
      <c r="D52" s="42" t="s">
        <v>127</v>
      </c>
      <c r="E52" s="41">
        <v>66.0</v>
      </c>
      <c r="F52" s="41">
        <v>102.0</v>
      </c>
      <c r="G52" s="41">
        <v>66.0</v>
      </c>
      <c r="H52" s="41">
        <v>84.0</v>
      </c>
      <c r="I52" s="41">
        <v>102.0</v>
      </c>
      <c r="J52" s="41">
        <v>96.0</v>
      </c>
      <c r="K52" s="41">
        <v>60.0</v>
      </c>
      <c r="L52" s="41">
        <v>108.0</v>
      </c>
      <c r="M52" s="41">
        <v>84.0</v>
      </c>
      <c r="N52" s="41">
        <v>95.0</v>
      </c>
      <c r="O52" s="41">
        <v>78.0</v>
      </c>
      <c r="P52" s="41">
        <v>108.0</v>
      </c>
      <c r="Q52" s="41">
        <v>42.0</v>
      </c>
      <c r="R52" s="41">
        <v>126.0</v>
      </c>
      <c r="S52" s="41">
        <v>78.0</v>
      </c>
      <c r="T52" s="41">
        <v>54.0</v>
      </c>
      <c r="U52" s="41">
        <v>108.0</v>
      </c>
      <c r="V52" s="41">
        <v>24.0</v>
      </c>
      <c r="W52" s="41">
        <v>72.0</v>
      </c>
      <c r="X52" s="41">
        <v>79.0</v>
      </c>
      <c r="Y52" s="41">
        <v>48.0</v>
      </c>
      <c r="Z52" s="41">
        <v>36.0</v>
      </c>
      <c r="AA52" s="41">
        <v>66.0</v>
      </c>
      <c r="AB52" s="41">
        <v>60.0</v>
      </c>
      <c r="AC52" s="41">
        <v>114.0</v>
      </c>
      <c r="AD52" s="41">
        <v>96.0</v>
      </c>
      <c r="AE52" s="41">
        <v>42.0</v>
      </c>
      <c r="AF52" s="41">
        <v>84.0</v>
      </c>
      <c r="AG52" s="41">
        <v>48.0</v>
      </c>
      <c r="AH52" s="41">
        <v>72.0</v>
      </c>
      <c r="AI52" s="41">
        <v>90.0</v>
      </c>
      <c r="AJ52" s="41">
        <v>66.0</v>
      </c>
      <c r="AK52" s="41">
        <v>66.0</v>
      </c>
      <c r="AL52" s="41">
        <v>84.0</v>
      </c>
      <c r="AM52" s="43">
        <v>36.0</v>
      </c>
      <c r="AN52" s="43">
        <v>18.0</v>
      </c>
      <c r="AO52" s="43">
        <v>90.0</v>
      </c>
      <c r="AP52" s="43">
        <v>90.0</v>
      </c>
      <c r="AQ52" s="43">
        <v>78.0</v>
      </c>
      <c r="AR52" s="43">
        <v>54.0</v>
      </c>
      <c r="AS52" s="43">
        <v>66.0</v>
      </c>
      <c r="AT52" s="4">
        <f t="shared" si="4"/>
        <v>810.0</v>
      </c>
      <c r="AU52" s="4">
        <f t="shared" si="5"/>
        <v>414.0</v>
      </c>
      <c r="AV52" s="4">
        <f t="shared" si="6"/>
        <v>455.4</v>
      </c>
      <c r="AW52" s="1">
        <f t="shared" si="162"/>
        <v>51.2571428571429</v>
      </c>
      <c r="AX52" s="1">
        <f t="shared" si="163"/>
        <v>64.0714285714286</v>
      </c>
      <c r="AY52" s="1">
        <f t="shared" si="164"/>
        <v>69.0</v>
      </c>
      <c r="AZ52" s="1">
        <f t="shared" si="165"/>
        <v>95.6142857142857</v>
      </c>
      <c r="BA52" s="1">
        <f t="shared" si="166"/>
        <v>45.3428571428571</v>
      </c>
      <c r="BB52" s="1">
        <f t="shared" si="167"/>
        <v>88.7142857142857</v>
      </c>
      <c r="BC52" s="4">
        <f t="shared" si="13"/>
        <v>414.0</v>
      </c>
      <c r="BD52" s="3">
        <f>VLOOKUP(D52,FEB23SOH,2,false)</f>
        <v>875.0</v>
      </c>
      <c r="BE52" s="44">
        <f>VLOOKUP(D52,UNITVALUE,4,false)</f>
        <v>0.3345</v>
      </c>
      <c r="BF52" s="44">
        <f t="shared" si="16"/>
        <v>292.6875</v>
      </c>
      <c r="BI52" s="6">
        <f t="shared" si="107"/>
        <v>461.0</v>
      </c>
      <c r="BJ52" s="1">
        <f>VLOOKUP(C52,MOQ,3,FALSE())</f>
        <v>1002.0</v>
      </c>
      <c r="BM52" s="1">
        <f t="shared" si="109"/>
        <v>875.0</v>
      </c>
      <c r="BN52" s="1">
        <f t="shared" si="110"/>
        <v>51.2571428571429</v>
      </c>
      <c r="BP52" s="45">
        <f t="shared" si="111"/>
        <v>823.742857142857</v>
      </c>
      <c r="BQ52" s="5">
        <f t="shared" si="112"/>
        <v>275.541985714286</v>
      </c>
      <c r="BR52" s="1">
        <f t="shared" si="113"/>
        <v>64.0714285714286</v>
      </c>
      <c r="BS52" s="1">
        <f t="shared" si="114"/>
      </c>
      <c r="BT52" s="45">
        <f t="shared" si="115"/>
        <v>759.671428571429</v>
      </c>
      <c r="BU52" s="5">
        <f t="shared" si="116"/>
        <v>254.110092857143</v>
      </c>
      <c r="BV52" s="1">
        <f t="shared" si="117"/>
        <v>69.0</v>
      </c>
      <c r="BW52" s="1">
        <f t="shared" si="118"/>
      </c>
      <c r="BX52" s="45">
        <f t="shared" si="119"/>
        <v>690.671428571429</v>
      </c>
      <c r="BY52" s="5">
        <f t="shared" si="120"/>
        <v>231.029592857143</v>
      </c>
      <c r="BZ52" s="1">
        <f t="shared" si="121"/>
        <v>95.6142857142857</v>
      </c>
      <c r="CB52" s="45">
        <f t="shared" si="122"/>
        <v>595.057142857143</v>
      </c>
      <c r="CC52" s="5">
        <f t="shared" si="123"/>
        <v>199.046614285714</v>
      </c>
      <c r="CD52" s="1">
        <f t="shared" si="124"/>
        <v>45.3428571428571</v>
      </c>
      <c r="CF52" s="45">
        <f t="shared" si="125"/>
        <v>549.714285714286</v>
      </c>
      <c r="CG52" s="5">
        <f t="shared" si="126"/>
        <v>183.879428571429</v>
      </c>
      <c r="CH52" s="1">
        <f t="shared" si="127"/>
        <v>88.7142857142857</v>
      </c>
      <c r="CJ52" s="45">
        <f t="shared" si="128"/>
        <v>461.0</v>
      </c>
      <c r="CK52" s="5">
        <f t="shared" si="129"/>
        <v>154.2045</v>
      </c>
    </row>
    <row r="53" ht="17.0">
      <c r="A53" s="41" t="s">
        <v>30</v>
      </c>
      <c r="B53" s="41" t="s">
        <v>83</v>
      </c>
      <c r="C53" s="41" t="s">
        <v>128</v>
      </c>
      <c r="D53" s="42" t="s">
        <v>129</v>
      </c>
      <c r="E53" s="41">
        <v>42.0</v>
      </c>
      <c r="F53" s="41">
        <v>78.0</v>
      </c>
      <c r="G53" s="41">
        <v>36.0</v>
      </c>
      <c r="H53" s="41">
        <v>72.0</v>
      </c>
      <c r="I53" s="41">
        <v>102.0</v>
      </c>
      <c r="J53" s="41">
        <v>90.0</v>
      </c>
      <c r="K53" s="41">
        <v>36.0</v>
      </c>
      <c r="L53" s="41">
        <v>72.0</v>
      </c>
      <c r="M53" s="41">
        <v>66.0</v>
      </c>
      <c r="N53" s="41">
        <v>42.0</v>
      </c>
      <c r="O53" s="41">
        <v>66.0</v>
      </c>
      <c r="P53" s="41">
        <v>72.0</v>
      </c>
      <c r="Q53" s="41">
        <v>54.0</v>
      </c>
      <c r="R53" s="41">
        <v>72.0</v>
      </c>
      <c r="S53" s="41">
        <v>84.0</v>
      </c>
      <c r="T53" s="41">
        <v>96.0</v>
      </c>
      <c r="U53" s="41">
        <v>162.0</v>
      </c>
      <c r="V53" s="41">
        <v>66.0</v>
      </c>
      <c r="W53" s="41">
        <v>96.0</v>
      </c>
      <c r="X53" s="41">
        <v>90.0</v>
      </c>
      <c r="Y53" s="41">
        <v>30.0</v>
      </c>
      <c r="Z53" s="41">
        <v>36.0</v>
      </c>
      <c r="AA53" s="41">
        <v>54.0</v>
      </c>
      <c r="AB53" s="41">
        <v>78.0</v>
      </c>
      <c r="AC53" s="41">
        <v>114.0</v>
      </c>
      <c r="AD53" s="41">
        <v>90.0</v>
      </c>
      <c r="AE53" s="41">
        <v>42.0</v>
      </c>
      <c r="AF53" s="41">
        <v>78.0</v>
      </c>
      <c r="AG53" s="41">
        <v>60.0</v>
      </c>
      <c r="AH53" s="41">
        <v>78.0</v>
      </c>
      <c r="AI53" s="41">
        <v>60.0</v>
      </c>
      <c r="AJ53" s="41">
        <v>48.0</v>
      </c>
      <c r="AK53" s="41">
        <v>66.0</v>
      </c>
      <c r="AL53" s="41">
        <v>66.0</v>
      </c>
      <c r="AM53" s="43">
        <v>30.0</v>
      </c>
      <c r="AN53" s="43">
        <v>24.0</v>
      </c>
      <c r="AO53" s="43">
        <v>90.0</v>
      </c>
      <c r="AP53" s="43">
        <v>102.0</v>
      </c>
      <c r="AQ53" s="43">
        <v>96.0</v>
      </c>
      <c r="AR53" s="43">
        <v>48.0</v>
      </c>
      <c r="AS53" s="43">
        <v>51.0</v>
      </c>
      <c r="AT53" s="4">
        <f t="shared" si="4"/>
        <v>759.0</v>
      </c>
      <c r="AU53" s="4">
        <f t="shared" si="5"/>
        <v>348.0</v>
      </c>
      <c r="AV53" s="4">
        <f t="shared" si="6"/>
        <v>382.8</v>
      </c>
      <c r="AW53" s="1">
        <f t="shared" si="162"/>
        <v>43.0857142857142</v>
      </c>
      <c r="AX53" s="1">
        <f t="shared" si="163"/>
        <v>53.8571428571429</v>
      </c>
      <c r="AY53" s="1">
        <f t="shared" si="164"/>
        <v>58.0</v>
      </c>
      <c r="AZ53" s="1">
        <f t="shared" si="165"/>
        <v>80.3714285714286</v>
      </c>
      <c r="BA53" s="1">
        <f t="shared" si="166"/>
        <v>38.1142857142857</v>
      </c>
      <c r="BB53" s="1">
        <f t="shared" si="167"/>
        <v>74.5714285714286</v>
      </c>
      <c r="BC53" s="4">
        <f t="shared" si="13"/>
        <v>348.0</v>
      </c>
      <c r="BD53" s="3">
        <f>VLOOKUP(D53,FEB23SOH,2,false)</f>
        <v>90.0</v>
      </c>
      <c r="BE53" s="44">
        <f>VLOOKUP(D53,UNITVALUE,4,false)</f>
        <v>0.3354</v>
      </c>
      <c r="BF53" s="44">
        <f t="shared" si="16"/>
        <v>30.186</v>
      </c>
      <c r="BI53" s="6">
        <f t="shared" si="107"/>
        <v>-258.0</v>
      </c>
      <c r="BJ53" s="1">
        <f>VLOOKUP(C53,MOQ,3,FALSE())</f>
        <v>1002.0</v>
      </c>
      <c r="BK53" s="51">
        <f t="shared" ref="BK53:BK54" si="168">BJ53</f>
        <v>1002.0</v>
      </c>
      <c r="BL53" s="8" t="s">
        <v>6</v>
      </c>
      <c r="BM53" s="1">
        <f t="shared" si="109"/>
        <v>90.0</v>
      </c>
      <c r="BN53" s="1">
        <f t="shared" si="110"/>
        <v>43.0857142857142</v>
      </c>
      <c r="BP53" s="45">
        <f t="shared" si="111"/>
        <v>46.9142857142858</v>
      </c>
      <c r="BQ53" s="5">
        <f t="shared" si="112"/>
        <v>15.7350514285714</v>
      </c>
      <c r="BR53" s="1">
        <f t="shared" si="113"/>
        <v>53.8571428571429</v>
      </c>
      <c r="BS53" s="1">
        <f t="shared" si="114"/>
      </c>
      <c r="BT53" s="45">
        <f t="shared" si="115"/>
        <v>-6.94285714285709</v>
      </c>
      <c r="BU53" s="5">
        <f t="shared" si="116"/>
        <v>-2.3286342857142</v>
      </c>
      <c r="BV53" s="1">
        <f t="shared" si="117"/>
        <v>58.0</v>
      </c>
      <c r="BW53" s="1">
        <f t="shared" si="118"/>
      </c>
      <c r="BX53" s="45">
        <f t="shared" si="119"/>
        <v>-64.9428571428571</v>
      </c>
      <c r="BY53" s="5">
        <f t="shared" si="120"/>
        <v>-21.7818342857142</v>
      </c>
      <c r="BZ53" s="1">
        <f t="shared" si="121"/>
        <v>80.3714285714286</v>
      </c>
      <c r="CB53" s="45">
        <f t="shared" si="122"/>
        <v>-145.314285714284</v>
      </c>
      <c r="CC53" s="5">
        <f t="shared" si="123"/>
        <v>-48.7384114285707</v>
      </c>
      <c r="CD53" s="1">
        <f t="shared" si="124"/>
        <v>38.1142857142857</v>
      </c>
      <c r="CF53" s="45">
        <f t="shared" si="125"/>
        <v>-183.428571428568</v>
      </c>
      <c r="CG53" s="5">
        <f t="shared" si="126"/>
        <v>-61.5219428571417</v>
      </c>
      <c r="CH53" s="1">
        <f t="shared" si="127"/>
        <v>74.5714285714286</v>
      </c>
      <c r="CJ53" s="45">
        <f t="shared" si="128"/>
        <v>-257.999999999995</v>
      </c>
      <c r="CK53" s="5">
        <f t="shared" si="129"/>
        <v>-86.5331999999983</v>
      </c>
    </row>
    <row r="54" ht="17.0">
      <c r="A54" s="41" t="s">
        <v>30</v>
      </c>
      <c r="B54" s="41" t="s">
        <v>83</v>
      </c>
      <c r="C54" s="41" t="s">
        <v>130</v>
      </c>
      <c r="D54" s="42" t="s">
        <v>131</v>
      </c>
      <c r="E54" s="41">
        <v>0.0</v>
      </c>
      <c r="F54" s="41">
        <v>0.0</v>
      </c>
      <c r="G54" s="41">
        <v>0.0</v>
      </c>
      <c r="H54" s="41">
        <v>0.0</v>
      </c>
      <c r="I54" s="41">
        <v>0.0</v>
      </c>
      <c r="J54" s="41">
        <v>0.0</v>
      </c>
      <c r="K54" s="41">
        <v>18.0</v>
      </c>
      <c r="L54" s="41">
        <v>126.0</v>
      </c>
      <c r="M54" s="41">
        <v>54.0</v>
      </c>
      <c r="N54" s="41">
        <v>102.0</v>
      </c>
      <c r="O54" s="41">
        <v>84.0</v>
      </c>
      <c r="P54" s="41">
        <v>61.0</v>
      </c>
      <c r="Q54" s="41">
        <v>66.0</v>
      </c>
      <c r="R54" s="41">
        <v>84.0</v>
      </c>
      <c r="S54" s="41">
        <v>96.0</v>
      </c>
      <c r="T54" s="41">
        <v>90.0</v>
      </c>
      <c r="U54" s="41">
        <v>78.0</v>
      </c>
      <c r="V54" s="41">
        <v>30.0</v>
      </c>
      <c r="W54" s="41">
        <v>54.0</v>
      </c>
      <c r="X54" s="41">
        <v>49.0</v>
      </c>
      <c r="Y54" s="41">
        <v>30.0</v>
      </c>
      <c r="Z54" s="41">
        <v>12.0</v>
      </c>
      <c r="AA54" s="41">
        <v>60.0</v>
      </c>
      <c r="AB54" s="41">
        <v>30.0</v>
      </c>
      <c r="AC54" s="41">
        <v>84.0</v>
      </c>
      <c r="AD54" s="41">
        <v>60.0</v>
      </c>
      <c r="AE54" s="41">
        <v>24.0</v>
      </c>
      <c r="AF54" s="41">
        <v>66.0</v>
      </c>
      <c r="AG54" s="41">
        <v>66.0</v>
      </c>
      <c r="AH54" s="41">
        <v>36.0</v>
      </c>
      <c r="AI54" s="41">
        <v>36.0</v>
      </c>
      <c r="AJ54" s="41">
        <v>30.0</v>
      </c>
      <c r="AK54" s="41">
        <v>42.0</v>
      </c>
      <c r="AL54" s="41">
        <v>30.0</v>
      </c>
      <c r="AM54" s="43">
        <v>42.0</v>
      </c>
      <c r="AN54" s="43">
        <v>36.0</v>
      </c>
      <c r="AO54" s="43">
        <v>54.0</v>
      </c>
      <c r="AP54" s="43">
        <v>42.0</v>
      </c>
      <c r="AQ54" s="43">
        <v>72.0</v>
      </c>
      <c r="AR54" s="43">
        <v>18.0</v>
      </c>
      <c r="AS54" s="43">
        <v>66.0</v>
      </c>
      <c r="AT54" s="4">
        <f t="shared" si="4"/>
        <v>504.0</v>
      </c>
      <c r="AU54" s="4">
        <f t="shared" si="5"/>
        <v>216.0</v>
      </c>
      <c r="AV54" s="4">
        <f t="shared" si="6"/>
        <v>237.6</v>
      </c>
      <c r="AW54" s="1">
        <f t="shared" si="162"/>
        <v>26.7428571428571</v>
      </c>
      <c r="AX54" s="1">
        <f t="shared" si="163"/>
        <v>33.4285714285714</v>
      </c>
      <c r="AY54" s="1">
        <f t="shared" si="164"/>
        <v>36.0</v>
      </c>
      <c r="AZ54" s="1">
        <f t="shared" si="165"/>
        <v>49.8857142857142</v>
      </c>
      <c r="BA54" s="1">
        <f t="shared" si="166"/>
        <v>23.6571428571429</v>
      </c>
      <c r="BB54" s="1">
        <f t="shared" si="167"/>
        <v>46.2857142857142</v>
      </c>
      <c r="BC54" s="4">
        <f t="shared" si="13"/>
        <v>216.0</v>
      </c>
      <c r="BD54" s="3">
        <f>VLOOKUP(D54,FEB23SOH,2,false)</f>
        <v>70.0</v>
      </c>
      <c r="BE54" s="44">
        <f>VLOOKUP(D54,UNITVALUE,4,false)</f>
        <v>0.3471</v>
      </c>
      <c r="BF54" s="44">
        <f t="shared" si="16"/>
        <v>24.297</v>
      </c>
      <c r="BI54" s="6">
        <f t="shared" si="107"/>
        <v>-146.0</v>
      </c>
      <c r="BJ54" s="1">
        <f>VLOOKUP(C54,MOQ,3,FALSE())</f>
        <v>1002.0</v>
      </c>
      <c r="BK54" s="51">
        <f t="shared" si="168"/>
        <v>1002.0</v>
      </c>
      <c r="BL54" s="8" t="s">
        <v>7</v>
      </c>
      <c r="BM54" s="1">
        <f t="shared" si="109"/>
        <v>70.0</v>
      </c>
      <c r="BN54" s="1">
        <f t="shared" si="110"/>
        <v>26.7428571428571</v>
      </c>
      <c r="BP54" s="45">
        <f t="shared" si="111"/>
        <v>43.2571428571429</v>
      </c>
      <c r="BQ54" s="5">
        <f t="shared" si="112"/>
        <v>15.0145542857143</v>
      </c>
      <c r="BR54" s="1">
        <f t="shared" si="113"/>
        <v>33.4285714285714</v>
      </c>
      <c r="BS54" s="1">
        <f t="shared" si="114"/>
      </c>
      <c r="BT54" s="45">
        <f t="shared" si="115"/>
        <v>9.8285714285715</v>
      </c>
      <c r="BU54" s="5">
        <f t="shared" si="116"/>
        <v>3.4114971428571</v>
      </c>
      <c r="BV54" s="1">
        <f t="shared" si="117"/>
        <v>36.0</v>
      </c>
      <c r="BW54" s="1">
        <f t="shared" si="118"/>
      </c>
      <c r="BX54" s="45">
        <f t="shared" si="119"/>
        <v>-26.1714285714285</v>
      </c>
      <c r="BY54" s="5">
        <f t="shared" si="120"/>
        <v>-9.08410285714283</v>
      </c>
      <c r="BZ54" s="1">
        <f t="shared" si="121"/>
        <v>49.8857142857142</v>
      </c>
      <c r="CB54" s="45">
        <f t="shared" si="122"/>
        <v>-76.0571428571427</v>
      </c>
      <c r="CC54" s="5">
        <f t="shared" si="123"/>
        <v>-26.3994342857142</v>
      </c>
      <c r="CD54" s="1">
        <f t="shared" si="124"/>
        <v>23.6571428571429</v>
      </c>
      <c r="CF54" s="45">
        <f t="shared" si="125"/>
        <v>-99.7142857142856</v>
      </c>
      <c r="CG54" s="5">
        <f t="shared" si="126"/>
        <v>-34.6108285714285</v>
      </c>
      <c r="CH54" s="1">
        <f t="shared" si="127"/>
        <v>46.2857142857142</v>
      </c>
      <c r="CJ54" s="45">
        <f t="shared" si="128"/>
        <v>-145.999999999998</v>
      </c>
      <c r="CK54" s="5">
        <f t="shared" si="129"/>
        <v>-50.6765999999993</v>
      </c>
    </row>
    <row r="55" ht="17.0">
      <c r="A55" s="41" t="s">
        <v>30</v>
      </c>
      <c r="B55" s="41" t="s">
        <v>83</v>
      </c>
      <c r="C55" s="41" t="s">
        <v>132</v>
      </c>
      <c r="D55" s="42" t="s">
        <v>133</v>
      </c>
      <c r="E55" s="41">
        <v>0.0</v>
      </c>
      <c r="F55" s="41">
        <v>0.0</v>
      </c>
      <c r="G55" s="41">
        <v>0.0</v>
      </c>
      <c r="H55" s="41">
        <v>0.0</v>
      </c>
      <c r="I55" s="41">
        <v>0.0</v>
      </c>
      <c r="J55" s="41">
        <v>0.0</v>
      </c>
      <c r="K55" s="41">
        <v>24.0</v>
      </c>
      <c r="L55" s="41">
        <v>132.0</v>
      </c>
      <c r="M55" s="41">
        <v>120.0</v>
      </c>
      <c r="N55" s="41">
        <v>138.0</v>
      </c>
      <c r="O55" s="41">
        <v>66.0</v>
      </c>
      <c r="P55" s="41">
        <v>66.0</v>
      </c>
      <c r="Q55" s="41">
        <v>60.0</v>
      </c>
      <c r="R55" s="41">
        <v>42.0</v>
      </c>
      <c r="S55" s="41">
        <v>84.0</v>
      </c>
      <c r="T55" s="41">
        <v>72.0</v>
      </c>
      <c r="U55" s="41">
        <v>108.0</v>
      </c>
      <c r="V55" s="41">
        <v>66.0</v>
      </c>
      <c r="W55" s="41">
        <v>66.0</v>
      </c>
      <c r="X55" s="41">
        <v>54.0</v>
      </c>
      <c r="Y55" s="41">
        <v>36.0</v>
      </c>
      <c r="Z55" s="41">
        <v>30.0</v>
      </c>
      <c r="AA55" s="41">
        <v>66.0</v>
      </c>
      <c r="AB55" s="41">
        <v>60.0</v>
      </c>
      <c r="AC55" s="41">
        <v>114.0</v>
      </c>
      <c r="AD55" s="41">
        <v>84.0</v>
      </c>
      <c r="AE55" s="41">
        <v>60.0</v>
      </c>
      <c r="AF55" s="41">
        <v>54.0</v>
      </c>
      <c r="AG55" s="41">
        <v>60.0</v>
      </c>
      <c r="AH55" s="41">
        <v>36.0</v>
      </c>
      <c r="AI55" s="41">
        <v>60.0</v>
      </c>
      <c r="AJ55" s="41">
        <v>72.0</v>
      </c>
      <c r="AK55" s="41">
        <v>36.0</v>
      </c>
      <c r="AL55" s="41">
        <v>30.0</v>
      </c>
      <c r="AM55" s="43">
        <v>66.0</v>
      </c>
      <c r="AN55" s="43">
        <v>30.0</v>
      </c>
      <c r="AO55" s="43">
        <v>66.0</v>
      </c>
      <c r="AP55" s="43">
        <v>132.0</v>
      </c>
      <c r="AQ55" s="43">
        <v>96.0</v>
      </c>
      <c r="AR55" s="43">
        <v>18.0</v>
      </c>
      <c r="AS55" s="43">
        <v>66.0</v>
      </c>
      <c r="AT55" s="4">
        <f t="shared" si="4"/>
        <v>708.0</v>
      </c>
      <c r="AU55" s="4">
        <f t="shared" si="5"/>
        <v>300.0</v>
      </c>
      <c r="AV55" s="4">
        <f t="shared" si="6"/>
        <v>330.0</v>
      </c>
      <c r="AW55" s="1">
        <f t="shared" si="162"/>
        <v>37.1428571428571</v>
      </c>
      <c r="AX55" s="1">
        <f t="shared" si="163"/>
        <v>46.4285714285714</v>
      </c>
      <c r="AY55" s="1">
        <f t="shared" si="164"/>
        <v>50.0</v>
      </c>
      <c r="AZ55" s="1">
        <f t="shared" si="165"/>
        <v>69.2857142857142</v>
      </c>
      <c r="BA55" s="1">
        <f t="shared" si="166"/>
        <v>32.8571428571429</v>
      </c>
      <c r="BB55" s="1">
        <f t="shared" si="167"/>
        <v>64.2857142857142</v>
      </c>
      <c r="BC55" s="4">
        <f t="shared" si="13"/>
        <v>300.0</v>
      </c>
      <c r="BD55" s="3">
        <f>VLOOKUP(D55,FEB23SOH,2,false)</f>
        <v>648.0</v>
      </c>
      <c r="BE55" s="44">
        <f>VLOOKUP(D55,UNITVALUE,4,false)</f>
        <v>0.3344</v>
      </c>
      <c r="BF55" s="44">
        <f t="shared" si="16"/>
        <v>216.6912</v>
      </c>
      <c r="BI55" s="6">
        <f t="shared" si="107"/>
        <v>348.0</v>
      </c>
      <c r="BJ55" s="1">
        <f>VLOOKUP(C55,MOQ,3,FALSE())</f>
        <v>1002.0</v>
      </c>
      <c r="BM55" s="1">
        <f t="shared" si="109"/>
        <v>648.0</v>
      </c>
      <c r="BN55" s="1">
        <f t="shared" si="110"/>
        <v>37.1428571428571</v>
      </c>
      <c r="BP55" s="45">
        <f t="shared" si="111"/>
        <v>610.857142857142</v>
      </c>
      <c r="BQ55" s="5">
        <f t="shared" si="112"/>
        <v>204.270628571428</v>
      </c>
      <c r="BR55" s="1">
        <f t="shared" si="113"/>
        <v>46.4285714285714</v>
      </c>
      <c r="BS55" s="1">
        <f t="shared" si="114"/>
      </c>
      <c r="BT55" s="45">
        <f t="shared" si="115"/>
        <v>564.42857142857</v>
      </c>
      <c r="BU55" s="5">
        <f t="shared" si="116"/>
        <v>188.744914285713</v>
      </c>
      <c r="BV55" s="1">
        <f t="shared" si="117"/>
        <v>50.0</v>
      </c>
      <c r="BW55" s="1">
        <f t="shared" si="118"/>
      </c>
      <c r="BX55" s="45">
        <f t="shared" si="119"/>
        <v>514.42857142857</v>
      </c>
      <c r="BY55" s="5">
        <f t="shared" si="120"/>
        <v>172.024914285713</v>
      </c>
      <c r="BZ55" s="1">
        <f t="shared" si="121"/>
        <v>69.2857142857142</v>
      </c>
      <c r="CB55" s="45">
        <f t="shared" si="122"/>
        <v>445.14285714286</v>
      </c>
      <c r="CC55" s="5">
        <f t="shared" si="123"/>
        <v>148.855771428572</v>
      </c>
      <c r="CD55" s="1">
        <f t="shared" si="124"/>
        <v>32.8571428571429</v>
      </c>
      <c r="CF55" s="45">
        <f t="shared" si="125"/>
        <v>412.285714285717</v>
      </c>
      <c r="CG55" s="5">
        <f t="shared" si="126"/>
        <v>137.868342857143</v>
      </c>
      <c r="CH55" s="1">
        <f t="shared" si="127"/>
        <v>64.2857142857142</v>
      </c>
      <c r="CJ55" s="45">
        <f t="shared" si="128"/>
        <v>348.000000000002</v>
      </c>
      <c r="CK55" s="5">
        <f t="shared" si="129"/>
        <v>116.3712</v>
      </c>
    </row>
    <row r="56" ht="17.0">
      <c r="A56" s="41" t="s">
        <v>30</v>
      </c>
      <c r="B56" s="41" t="s">
        <v>83</v>
      </c>
      <c r="C56" s="41" t="s">
        <v>134</v>
      </c>
      <c r="D56" s="42" t="s">
        <v>135</v>
      </c>
      <c r="E56" s="41">
        <v>0.0</v>
      </c>
      <c r="F56" s="41">
        <v>0.0</v>
      </c>
      <c r="G56" s="41">
        <v>0.0</v>
      </c>
      <c r="H56" s="41">
        <v>0.0</v>
      </c>
      <c r="I56" s="41">
        <v>0.0</v>
      </c>
      <c r="J56" s="41">
        <v>0.0</v>
      </c>
      <c r="K56" s="41">
        <v>12.0</v>
      </c>
      <c r="L56" s="41">
        <v>108.0</v>
      </c>
      <c r="M56" s="41">
        <v>138.0</v>
      </c>
      <c r="N56" s="41">
        <v>108.0</v>
      </c>
      <c r="O56" s="41">
        <v>102.0</v>
      </c>
      <c r="P56" s="41">
        <v>102.0</v>
      </c>
      <c r="Q56" s="41">
        <v>102.0</v>
      </c>
      <c r="R56" s="41">
        <v>120.0</v>
      </c>
      <c r="S56" s="41">
        <v>162.0</v>
      </c>
      <c r="T56" s="41">
        <v>54.0</v>
      </c>
      <c r="U56" s="41">
        <v>0.0</v>
      </c>
      <c r="V56" s="41">
        <v>0.0</v>
      </c>
      <c r="W56" s="41">
        <v>60.0</v>
      </c>
      <c r="X56" s="41">
        <v>78.0</v>
      </c>
      <c r="Y56" s="41">
        <v>66.0</v>
      </c>
      <c r="Z56" s="41">
        <v>60.0</v>
      </c>
      <c r="AA56" s="41">
        <v>78.0</v>
      </c>
      <c r="AB56" s="41">
        <v>72.0</v>
      </c>
      <c r="AC56" s="41">
        <v>126.0</v>
      </c>
      <c r="AD56" s="41">
        <v>132.0</v>
      </c>
      <c r="AE56" s="41">
        <v>66.0</v>
      </c>
      <c r="AF56" s="41">
        <v>138.0</v>
      </c>
      <c r="AG56" s="41">
        <v>66.0</v>
      </c>
      <c r="AH56" s="41">
        <v>78.0</v>
      </c>
      <c r="AI56" s="41">
        <v>66.0</v>
      </c>
      <c r="AJ56" s="41">
        <v>78.0</v>
      </c>
      <c r="AK56" s="41">
        <v>54.0</v>
      </c>
      <c r="AL56" s="41">
        <v>84.0</v>
      </c>
      <c r="AM56" s="43">
        <v>102.0</v>
      </c>
      <c r="AN56" s="43">
        <v>84.0</v>
      </c>
      <c r="AO56" s="43">
        <v>120.0</v>
      </c>
      <c r="AP56" s="43">
        <v>150.0</v>
      </c>
      <c r="AQ56" s="43">
        <v>144.0</v>
      </c>
      <c r="AR56" s="43">
        <v>66.0</v>
      </c>
      <c r="AS56" s="43">
        <v>58.0</v>
      </c>
      <c r="AT56" s="4">
        <f t="shared" si="4"/>
        <v>1084.0</v>
      </c>
      <c r="AU56" s="4">
        <f t="shared" si="5"/>
        <v>462.0</v>
      </c>
      <c r="AV56" s="4">
        <f t="shared" si="6"/>
        <v>508.2</v>
      </c>
      <c r="AW56" s="1">
        <f t="shared" si="162"/>
        <v>57.2</v>
      </c>
      <c r="AX56" s="1">
        <f t="shared" si="163"/>
        <v>71.5</v>
      </c>
      <c r="AY56" s="1">
        <f t="shared" si="164"/>
        <v>77.0</v>
      </c>
      <c r="AZ56" s="1">
        <f t="shared" si="165"/>
        <v>106.7</v>
      </c>
      <c r="BA56" s="1">
        <f t="shared" si="166"/>
        <v>50.6</v>
      </c>
      <c r="BB56" s="1">
        <f t="shared" si="167"/>
        <v>99.0</v>
      </c>
      <c r="BC56" s="4">
        <f t="shared" si="13"/>
        <v>462.0</v>
      </c>
      <c r="BD56" s="3">
        <f>VLOOKUP(D56,FEB23SOH,2,false)</f>
        <v>0.0</v>
      </c>
      <c r="BE56" s="44">
        <f>VLOOKUP(D56,UNITVALUE,4,false)</f>
      </c>
      <c r="BF56" s="44">
        <f t="shared" si="16"/>
        <v>0.0</v>
      </c>
      <c r="BI56" s="6">
        <f t="shared" si="107"/>
        <v>-462.0</v>
      </c>
      <c r="BJ56" s="1">
        <f>VLOOKUP(C56,MOQ,3,FALSE())</f>
        <v>1002.0</v>
      </c>
      <c r="BK56" s="51">
        <f>BJ56</f>
        <v>1002.0</v>
      </c>
      <c r="BL56" s="8" t="s">
        <v>68</v>
      </c>
      <c r="BM56" s="1">
        <f t="shared" si="109"/>
        <v>0.0</v>
      </c>
      <c r="BN56" s="1">
        <f t="shared" si="110"/>
        <v>57.2</v>
      </c>
      <c r="BP56" s="45">
        <f t="shared" si="111"/>
        <v>-57.2</v>
      </c>
      <c r="BQ56" s="5">
        <f t="shared" si="112"/>
        <v>0.0</v>
      </c>
      <c r="BR56" s="1">
        <f t="shared" si="113"/>
        <v>71.5</v>
      </c>
      <c r="BS56" s="1">
        <f t="shared" si="114"/>
      </c>
      <c r="BT56" s="45">
        <f t="shared" si="115"/>
        <v>-128.7</v>
      </c>
      <c r="BU56" s="5">
        <f t="shared" si="116"/>
        <v>0.0</v>
      </c>
      <c r="BV56" s="1">
        <f t="shared" si="117"/>
        <v>77.0</v>
      </c>
      <c r="BW56" s="1">
        <f t="shared" si="118"/>
      </c>
      <c r="BX56" s="45">
        <f t="shared" si="119"/>
        <v>-205.7</v>
      </c>
      <c r="BY56" s="5">
        <f t="shared" si="120"/>
        <v>0.0</v>
      </c>
      <c r="BZ56" s="1">
        <f t="shared" si="121"/>
        <v>106.7</v>
      </c>
      <c r="CB56" s="45">
        <f t="shared" si="122"/>
        <v>-312.4</v>
      </c>
      <c r="CC56" s="5"/>
      <c r="CD56" s="1">
        <f t="shared" si="124"/>
        <v>50.6</v>
      </c>
      <c r="CF56" s="45">
        <f t="shared" si="125"/>
        <v>-363.0</v>
      </c>
      <c r="CG56" s="5">
        <f t="shared" si="126"/>
        <v>0.0</v>
      </c>
      <c r="CH56" s="1">
        <f t="shared" si="127"/>
        <v>99.0</v>
      </c>
      <c r="CJ56" s="45">
        <f t="shared" si="128"/>
        <v>-462.0</v>
      </c>
      <c r="CK56" s="5">
        <f t="shared" si="129"/>
        <v>0.0</v>
      </c>
    </row>
    <row r="57" ht="17.0">
      <c r="A57" s="46" t="s">
        <v>30</v>
      </c>
      <c r="B57" s="46" t="s">
        <v>83</v>
      </c>
      <c r="C57" s="46" t="s">
        <v>136</v>
      </c>
      <c r="D57" s="47" t="s">
        <v>137</v>
      </c>
      <c r="E57" s="41">
        <v>0.0</v>
      </c>
      <c r="F57" s="41">
        <v>1.0</v>
      </c>
      <c r="G57" s="41">
        <v>1.0</v>
      </c>
      <c r="H57" s="41">
        <v>1.0</v>
      </c>
      <c r="I57" s="41">
        <v>1.0</v>
      </c>
      <c r="J57" s="41">
        <v>4.0</v>
      </c>
      <c r="K57" s="41">
        <v>1.0</v>
      </c>
      <c r="L57" s="41">
        <v>2.0</v>
      </c>
      <c r="M57" s="41">
        <v>2.0</v>
      </c>
      <c r="N57" s="41">
        <v>1.0</v>
      </c>
      <c r="O57" s="41">
        <v>1.0</v>
      </c>
      <c r="P57" s="41">
        <v>0.0</v>
      </c>
      <c r="Q57" s="41">
        <v>0.0</v>
      </c>
      <c r="R57" s="41">
        <v>0.0</v>
      </c>
      <c r="S57" s="41">
        <v>0.0</v>
      </c>
      <c r="T57" s="41">
        <v>0.0</v>
      </c>
      <c r="U57" s="41">
        <v>2.0</v>
      </c>
      <c r="V57" s="41">
        <v>4.0</v>
      </c>
      <c r="W57" s="41">
        <v>1.0</v>
      </c>
      <c r="X57" s="41">
        <v>0.0</v>
      </c>
      <c r="Y57" s="41">
        <v>0.0</v>
      </c>
      <c r="Z57" s="41">
        <v>1.0</v>
      </c>
      <c r="AA57" s="41">
        <v>1.0</v>
      </c>
      <c r="AB57" s="41">
        <v>0.0</v>
      </c>
      <c r="AC57" s="41">
        <v>2.0</v>
      </c>
      <c r="AD57" s="41">
        <v>0.0</v>
      </c>
      <c r="AE57" s="41">
        <v>1.0</v>
      </c>
      <c r="AF57" s="41">
        <v>0.0</v>
      </c>
      <c r="AG57" s="41">
        <v>2.0</v>
      </c>
      <c r="AH57" s="41">
        <v>1.0</v>
      </c>
      <c r="AI57" s="41">
        <v>0.0</v>
      </c>
      <c r="AJ57" s="41">
        <v>0.0</v>
      </c>
      <c r="AK57" s="41">
        <v>0.0</v>
      </c>
      <c r="AL57" s="41">
        <v>0.0</v>
      </c>
      <c r="AM57" s="43">
        <v>1.0</v>
      </c>
      <c r="AN57" s="43">
        <v>1.0</v>
      </c>
      <c r="AO57" s="43">
        <v>0.0</v>
      </c>
      <c r="AP57" s="43">
        <v>0.0</v>
      </c>
      <c r="AQ57" s="43">
        <v>1.0</v>
      </c>
      <c r="AR57" s="43">
        <v>0.0</v>
      </c>
      <c r="AS57" s="43">
        <v>1.0</v>
      </c>
      <c r="AT57" s="4">
        <f t="shared" si="4"/>
        <v>5.0</v>
      </c>
      <c r="AU57" s="4">
        <f t="shared" si="5"/>
        <v>2.0</v>
      </c>
      <c r="AV57" s="4">
        <f t="shared" si="6"/>
        <v>2.2</v>
      </c>
      <c r="AW57" s="48">
        <f t="shared" si="162"/>
        <v>0.247619047619048</v>
      </c>
      <c r="AX57" s="48">
        <f t="shared" si="163"/>
        <v>0.30952380952381</v>
      </c>
      <c r="AY57" s="48">
        <f t="shared" si="164"/>
        <v>0.333333333333333</v>
      </c>
      <c r="AZ57" s="48">
        <f t="shared" si="165"/>
        <v>0.461904761904761</v>
      </c>
      <c r="BA57" s="48">
        <f t="shared" si="166"/>
        <v>0.219047619047619</v>
      </c>
      <c r="BB57" s="48">
        <f t="shared" si="167"/>
        <v>0.428571428571429</v>
      </c>
      <c r="BC57" s="4">
        <f t="shared" si="13"/>
        <v>2.0</v>
      </c>
      <c r="BD57" s="3">
        <f>VLOOKUP(D57,FEB23SOH,2,false)</f>
        <v>3.0</v>
      </c>
      <c r="BE57" s="44">
        <f>VLOOKUP(D57,UNITVALUE,4,false)</f>
        <v>48.3867</v>
      </c>
      <c r="BF57" s="44">
        <f t="shared" si="16"/>
        <v>145.1601</v>
      </c>
      <c r="BK57" s="50"/>
      <c r="BP57" s="45"/>
      <c r="BT57" s="45"/>
      <c r="BU57" s="5"/>
      <c r="BX57" s="45"/>
      <c r="BY57" s="5"/>
      <c r="CB57" s="45"/>
      <c r="CC57" s="5"/>
      <c r="CF57" s="45"/>
      <c r="CG57" s="5"/>
      <c r="CJ57" s="45"/>
      <c r="CK57" s="5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  <c r="DK57" s="49"/>
    </row>
    <row r="58" ht="17.0">
      <c r="A58" s="41" t="s">
        <v>30</v>
      </c>
      <c r="B58" s="41" t="s">
        <v>138</v>
      </c>
      <c r="C58" s="56" t="s">
        <v>139</v>
      </c>
      <c r="D58" s="57" t="s">
        <v>140</v>
      </c>
      <c r="E58" s="41">
        <v>0.0</v>
      </c>
      <c r="F58" s="41">
        <v>0.0</v>
      </c>
      <c r="G58" s="41">
        <v>0.0</v>
      </c>
      <c r="H58" s="41">
        <v>0.0</v>
      </c>
      <c r="I58" s="41">
        <v>0.0</v>
      </c>
      <c r="J58" s="41">
        <v>0.0</v>
      </c>
      <c r="K58" s="41">
        <v>0.0</v>
      </c>
      <c r="L58" s="41">
        <v>0.0</v>
      </c>
      <c r="M58" s="41">
        <v>0.0</v>
      </c>
      <c r="N58" s="41">
        <v>0.0</v>
      </c>
      <c r="O58" s="41">
        <v>0.0</v>
      </c>
      <c r="P58" s="41">
        <v>0.0</v>
      </c>
      <c r="Q58" s="41">
        <v>0.0</v>
      </c>
      <c r="R58" s="41">
        <v>0.0</v>
      </c>
      <c r="S58" s="41">
        <v>0.0</v>
      </c>
      <c r="T58" s="41">
        <v>0.0</v>
      </c>
      <c r="U58" s="41">
        <v>0.0</v>
      </c>
      <c r="V58" s="41">
        <v>0.0</v>
      </c>
      <c r="W58" s="41">
        <v>26.0</v>
      </c>
      <c r="X58" s="41">
        <v>204.0</v>
      </c>
      <c r="Y58" s="41">
        <v>140.0</v>
      </c>
      <c r="Z58" s="41">
        <v>173.0</v>
      </c>
      <c r="AA58" s="41">
        <v>96.0</v>
      </c>
      <c r="AB58" s="41">
        <v>201.0</v>
      </c>
      <c r="AC58" s="41">
        <v>0.0</v>
      </c>
      <c r="AD58" s="41">
        <v>0.0</v>
      </c>
      <c r="AE58" s="41">
        <v>112.0</v>
      </c>
      <c r="AF58" s="41">
        <v>113.0</v>
      </c>
      <c r="AG58" s="41">
        <v>204.0</v>
      </c>
      <c r="AH58" s="41">
        <v>145.0</v>
      </c>
      <c r="AI58" s="41">
        <v>108.0</v>
      </c>
      <c r="AJ58" s="41">
        <v>98.0</v>
      </c>
      <c r="AK58" s="41">
        <v>93.0</v>
      </c>
      <c r="AL58" s="41">
        <v>80.0</v>
      </c>
      <c r="AM58" s="43">
        <v>92.0</v>
      </c>
      <c r="AN58" s="43">
        <v>104.0</v>
      </c>
      <c r="AO58" s="43">
        <v>228.0</v>
      </c>
      <c r="AP58" s="43">
        <v>156.0</v>
      </c>
      <c r="AQ58" s="43">
        <v>140.0</v>
      </c>
      <c r="AR58" s="43">
        <v>64.0</v>
      </c>
      <c r="AS58" s="43">
        <v>112.0</v>
      </c>
      <c r="AT58" s="4">
        <f t="shared" si="4"/>
        <v>1420.0</v>
      </c>
      <c r="AU58" s="4">
        <f t="shared" si="5"/>
        <v>616.0</v>
      </c>
      <c r="AV58" s="4">
        <f t="shared" si="6"/>
        <v>677.6</v>
      </c>
      <c r="AW58" s="1">
        <f>AV58*$AW$4/$AV$4+4*$AW$82+4*$AW$85</f>
        <v>84.1904761904761</v>
      </c>
      <c r="AX58" s="1">
        <f>AV58*$AX$4/$AV$4+4*$AX$82+4*$AX$85</f>
        <v>105.238095238095</v>
      </c>
      <c r="AY58" s="1">
        <f>AV58*$AY$4/$AV$4+4*$AY$82+4*$AY$85</f>
        <v>113.333333333333</v>
      </c>
      <c r="AZ58" s="1">
        <f>AV58*$AZ$4/$AV$4+4*$AZ$82+4*$AZ$85</f>
        <v>157.047619047619</v>
      </c>
      <c r="BA58" s="1">
        <f>AV58*$BA$4/$AV$4+4*$BA$82+4*$BA$85</f>
        <v>74.4761904761904</v>
      </c>
      <c r="BB58" s="1">
        <f>AV58*$BB$4/$AV$4+4*$BB$82+4*$BB$85</f>
        <v>145.714285714285</v>
      </c>
      <c r="BC58" s="4">
        <f t="shared" si="13"/>
        <v>679.999999999999</v>
      </c>
      <c r="BD58" s="3">
        <f>VLOOKUP(D58,FEB23SOH,2,false)</f>
        <v>47.0</v>
      </c>
      <c r="BE58" s="44">
        <f>VLOOKUP(D58,UNITVALUE,4,false)</f>
        <v>2.8287</v>
      </c>
      <c r="BF58" s="44">
        <f t="shared" si="16"/>
        <v>132.9489</v>
      </c>
      <c r="BG58" s="1">
        <f>VLOOKUP(D58,ETAMAR7,2,false)</f>
        <v>1008.0</v>
      </c>
      <c r="BI58" s="6">
        <f t="shared" ref="BI58:BI81" si="177">BD58+BG58+BH58-BC58</f>
        <v>375.000000000001</v>
      </c>
      <c r="BJ58" s="1">
        <v>1008.0</v>
      </c>
      <c r="BM58" s="1">
        <f t="shared" ref="BM58:BM81" si="178">BD58</f>
        <v>47.0</v>
      </c>
      <c r="BN58" s="1">
        <f t="shared" ref="BN58:BN81" si="179">AW58</f>
        <v>84.1904761904761</v>
      </c>
      <c r="BP58" s="45">
        <f t="shared" ref="BP58:BP81" si="180">BM58+BO58-BN58</f>
        <v>-37.1904761904761</v>
      </c>
      <c r="BQ58" s="5">
        <f t="shared" ref="BQ58:BQ81" si="181">BP58*BE58</f>
        <v>-105.2006999998</v>
      </c>
      <c r="BR58" s="1">
        <f t="shared" ref="BR58:BR81" si="182">AX58</f>
        <v>105.238095238095</v>
      </c>
      <c r="BS58" s="1">
        <f t="shared" ref="BS58:BS81" si="183">BG58</f>
        <v>1008.0</v>
      </c>
      <c r="BT58" s="45">
        <f t="shared" ref="BT58:BT81" si="184">BP58+BS58-BR58</f>
        <v>865.571428571428</v>
      </c>
      <c r="BU58" s="5">
        <f t="shared" ref="BU58:BU81" si="185">BT58*BE58</f>
        <v>2448.4419</v>
      </c>
      <c r="BV58" s="1">
        <f t="shared" ref="BV58:BV81" si="186">AY58</f>
        <v>113.333333333333</v>
      </c>
      <c r="BW58" s="1">
        <f t="shared" ref="BW58:BW81" si="187">BG58</f>
        <v>1008.0</v>
      </c>
      <c r="BX58" s="45">
        <f t="shared" ref="BX58:BX81" si="188">BT58+BW58-BV58</f>
        <v>1760.23809523809</v>
      </c>
      <c r="BY58" s="5"/>
      <c r="BZ58" s="1">
        <f t="shared" ref="BZ58:BZ81" si="189">AZ58</f>
        <v>157.047619047619</v>
      </c>
      <c r="CB58" s="45">
        <f t="shared" ref="CB58:CB81" si="190">BX58+CA58-BZ58</f>
        <v>1603.19047619047</v>
      </c>
      <c r="CC58" s="5"/>
      <c r="CD58" s="1">
        <f t="shared" ref="CD58:CD81" si="191">BA58</f>
        <v>74.4761904761904</v>
      </c>
      <c r="CF58" s="45">
        <f t="shared" ref="CF58:CF81" si="192">CB58+CE58-CD58</f>
        <v>1528.71428571428</v>
      </c>
      <c r="CG58" s="5"/>
      <c r="CH58" s="1">
        <f t="shared" ref="CH58:CH81" si="193">BB58</f>
        <v>145.714285714285</v>
      </c>
      <c r="CJ58" s="45">
        <f t="shared" ref="CJ58:CJ81" si="194">CF58+CI58-CH58</f>
        <v>1383.0</v>
      </c>
      <c r="CK58" s="5"/>
    </row>
    <row r="59" ht="17.0">
      <c r="A59" s="41" t="s">
        <v>30</v>
      </c>
      <c r="B59" s="10" t="s">
        <v>138</v>
      </c>
      <c r="C59" s="56" t="s">
        <v>141</v>
      </c>
      <c r="D59" s="55" t="s">
        <v>142</v>
      </c>
      <c r="E59" s="41">
        <v>0.0</v>
      </c>
      <c r="F59" s="41">
        <v>0.0</v>
      </c>
      <c r="G59" s="41">
        <v>0.0</v>
      </c>
      <c r="H59" s="41">
        <v>0.0</v>
      </c>
      <c r="I59" s="41">
        <v>0.0</v>
      </c>
      <c r="J59" s="41">
        <v>0.0</v>
      </c>
      <c r="K59" s="41">
        <v>0.0</v>
      </c>
      <c r="L59" s="41">
        <v>0.0</v>
      </c>
      <c r="M59" s="41">
        <v>0.0</v>
      </c>
      <c r="N59" s="41">
        <v>0.0</v>
      </c>
      <c r="O59" s="41">
        <v>0.0</v>
      </c>
      <c r="P59" s="41">
        <v>0.0</v>
      </c>
      <c r="Q59" s="41">
        <v>0.0</v>
      </c>
      <c r="R59" s="41">
        <v>0.0</v>
      </c>
      <c r="S59" s="41">
        <v>0.0</v>
      </c>
      <c r="T59" s="41">
        <v>0.0</v>
      </c>
      <c r="U59" s="41">
        <v>0.0</v>
      </c>
      <c r="V59" s="41">
        <v>0.0</v>
      </c>
      <c r="W59" s="41">
        <v>28.0</v>
      </c>
      <c r="X59" s="41">
        <v>136.0</v>
      </c>
      <c r="Y59" s="41">
        <v>104.0</v>
      </c>
      <c r="Z59" s="41">
        <v>93.0</v>
      </c>
      <c r="AA59" s="41">
        <v>76.0</v>
      </c>
      <c r="AB59" s="41">
        <v>169.0</v>
      </c>
      <c r="AC59" s="41">
        <v>190.0</v>
      </c>
      <c r="AD59" s="41">
        <v>12.0</v>
      </c>
      <c r="AE59" s="41">
        <v>68.0</v>
      </c>
      <c r="AF59" s="41">
        <v>34.0</v>
      </c>
      <c r="AG59" s="41">
        <v>88.0</v>
      </c>
      <c r="AH59" s="41">
        <v>49.0</v>
      </c>
      <c r="AI59" s="41">
        <v>64.0</v>
      </c>
      <c r="AJ59" s="41">
        <v>52.0</v>
      </c>
      <c r="AK59" s="41">
        <v>44.0</v>
      </c>
      <c r="AL59" s="41">
        <v>44.0</v>
      </c>
      <c r="AM59" s="43">
        <v>44.0</v>
      </c>
      <c r="AN59" s="43">
        <v>52.0</v>
      </c>
      <c r="AO59" s="43">
        <v>144.0</v>
      </c>
      <c r="AP59" s="43">
        <v>100.0</v>
      </c>
      <c r="AQ59" s="43">
        <v>80.0</v>
      </c>
      <c r="AR59" s="43">
        <v>28.0</v>
      </c>
      <c r="AS59" s="43">
        <v>15.0</v>
      </c>
      <c r="AT59" s="4">
        <f t="shared" si="4"/>
        <v>716.0</v>
      </c>
      <c r="AU59" s="4">
        <f t="shared" si="5"/>
        <v>297.0</v>
      </c>
      <c r="AV59" s="4">
        <f t="shared" si="6"/>
        <v>326.7</v>
      </c>
      <c r="AW59" s="1">
        <f>AV59*$AW$4/$AV$4+4*$AW$83+4*$AW$85</f>
        <v>42.7142857142858</v>
      </c>
      <c r="AX59" s="1">
        <f>AV59*$AX$4/$AV$4+4*$AX$83+4*$AX$85</f>
        <v>53.3928571428571</v>
      </c>
      <c r="AY59" s="1">
        <f>AV59*$AY$4/$AV$4+4*$AY$83+4*$AY$85</f>
        <v>57.5</v>
      </c>
      <c r="AZ59" s="1">
        <f>AV59*$AZ$4/$AV$4+4*$AZ$83+4*$AZ$85</f>
        <v>79.6785714285713</v>
      </c>
      <c r="BA59" s="1">
        <f>AV59*$BA$4/$AV$4+4*$BA$83+4*$BA$85</f>
        <v>37.7857142857142</v>
      </c>
      <c r="BB59" s="1">
        <f>AV59*$BB$4/$AV$4+4*$BB$83+4*$BB$85</f>
        <v>73.9285714285713</v>
      </c>
      <c r="BC59" s="4">
        <f t="shared" si="13"/>
        <v>345.0</v>
      </c>
      <c r="BD59" s="3">
        <f>VLOOKUP(D59,FEB23SOH,2,false)</f>
        <v>4.0</v>
      </c>
      <c r="BE59" s="44">
        <f>VLOOKUP(D59,UNITVALUE,4,false)</f>
        <v>2.7</v>
      </c>
      <c r="BF59" s="44">
        <f t="shared" si="16"/>
        <v>10.8</v>
      </c>
      <c r="BI59" s="6">
        <f t="shared" si="177"/>
        <v>-341.0</v>
      </c>
      <c r="BJ59" s="1">
        <f>VLOOKUP(C59,MOQ,3,FALSE())</f>
        <v>1008.0</v>
      </c>
      <c r="BK59" s="53" t="s">
        <v>0</v>
      </c>
      <c r="BL59" s="8" t="s">
        <v>5</v>
      </c>
      <c r="BM59" s="1">
        <f t="shared" si="178"/>
        <v>4.0</v>
      </c>
      <c r="BN59" s="1">
        <f t="shared" si="179"/>
        <v>42.7142857142858</v>
      </c>
      <c r="BP59" s="45">
        <f t="shared" si="180"/>
        <v>-38.7142857142858</v>
      </c>
      <c r="BQ59" s="5">
        <f t="shared" si="181"/>
        <v>-104.528571428571</v>
      </c>
      <c r="BR59" s="1">
        <f t="shared" si="182"/>
        <v>53.3928571428571</v>
      </c>
      <c r="BS59" s="1">
        <f t="shared" si="183"/>
      </c>
      <c r="BT59" s="45">
        <f t="shared" si="184"/>
        <v>-92.1071428571429</v>
      </c>
      <c r="BU59" s="5">
        <f t="shared" si="185"/>
        <v>-248.689285714284</v>
      </c>
      <c r="BV59" s="1">
        <f t="shared" si="186"/>
        <v>57.5</v>
      </c>
      <c r="BW59" s="1">
        <f t="shared" si="187"/>
      </c>
      <c r="BX59" s="45">
        <f t="shared" si="188"/>
        <v>-149.607142857142</v>
      </c>
      <c r="BY59" s="5"/>
      <c r="BZ59" s="1">
        <f t="shared" si="189"/>
        <v>79.6785714285713</v>
      </c>
      <c r="CB59" s="45">
        <f t="shared" si="190"/>
        <v>-229.285714285713</v>
      </c>
      <c r="CC59" s="5"/>
      <c r="CD59" s="1">
        <f t="shared" si="191"/>
        <v>37.7857142857142</v>
      </c>
      <c r="CF59" s="45">
        <f t="shared" si="192"/>
        <v>-267.071428571427</v>
      </c>
      <c r="CG59" s="5"/>
      <c r="CH59" s="1">
        <f t="shared" si="193"/>
        <v>73.9285714285713</v>
      </c>
      <c r="CJ59" s="45">
        <f t="shared" si="194"/>
        <v>-340.999999999998</v>
      </c>
      <c r="CK59" s="5"/>
    </row>
    <row r="60" ht="17.0">
      <c r="A60" s="41" t="s">
        <v>30</v>
      </c>
      <c r="B60" s="41" t="s">
        <v>138</v>
      </c>
      <c r="C60" s="41" t="s">
        <v>143</v>
      </c>
      <c r="D60" s="57" t="s">
        <v>144</v>
      </c>
      <c r="E60" s="41">
        <v>0.0</v>
      </c>
      <c r="F60" s="41">
        <v>0.0</v>
      </c>
      <c r="G60" s="41">
        <v>0.0</v>
      </c>
      <c r="H60" s="41">
        <v>0.0</v>
      </c>
      <c r="I60" s="41">
        <v>0.0</v>
      </c>
      <c r="J60" s="41">
        <v>0.0</v>
      </c>
      <c r="K60" s="41">
        <v>0.0</v>
      </c>
      <c r="L60" s="41">
        <v>0.0</v>
      </c>
      <c r="M60" s="41">
        <v>0.0</v>
      </c>
      <c r="N60" s="41">
        <v>0.0</v>
      </c>
      <c r="O60" s="41">
        <v>0.0</v>
      </c>
      <c r="P60" s="41">
        <v>0.0</v>
      </c>
      <c r="Q60" s="41">
        <v>0.0</v>
      </c>
      <c r="R60" s="41">
        <v>0.0</v>
      </c>
      <c r="S60" s="41">
        <v>0.0</v>
      </c>
      <c r="T60" s="41">
        <v>0.0</v>
      </c>
      <c r="U60" s="41">
        <v>0.0</v>
      </c>
      <c r="V60" s="41">
        <v>0.0</v>
      </c>
      <c r="W60" s="41">
        <v>14.0</v>
      </c>
      <c r="X60" s="41">
        <v>100.0</v>
      </c>
      <c r="Y60" s="41">
        <v>88.0</v>
      </c>
      <c r="Z60" s="41">
        <v>100.0</v>
      </c>
      <c r="AA60" s="41">
        <v>48.0</v>
      </c>
      <c r="AB60" s="41">
        <v>74.0</v>
      </c>
      <c r="AC60" s="41">
        <v>64.0</v>
      </c>
      <c r="AD60" s="41">
        <v>48.0</v>
      </c>
      <c r="AE60" s="41">
        <v>16.0</v>
      </c>
      <c r="AF60" s="41">
        <v>32.0</v>
      </c>
      <c r="AG60" s="41">
        <v>44.0</v>
      </c>
      <c r="AH60" s="41">
        <v>49.0</v>
      </c>
      <c r="AI60" s="41">
        <v>32.0</v>
      </c>
      <c r="AJ60" s="41">
        <v>20.0</v>
      </c>
      <c r="AK60" s="41">
        <v>21.0</v>
      </c>
      <c r="AL60" s="41">
        <v>8.0</v>
      </c>
      <c r="AM60" s="43">
        <v>20.0</v>
      </c>
      <c r="AN60" s="43">
        <v>24.0</v>
      </c>
      <c r="AO60" s="43">
        <v>76.0</v>
      </c>
      <c r="AP60" s="43">
        <v>28.0</v>
      </c>
      <c r="AQ60" s="43">
        <v>12.0</v>
      </c>
      <c r="AR60" s="43">
        <v>16.0</v>
      </c>
      <c r="AS60" s="43">
        <v>24.0</v>
      </c>
      <c r="AT60" s="4">
        <f t="shared" si="4"/>
        <v>330.0</v>
      </c>
      <c r="AU60" s="4">
        <f t="shared" si="5"/>
        <v>150.0</v>
      </c>
      <c r="AV60" s="4">
        <f t="shared" si="6"/>
        <v>165.0</v>
      </c>
      <c r="AW60" s="1">
        <f>AV60*$AW$4/$AV$4+4*$AW$82</f>
        <v>20.5523809523813</v>
      </c>
      <c r="AX60" s="1">
        <f>AV60*$AX$4/$AV$4+4*$AX$82</f>
        <v>25.6904761904761</v>
      </c>
      <c r="AY60" s="1">
        <f>AV60*$AY$4/$AV$4+4*$AY$82</f>
        <v>27.6666666666667</v>
      </c>
      <c r="AZ60" s="1">
        <f>AV60*$AZ$4/$AV$4+4*$AZ$82</f>
        <v>38.3380952380951</v>
      </c>
      <c r="BA60" s="1">
        <f>AV60*$BA$4/$AV$4+4*$BA$82</f>
        <v>18.1809523809523</v>
      </c>
      <c r="BB60" s="1">
        <f>AV60*$BB$4/$AV$4+4*$BB$82</f>
        <v>35.5714285714285</v>
      </c>
      <c r="BC60" s="4">
        <f t="shared" si="13"/>
        <v>166.0</v>
      </c>
      <c r="BD60" s="3">
        <f>VLOOKUP(D60,FEB23SOH,2,false)</f>
        <v>816.0</v>
      </c>
      <c r="BE60" s="44">
        <f>VLOOKUP(D60,UNITVALUE,4,false)</f>
        <v>3.357</v>
      </c>
      <c r="BF60" s="44">
        <f t="shared" si="16"/>
        <v>2739.312</v>
      </c>
      <c r="BI60" s="6">
        <f t="shared" si="177"/>
        <v>650.0</v>
      </c>
      <c r="BJ60" s="1">
        <f>VLOOKUP(C60,MOQ,3,FALSE())</f>
        <v>1000.0</v>
      </c>
      <c r="BM60" s="1">
        <f t="shared" si="178"/>
        <v>816.0</v>
      </c>
      <c r="BN60" s="1">
        <f t="shared" si="179"/>
        <v>20.5523809523813</v>
      </c>
      <c r="BP60" s="45">
        <f t="shared" si="180"/>
        <v>795.447619047619</v>
      </c>
      <c r="BQ60" s="5">
        <f t="shared" si="181"/>
        <v>2670.31765714286</v>
      </c>
      <c r="BR60" s="1">
        <f t="shared" si="182"/>
        <v>25.6904761904761</v>
      </c>
      <c r="BS60" s="1">
        <f t="shared" si="183"/>
      </c>
      <c r="BT60" s="45">
        <f t="shared" si="184"/>
        <v>769.757142857142</v>
      </c>
      <c r="BU60" s="5">
        <f t="shared" si="185"/>
        <v>2584.07472857142</v>
      </c>
      <c r="BV60" s="1">
        <f t="shared" si="186"/>
        <v>27.6666666666667</v>
      </c>
      <c r="BW60" s="1">
        <f t="shared" si="187"/>
      </c>
      <c r="BX60" s="45">
        <f t="shared" si="188"/>
        <v>742.090476190475</v>
      </c>
      <c r="BY60" s="5">
        <f t="shared" ref="BY60:BY81" si="208">BX60*BE60</f>
        <v>2491.19772857142</v>
      </c>
      <c r="BZ60" s="1">
        <f t="shared" si="189"/>
        <v>38.3380952380951</v>
      </c>
      <c r="CB60" s="45">
        <f t="shared" si="190"/>
        <v>703.75238095238</v>
      </c>
      <c r="CC60" s="5">
        <f t="shared" ref="CC60:CC81" si="209">CB60*BE60</f>
        <v>2362.49674285714</v>
      </c>
      <c r="CD60" s="1">
        <f t="shared" si="191"/>
        <v>18.1809523809523</v>
      </c>
      <c r="CF60" s="45">
        <f t="shared" si="192"/>
        <v>685.571428571428</v>
      </c>
      <c r="CG60" s="5">
        <f t="shared" ref="CG60:CG81" si="210">CF60*BE60</f>
        <v>2301.46328571428</v>
      </c>
      <c r="CH60" s="1">
        <f t="shared" si="193"/>
        <v>35.5714285714285</v>
      </c>
      <c r="CJ60" s="45">
        <f t="shared" si="194"/>
        <v>650.0</v>
      </c>
      <c r="CK60" s="5">
        <f t="shared" ref="CK60:CK81" si="211">CJ60*BE60</f>
        <v>2182.05</v>
      </c>
    </row>
    <row r="61" ht="17.0">
      <c r="A61" s="41" t="s">
        <v>30</v>
      </c>
      <c r="B61" s="10" t="s">
        <v>138</v>
      </c>
      <c r="C61" s="41" t="s">
        <v>145</v>
      </c>
      <c r="D61" s="55" t="s">
        <v>146</v>
      </c>
      <c r="E61" s="41">
        <v>0.0</v>
      </c>
      <c r="F61" s="41">
        <v>0.0</v>
      </c>
      <c r="G61" s="41">
        <v>0.0</v>
      </c>
      <c r="H61" s="41">
        <v>0.0</v>
      </c>
      <c r="I61" s="41">
        <v>0.0</v>
      </c>
      <c r="J61" s="41">
        <v>0.0</v>
      </c>
      <c r="K61" s="41">
        <v>0.0</v>
      </c>
      <c r="L61" s="41">
        <v>0.0</v>
      </c>
      <c r="M61" s="41">
        <v>0.0</v>
      </c>
      <c r="N61" s="41">
        <v>0.0</v>
      </c>
      <c r="O61" s="41">
        <v>0.0</v>
      </c>
      <c r="P61" s="41">
        <v>0.0</v>
      </c>
      <c r="Q61" s="41">
        <v>0.0</v>
      </c>
      <c r="R61" s="41">
        <v>0.0</v>
      </c>
      <c r="S61" s="41">
        <v>0.0</v>
      </c>
      <c r="T61" s="41">
        <v>0.0</v>
      </c>
      <c r="U61" s="41">
        <v>0.0</v>
      </c>
      <c r="V61" s="41">
        <v>0.0</v>
      </c>
      <c r="W61" s="41">
        <v>20.0</v>
      </c>
      <c r="X61" s="41">
        <v>108.0</v>
      </c>
      <c r="Y61" s="41">
        <v>60.0</v>
      </c>
      <c r="Z61" s="41">
        <v>44.0</v>
      </c>
      <c r="AA61" s="41">
        <v>24.0</v>
      </c>
      <c r="AB61" s="41">
        <v>56.0</v>
      </c>
      <c r="AC61" s="41">
        <v>48.0</v>
      </c>
      <c r="AD61" s="41">
        <v>28.0</v>
      </c>
      <c r="AE61" s="41">
        <v>16.0</v>
      </c>
      <c r="AF61" s="41">
        <v>32.0</v>
      </c>
      <c r="AG61" s="41">
        <v>12.0</v>
      </c>
      <c r="AH61" s="41">
        <v>13.0</v>
      </c>
      <c r="AI61" s="41">
        <v>28.0</v>
      </c>
      <c r="AJ61" s="41">
        <v>16.0</v>
      </c>
      <c r="AK61" s="41">
        <v>4.0</v>
      </c>
      <c r="AL61" s="41">
        <v>0.0</v>
      </c>
      <c r="AM61" s="43">
        <v>8.0</v>
      </c>
      <c r="AN61" s="43">
        <v>20.0</v>
      </c>
      <c r="AO61" s="43">
        <v>84.0</v>
      </c>
      <c r="AP61" s="43">
        <v>24.0</v>
      </c>
      <c r="AQ61" s="43">
        <v>16.0</v>
      </c>
      <c r="AR61" s="43">
        <v>8.0</v>
      </c>
      <c r="AS61" s="43">
        <v>29.0</v>
      </c>
      <c r="AT61" s="4">
        <f t="shared" si="4"/>
        <v>250.0</v>
      </c>
      <c r="AU61" s="4">
        <f t="shared" si="5"/>
        <v>69.0</v>
      </c>
      <c r="AV61" s="4">
        <f t="shared" si="6"/>
        <v>75.9</v>
      </c>
      <c r="AW61" s="1">
        <f>AV61*$AW$4/$AV$4+4*$AW$83</f>
        <v>8.54285714285714</v>
      </c>
      <c r="AX61" s="1">
        <f>AV61*$AX$4/$AV$4+4*$AX$83</f>
        <v>10.6785714285714</v>
      </c>
      <c r="AY61" s="1">
        <f>AV61*$AY$4/$AV$4+4*$AY$83</f>
        <v>11.5</v>
      </c>
      <c r="AZ61" s="1">
        <f>AV61*$AZ$4/$AV$4+4*$AZ$83</f>
        <v>15.9357142857142</v>
      </c>
      <c r="BA61" s="1">
        <f>AV61*$BA$4/$AV$4+4*$BA$83</f>
        <v>7.55714285714286</v>
      </c>
      <c r="BB61" s="1">
        <f>AV61*$BB$4/$AV$4+4*$BB$83</f>
        <v>14.7857142857142</v>
      </c>
      <c r="BC61" s="4">
        <f t="shared" si="13"/>
        <v>68.9999999999998</v>
      </c>
      <c r="BD61" s="3">
        <f>VLOOKUP(D61,FEB23SOH,2,false)</f>
        <v>99.0</v>
      </c>
      <c r="BE61" s="44">
        <f>VLOOKUP(D61,UNITVALUE,4,false)</f>
        <v>3.3668</v>
      </c>
      <c r="BF61" s="44">
        <f t="shared" si="16"/>
        <v>333.3132</v>
      </c>
      <c r="BI61" s="6">
        <f t="shared" si="177"/>
        <v>30.0000000000002</v>
      </c>
      <c r="BJ61" s="1">
        <f>VLOOKUP(C61,MOQ,3,FALSE())</f>
        <v>1000.0</v>
      </c>
      <c r="BK61" s="53" t="s">
        <v>0</v>
      </c>
      <c r="BM61" s="1">
        <f t="shared" si="178"/>
        <v>99.0</v>
      </c>
      <c r="BN61" s="1">
        <f t="shared" si="179"/>
        <v>8.54285714285714</v>
      </c>
      <c r="BP61" s="45">
        <f t="shared" si="180"/>
        <v>90.4571428571429</v>
      </c>
      <c r="BQ61" s="5">
        <f t="shared" si="181"/>
        <v>304.55110857142</v>
      </c>
      <c r="BR61" s="1">
        <f t="shared" si="182"/>
        <v>10.6785714285714</v>
      </c>
      <c r="BS61" s="1">
        <f t="shared" si="183"/>
      </c>
      <c r="BT61" s="45">
        <f t="shared" si="184"/>
        <v>79.7785714285715</v>
      </c>
      <c r="BU61" s="5">
        <f t="shared" si="185"/>
        <v>268.598494285714</v>
      </c>
      <c r="BV61" s="1">
        <f t="shared" si="186"/>
        <v>11.5</v>
      </c>
      <c r="BW61" s="1">
        <f t="shared" si="187"/>
      </c>
      <c r="BX61" s="45">
        <f t="shared" si="188"/>
        <v>68.2785714285715</v>
      </c>
      <c r="BY61" s="5">
        <f t="shared" si="208"/>
        <v>229.880294285714</v>
      </c>
      <c r="BZ61" s="1">
        <f t="shared" si="189"/>
        <v>15.9357142857142</v>
      </c>
      <c r="CB61" s="45">
        <f t="shared" si="190"/>
        <v>52.3428571428573</v>
      </c>
      <c r="CC61" s="5">
        <f t="shared" si="209"/>
        <v>176.227931428571</v>
      </c>
      <c r="CD61" s="1">
        <f t="shared" si="191"/>
        <v>7.55714285714286</v>
      </c>
      <c r="CF61" s="45">
        <f t="shared" si="192"/>
        <v>44.7857142857144</v>
      </c>
      <c r="CG61" s="5">
        <f t="shared" si="210"/>
        <v>150.784542857143</v>
      </c>
      <c r="CH61" s="1">
        <f t="shared" si="193"/>
        <v>14.7857142857142</v>
      </c>
      <c r="CJ61" s="45">
        <f t="shared" si="194"/>
        <v>30.0000000000002</v>
      </c>
      <c r="CK61" s="5">
        <f t="shared" si="211"/>
        <v>101.004</v>
      </c>
    </row>
    <row r="62" ht="17.0">
      <c r="A62" s="41" t="s">
        <v>30</v>
      </c>
      <c r="B62" s="41" t="s">
        <v>138</v>
      </c>
      <c r="C62" s="41" t="s">
        <v>147</v>
      </c>
      <c r="D62" s="57" t="s">
        <v>148</v>
      </c>
      <c r="E62" s="41">
        <v>0.0</v>
      </c>
      <c r="F62" s="41">
        <v>0.0</v>
      </c>
      <c r="G62" s="41">
        <v>0.0</v>
      </c>
      <c r="H62" s="41">
        <v>0.0</v>
      </c>
      <c r="I62" s="41">
        <v>0.0</v>
      </c>
      <c r="J62" s="41">
        <v>0.0</v>
      </c>
      <c r="K62" s="41">
        <v>0.0</v>
      </c>
      <c r="L62" s="41">
        <v>0.0</v>
      </c>
      <c r="M62" s="41">
        <v>0.0</v>
      </c>
      <c r="N62" s="41">
        <v>0.0</v>
      </c>
      <c r="O62" s="41">
        <v>0.0</v>
      </c>
      <c r="P62" s="41">
        <v>0.0</v>
      </c>
      <c r="Q62" s="41">
        <v>0.0</v>
      </c>
      <c r="R62" s="41">
        <v>0.0</v>
      </c>
      <c r="S62" s="41">
        <v>0.0</v>
      </c>
      <c r="T62" s="41">
        <v>0.0</v>
      </c>
      <c r="U62" s="41">
        <v>0.0</v>
      </c>
      <c r="V62" s="41">
        <v>0.0</v>
      </c>
      <c r="W62" s="41">
        <v>10.0</v>
      </c>
      <c r="X62" s="41">
        <v>89.0</v>
      </c>
      <c r="Y62" s="41">
        <v>56.0</v>
      </c>
      <c r="Z62" s="41">
        <v>56.0</v>
      </c>
      <c r="AA62" s="41">
        <v>24.0</v>
      </c>
      <c r="AB62" s="41">
        <v>40.0</v>
      </c>
      <c r="AC62" s="41">
        <v>40.0</v>
      </c>
      <c r="AD62" s="41">
        <v>36.0</v>
      </c>
      <c r="AE62" s="41">
        <v>8.0</v>
      </c>
      <c r="AF62" s="41">
        <v>8.0</v>
      </c>
      <c r="AG62" s="41">
        <v>16.0</v>
      </c>
      <c r="AH62" s="41">
        <v>9.0</v>
      </c>
      <c r="AI62" s="41">
        <v>12.0</v>
      </c>
      <c r="AJ62" s="41">
        <v>12.0</v>
      </c>
      <c r="AK62" s="41">
        <v>4.0</v>
      </c>
      <c r="AL62" s="41">
        <v>0.0</v>
      </c>
      <c r="AM62" s="43">
        <v>8.0</v>
      </c>
      <c r="AN62" s="43">
        <v>8.0</v>
      </c>
      <c r="AO62" s="43">
        <v>100.0</v>
      </c>
      <c r="AP62" s="43">
        <v>4.0</v>
      </c>
      <c r="AQ62" s="43">
        <v>4.0</v>
      </c>
      <c r="AR62" s="43">
        <v>8.0</v>
      </c>
      <c r="AS62" s="43">
        <v>15.0</v>
      </c>
      <c r="AT62" s="4">
        <f t="shared" si="4"/>
        <v>184.0</v>
      </c>
      <c r="AU62" s="4">
        <f t="shared" si="5"/>
        <v>45.0</v>
      </c>
      <c r="AV62" s="4">
        <f t="shared" si="6"/>
        <v>49.5</v>
      </c>
      <c r="AW62" s="1">
        <f>AV62*$AW$4/$AV$4+4*$AW$82</f>
        <v>7.55238095238095</v>
      </c>
      <c r="AX62" s="1">
        <f>AV62*$AX$4/$AV$4+4*$AX$82</f>
        <v>9.44047619047611</v>
      </c>
      <c r="AY62" s="1">
        <f>AV62*$AY$4/$AV$4+4*$AY$82</f>
        <v>10.1666666666667</v>
      </c>
      <c r="AZ62" s="1">
        <f>AV62*$AZ$4/$AV$4+4*$AZ$82</f>
        <v>14.0880952380951</v>
      </c>
      <c r="BA62" s="1">
        <f>AV62*$BA$4/$AV$4+4*$BA$82</f>
        <v>6.68095238095237</v>
      </c>
      <c r="BB62" s="1">
        <f>AV62*$BB$4/$AV$4+4*$BB$82</f>
        <v>13.0714285714286</v>
      </c>
      <c r="BC62" s="4">
        <f t="shared" si="13"/>
        <v>60.9999999999998</v>
      </c>
      <c r="BD62" s="3">
        <f>VLOOKUP(D62,FEB23SOH,2,false)</f>
        <v>200.0</v>
      </c>
      <c r="BE62" s="44">
        <f>VLOOKUP(D62,UNITVALUE,4,false)</f>
        <v>1.7999</v>
      </c>
      <c r="BF62" s="44">
        <f t="shared" si="16"/>
        <v>359.98</v>
      </c>
      <c r="BI62" s="6">
        <f t="shared" si="177"/>
        <v>139.0</v>
      </c>
      <c r="BJ62" s="1">
        <f>VLOOKUP(C62,MOQ,3,FALSE())</f>
        <v>1008.0</v>
      </c>
      <c r="BM62" s="1">
        <f t="shared" si="178"/>
        <v>200.0</v>
      </c>
      <c r="BN62" s="1">
        <f t="shared" si="179"/>
        <v>7.55238095238095</v>
      </c>
      <c r="BP62" s="45">
        <f t="shared" si="180"/>
        <v>192.447619047619</v>
      </c>
      <c r="BQ62" s="5">
        <f t="shared" si="181"/>
        <v>346.386469523809</v>
      </c>
      <c r="BR62" s="1">
        <f t="shared" si="182"/>
        <v>9.44047619047611</v>
      </c>
      <c r="BS62" s="1">
        <f t="shared" si="183"/>
      </c>
      <c r="BT62" s="45">
        <f t="shared" si="184"/>
        <v>183.007142857142</v>
      </c>
      <c r="BU62" s="5">
        <f t="shared" si="185"/>
        <v>329.39455642857</v>
      </c>
      <c r="BV62" s="1">
        <f t="shared" si="186"/>
        <v>10.1666666666667</v>
      </c>
      <c r="BW62" s="1">
        <f t="shared" si="187"/>
      </c>
      <c r="BX62" s="45">
        <f t="shared" si="188"/>
        <v>172.840476190475</v>
      </c>
      <c r="BY62" s="5">
        <f t="shared" si="208"/>
        <v>311.09557309523</v>
      </c>
      <c r="BZ62" s="1">
        <f t="shared" si="189"/>
        <v>14.0880952380951</v>
      </c>
      <c r="CB62" s="45">
        <f t="shared" si="190"/>
        <v>158.75238095238</v>
      </c>
      <c r="CC62" s="5">
        <f t="shared" si="209"/>
        <v>285.738410476189</v>
      </c>
      <c r="CD62" s="1">
        <f t="shared" si="191"/>
        <v>6.68095238095237</v>
      </c>
      <c r="CF62" s="45">
        <f t="shared" si="192"/>
        <v>152.071428571428</v>
      </c>
      <c r="CG62" s="5">
        <f t="shared" si="210"/>
        <v>273.713364285713</v>
      </c>
      <c r="CH62" s="1">
        <f t="shared" si="193"/>
        <v>13.0714285714286</v>
      </c>
      <c r="CJ62" s="45">
        <f t="shared" si="194"/>
        <v>138.999999999999</v>
      </c>
      <c r="CK62" s="5">
        <f t="shared" si="211"/>
        <v>250.186099999998</v>
      </c>
    </row>
    <row r="63" ht="17.0">
      <c r="A63" s="41" t="s">
        <v>30</v>
      </c>
      <c r="B63" s="10" t="s">
        <v>138</v>
      </c>
      <c r="C63" s="41" t="s">
        <v>149</v>
      </c>
      <c r="D63" s="55" t="s">
        <v>150</v>
      </c>
      <c r="E63" s="41">
        <v>0.0</v>
      </c>
      <c r="F63" s="41">
        <v>0.0</v>
      </c>
      <c r="G63" s="41">
        <v>0.0</v>
      </c>
      <c r="H63" s="41">
        <v>0.0</v>
      </c>
      <c r="I63" s="41">
        <v>0.0</v>
      </c>
      <c r="J63" s="41">
        <v>0.0</v>
      </c>
      <c r="K63" s="41">
        <v>0.0</v>
      </c>
      <c r="L63" s="41">
        <v>0.0</v>
      </c>
      <c r="M63" s="41">
        <v>0.0</v>
      </c>
      <c r="N63" s="41">
        <v>0.0</v>
      </c>
      <c r="O63" s="41">
        <v>0.0</v>
      </c>
      <c r="P63" s="41">
        <v>0.0</v>
      </c>
      <c r="Q63" s="41">
        <v>0.0</v>
      </c>
      <c r="R63" s="41">
        <v>0.0</v>
      </c>
      <c r="S63" s="41">
        <v>0.0</v>
      </c>
      <c r="T63" s="41">
        <v>0.0</v>
      </c>
      <c r="U63" s="41">
        <v>0.0</v>
      </c>
      <c r="V63" s="41">
        <v>0.0</v>
      </c>
      <c r="W63" s="41">
        <v>14.0</v>
      </c>
      <c r="X63" s="41">
        <v>89.0</v>
      </c>
      <c r="Y63" s="41">
        <v>60.0</v>
      </c>
      <c r="Z63" s="41">
        <v>48.0</v>
      </c>
      <c r="AA63" s="41">
        <v>20.0</v>
      </c>
      <c r="AB63" s="41">
        <v>40.0</v>
      </c>
      <c r="AC63" s="41">
        <v>43.0</v>
      </c>
      <c r="AD63" s="41">
        <v>36.0</v>
      </c>
      <c r="AE63" s="41">
        <v>4.0</v>
      </c>
      <c r="AF63" s="41">
        <v>9.0</v>
      </c>
      <c r="AG63" s="41">
        <v>12.0</v>
      </c>
      <c r="AH63" s="41">
        <v>5.0</v>
      </c>
      <c r="AI63" s="41">
        <v>4.0</v>
      </c>
      <c r="AJ63" s="41">
        <v>0.0</v>
      </c>
      <c r="AK63" s="41">
        <v>8.0</v>
      </c>
      <c r="AL63" s="41">
        <v>4.0</v>
      </c>
      <c r="AM63" s="43">
        <v>0.0</v>
      </c>
      <c r="AN63" s="43">
        <v>0.0</v>
      </c>
      <c r="AO63" s="43">
        <v>84.0</v>
      </c>
      <c r="AP63" s="43">
        <v>4.0</v>
      </c>
      <c r="AQ63" s="43">
        <v>8.0</v>
      </c>
      <c r="AR63" s="43">
        <v>8.0</v>
      </c>
      <c r="AS63" s="43">
        <v>19.0</v>
      </c>
      <c r="AT63" s="4">
        <f t="shared" si="4"/>
        <v>144.0</v>
      </c>
      <c r="AU63" s="4">
        <f t="shared" si="5"/>
        <v>21.0</v>
      </c>
      <c r="AV63" s="4">
        <f t="shared" si="6"/>
        <v>23.1</v>
      </c>
      <c r="AW63" s="1">
        <f>AV63*$AW$4/$AV$4+4*$AW$83</f>
        <v>2.6</v>
      </c>
      <c r="AX63" s="1">
        <f>AV63*$AX$4/$AV$4+4*$AX$83</f>
        <v>3.25</v>
      </c>
      <c r="AY63" s="1">
        <f>AV63*$AY$4/$AV$4+4*$AY$83</f>
        <v>3.5</v>
      </c>
      <c r="AZ63" s="1">
        <f>AV63*$AZ$4/$AV$4+4*$AZ$83</f>
        <v>4.85</v>
      </c>
      <c r="BA63" s="1">
        <f>AV63*$BA$4/$AV$4+4*$BA$83</f>
        <v>2.3</v>
      </c>
      <c r="BB63" s="1">
        <f>AV63*$BB$4/$AV$4+4*$BB$83</f>
        <v>4.5</v>
      </c>
      <c r="BC63" s="4">
        <f t="shared" si="13"/>
        <v>21.0</v>
      </c>
      <c r="BD63" s="3">
        <f>VLOOKUP(D63,FEB23SOH,2,false)</f>
        <v>275.0</v>
      </c>
      <c r="BE63" s="44">
        <f>VLOOKUP(D63,UNITVALUE,4,false)</f>
        <v>1.2737</v>
      </c>
      <c r="BF63" s="44">
        <f t="shared" si="16"/>
        <v>350.2675</v>
      </c>
      <c r="BI63" s="6">
        <f t="shared" si="177"/>
        <v>254.0</v>
      </c>
      <c r="BJ63" s="1">
        <f>VLOOKUP(C63,MOQ,3,FALSE())</f>
        <v>1008.0</v>
      </c>
      <c r="BK63" s="53" t="s">
        <v>0</v>
      </c>
      <c r="BM63" s="1">
        <f t="shared" si="178"/>
        <v>275.0</v>
      </c>
      <c r="BN63" s="1">
        <f t="shared" si="179"/>
        <v>2.6</v>
      </c>
      <c r="BP63" s="45">
        <f t="shared" si="180"/>
        <v>272.4</v>
      </c>
      <c r="BQ63" s="5">
        <f t="shared" si="181"/>
        <v>346.95588</v>
      </c>
      <c r="BR63" s="1">
        <f t="shared" si="182"/>
        <v>3.25</v>
      </c>
      <c r="BS63" s="1">
        <f t="shared" si="183"/>
      </c>
      <c r="BT63" s="45">
        <f t="shared" si="184"/>
        <v>269.15</v>
      </c>
      <c r="BU63" s="5">
        <f t="shared" si="185"/>
        <v>342.816355</v>
      </c>
      <c r="BV63" s="1">
        <f t="shared" si="186"/>
        <v>3.5</v>
      </c>
      <c r="BW63" s="1">
        <f t="shared" si="187"/>
      </c>
      <c r="BX63" s="45">
        <f t="shared" si="188"/>
        <v>265.65</v>
      </c>
      <c r="BY63" s="5">
        <f t="shared" si="208"/>
        <v>338.358405</v>
      </c>
      <c r="BZ63" s="1">
        <f t="shared" si="189"/>
        <v>4.85</v>
      </c>
      <c r="CB63" s="45">
        <f t="shared" si="190"/>
        <v>260.8</v>
      </c>
      <c r="CC63" s="5">
        <f t="shared" si="209"/>
        <v>332.18096</v>
      </c>
      <c r="CD63" s="1">
        <f t="shared" si="191"/>
        <v>2.3</v>
      </c>
      <c r="CF63" s="45">
        <f t="shared" si="192"/>
        <v>258.5</v>
      </c>
      <c r="CG63" s="5">
        <f t="shared" si="210"/>
        <v>329.25145</v>
      </c>
      <c r="CH63" s="1">
        <f t="shared" si="193"/>
        <v>4.5</v>
      </c>
      <c r="CJ63" s="45">
        <f t="shared" si="194"/>
        <v>254.0</v>
      </c>
      <c r="CK63" s="5">
        <f t="shared" si="211"/>
        <v>323.5198</v>
      </c>
    </row>
    <row r="64" ht="17.0">
      <c r="A64" s="41" t="s">
        <v>30</v>
      </c>
      <c r="B64" s="10" t="s">
        <v>138</v>
      </c>
      <c r="C64" s="41" t="s">
        <v>151</v>
      </c>
      <c r="D64" s="58" t="s">
        <v>152</v>
      </c>
      <c r="E64" s="41">
        <v>0.0</v>
      </c>
      <c r="F64" s="41">
        <v>0.0</v>
      </c>
      <c r="G64" s="41">
        <v>0.0</v>
      </c>
      <c r="H64" s="41">
        <v>0.0</v>
      </c>
      <c r="I64" s="41">
        <v>0.0</v>
      </c>
      <c r="J64" s="41">
        <v>0.0</v>
      </c>
      <c r="K64" s="41">
        <v>0.0</v>
      </c>
      <c r="L64" s="41">
        <v>0.0</v>
      </c>
      <c r="M64" s="41">
        <v>0.0</v>
      </c>
      <c r="N64" s="41">
        <v>0.0</v>
      </c>
      <c r="O64" s="41">
        <v>0.0</v>
      </c>
      <c r="P64" s="41">
        <v>0.0</v>
      </c>
      <c r="Q64" s="41">
        <v>0.0</v>
      </c>
      <c r="R64" s="41">
        <v>0.0</v>
      </c>
      <c r="S64" s="41">
        <v>0.0</v>
      </c>
      <c r="T64" s="41">
        <v>0.0</v>
      </c>
      <c r="U64" s="41">
        <v>0.0</v>
      </c>
      <c r="V64" s="41">
        <v>0.0</v>
      </c>
      <c r="W64" s="41">
        <v>0.0</v>
      </c>
      <c r="X64" s="41">
        <v>0.0</v>
      </c>
      <c r="Y64" s="41">
        <v>0.0</v>
      </c>
      <c r="Z64" s="41">
        <v>0.0</v>
      </c>
      <c r="AA64" s="41">
        <v>0.0</v>
      </c>
      <c r="AB64" s="41">
        <v>0.0</v>
      </c>
      <c r="AC64" s="41">
        <v>0.0</v>
      </c>
      <c r="AD64" s="41">
        <v>0.0</v>
      </c>
      <c r="AE64" s="41">
        <v>0.0</v>
      </c>
      <c r="AF64" s="41">
        <v>69.0</v>
      </c>
      <c r="AG64" s="41">
        <v>132.0</v>
      </c>
      <c r="AH64" s="41">
        <v>72.0</v>
      </c>
      <c r="AI64" s="41">
        <v>52.0</v>
      </c>
      <c r="AJ64" s="41">
        <v>64.0</v>
      </c>
      <c r="AK64" s="41">
        <v>24.0</v>
      </c>
      <c r="AL64" s="41">
        <v>32.0</v>
      </c>
      <c r="AM64" s="43">
        <v>56.0</v>
      </c>
      <c r="AN64" s="43">
        <v>68.0</v>
      </c>
      <c r="AO64" s="43">
        <v>92.0</v>
      </c>
      <c r="AP64" s="43">
        <v>124.0</v>
      </c>
      <c r="AQ64" s="43">
        <v>86.0</v>
      </c>
      <c r="AR64" s="43">
        <v>48.0</v>
      </c>
      <c r="AS64" s="43">
        <v>68.0</v>
      </c>
      <c r="AT64" s="4">
        <f t="shared" si="4"/>
        <v>786.0</v>
      </c>
      <c r="AU64" s="4">
        <f t="shared" si="5"/>
        <v>300.0</v>
      </c>
      <c r="AV64" s="4">
        <f t="shared" si="6"/>
        <v>330.0</v>
      </c>
      <c r="AW64" s="1">
        <f t="shared" ref="AW64:AW65" si="230">AV64*$AW$4/$AV$4+4*$AW$84</f>
        <v>45.5619047619047</v>
      </c>
      <c r="AX64" s="1">
        <f t="shared" ref="AX64:AX65" si="231">AV64*$AX$4/$AV$4+4*$AX$84</f>
        <v>56.9523809523809</v>
      </c>
      <c r="AY64" s="1">
        <f t="shared" ref="AY64:AY65" si="232">AV64*$AY$4/$AV$4+4*$AY$84</f>
        <v>61.3333333333333</v>
      </c>
      <c r="AZ64" s="1">
        <f t="shared" ref="AZ64:AZ65" si="233">AV64*$AZ$4/$AV$4+4*$AZ$84</f>
        <v>84.9904761904761</v>
      </c>
      <c r="BA64" s="1">
        <f t="shared" ref="BA64:BA65" si="234">AV64*$BA$4/$AV$4+4*$BA$84</f>
        <v>40.3047619047619</v>
      </c>
      <c r="BB64" s="1">
        <f t="shared" ref="BB64:BB65" si="235">AV64*$BB$4/$AV$4+4*$BB$84</f>
        <v>78.8571428571428</v>
      </c>
      <c r="BC64" s="4">
        <f t="shared" si="13"/>
        <v>368.0</v>
      </c>
      <c r="BD64" s="3">
        <f>VLOOKUP(D64,FEB23SOH,2,false)</f>
        <v>861.0</v>
      </c>
      <c r="BE64" s="44">
        <f>VLOOKUP(D64,UNITVALUE,4,false)</f>
        <v>2.8299</v>
      </c>
      <c r="BF64" s="44">
        <f t="shared" si="16"/>
        <v>2436.5439</v>
      </c>
      <c r="BI64" s="6">
        <f t="shared" si="177"/>
        <v>493.0</v>
      </c>
      <c r="BJ64" s="1">
        <v>1008.0</v>
      </c>
      <c r="BK64" s="53" t="s">
        <v>0</v>
      </c>
      <c r="BM64" s="1">
        <f t="shared" si="178"/>
        <v>861.0</v>
      </c>
      <c r="BN64" s="1">
        <f t="shared" si="179"/>
        <v>45.5619047619047</v>
      </c>
      <c r="BP64" s="45">
        <f t="shared" si="180"/>
        <v>815.438095238095</v>
      </c>
      <c r="BQ64" s="5">
        <f t="shared" si="181"/>
        <v>2307.60826571429</v>
      </c>
      <c r="BR64" s="1">
        <f t="shared" si="182"/>
        <v>56.9523809523809</v>
      </c>
      <c r="BS64" s="1">
        <f t="shared" si="183"/>
      </c>
      <c r="BT64" s="45">
        <f t="shared" si="184"/>
        <v>758.485714285714</v>
      </c>
      <c r="BU64" s="5">
        <f t="shared" si="185"/>
        <v>2146.43872285714</v>
      </c>
      <c r="BV64" s="1">
        <f t="shared" si="186"/>
        <v>61.3333333333333</v>
      </c>
      <c r="BW64" s="1">
        <f t="shared" si="187"/>
      </c>
      <c r="BX64" s="45">
        <f t="shared" si="188"/>
        <v>697.15238095238</v>
      </c>
      <c r="BY64" s="5">
        <f t="shared" si="208"/>
        <v>1972.87152285714</v>
      </c>
      <c r="BZ64" s="1">
        <f t="shared" si="189"/>
        <v>84.9904761904761</v>
      </c>
      <c r="CB64" s="45">
        <f t="shared" si="190"/>
        <v>612.161904761903</v>
      </c>
      <c r="CC64" s="5">
        <f t="shared" si="209"/>
        <v>1732.3569742857</v>
      </c>
      <c r="CD64" s="1">
        <f t="shared" si="191"/>
        <v>40.3047619047619</v>
      </c>
      <c r="CF64" s="45">
        <f t="shared" si="192"/>
        <v>571.857142857141</v>
      </c>
      <c r="CG64" s="5">
        <f t="shared" si="210"/>
        <v>1618.29852857142</v>
      </c>
      <c r="CH64" s="1">
        <f t="shared" si="193"/>
        <v>78.8571428571428</v>
      </c>
      <c r="CJ64" s="45">
        <f t="shared" si="194"/>
        <v>492.999999999998</v>
      </c>
      <c r="CK64" s="5">
        <f t="shared" si="211"/>
        <v>1395.14069999999</v>
      </c>
    </row>
    <row r="65" ht="17.0">
      <c r="A65" s="41" t="s">
        <v>30</v>
      </c>
      <c r="B65" s="10" t="s">
        <v>138</v>
      </c>
      <c r="C65" s="41" t="s">
        <v>153</v>
      </c>
      <c r="D65" s="58" t="s">
        <v>154</v>
      </c>
      <c r="E65" s="41">
        <v>0.0</v>
      </c>
      <c r="F65" s="41">
        <v>0.0</v>
      </c>
      <c r="G65" s="41">
        <v>0.0</v>
      </c>
      <c r="H65" s="41">
        <v>0.0</v>
      </c>
      <c r="I65" s="41">
        <v>0.0</v>
      </c>
      <c r="J65" s="41">
        <v>0.0</v>
      </c>
      <c r="K65" s="41">
        <v>0.0</v>
      </c>
      <c r="L65" s="41">
        <v>0.0</v>
      </c>
      <c r="M65" s="41">
        <v>0.0</v>
      </c>
      <c r="N65" s="41">
        <v>0.0</v>
      </c>
      <c r="O65" s="41">
        <v>0.0</v>
      </c>
      <c r="P65" s="41">
        <v>0.0</v>
      </c>
      <c r="Q65" s="41">
        <v>0.0</v>
      </c>
      <c r="R65" s="41">
        <v>0.0</v>
      </c>
      <c r="S65" s="41">
        <v>0.0</v>
      </c>
      <c r="T65" s="41">
        <v>0.0</v>
      </c>
      <c r="U65" s="41">
        <v>0.0</v>
      </c>
      <c r="V65" s="41">
        <v>0.0</v>
      </c>
      <c r="W65" s="41">
        <v>0.0</v>
      </c>
      <c r="X65" s="41">
        <v>0.0</v>
      </c>
      <c r="Y65" s="41">
        <v>0.0</v>
      </c>
      <c r="Z65" s="41">
        <v>0.0</v>
      </c>
      <c r="AA65" s="41">
        <v>0.0</v>
      </c>
      <c r="AB65" s="41">
        <v>0.0</v>
      </c>
      <c r="AC65" s="41">
        <v>0.0</v>
      </c>
      <c r="AD65" s="41">
        <v>0.0</v>
      </c>
      <c r="AE65" s="41">
        <v>0.0</v>
      </c>
      <c r="AF65" s="41">
        <v>81.0</v>
      </c>
      <c r="AG65" s="41">
        <v>152.0</v>
      </c>
      <c r="AH65" s="41">
        <v>64.0</v>
      </c>
      <c r="AI65" s="41">
        <v>36.0</v>
      </c>
      <c r="AJ65" s="41">
        <v>40.0</v>
      </c>
      <c r="AK65" s="41">
        <v>28.0</v>
      </c>
      <c r="AL65" s="41">
        <v>40.0</v>
      </c>
      <c r="AM65" s="43">
        <v>36.0</v>
      </c>
      <c r="AN65" s="43">
        <v>40.0</v>
      </c>
      <c r="AO65" s="43">
        <v>60.0</v>
      </c>
      <c r="AP65" s="43">
        <v>96.0</v>
      </c>
      <c r="AQ65" s="43">
        <v>96.0</v>
      </c>
      <c r="AR65" s="43">
        <v>60.0</v>
      </c>
      <c r="AS65" s="43">
        <v>49.0</v>
      </c>
      <c r="AT65" s="4">
        <f t="shared" si="4"/>
        <v>645.0</v>
      </c>
      <c r="AU65" s="4">
        <f t="shared" si="5"/>
        <v>244.0</v>
      </c>
      <c r="AV65" s="4">
        <f t="shared" si="6"/>
        <v>268.4</v>
      </c>
      <c r="AW65" s="1">
        <f t="shared" si="230"/>
        <v>38.6285714285714</v>
      </c>
      <c r="AX65" s="1">
        <f t="shared" si="231"/>
        <v>48.2857142857143</v>
      </c>
      <c r="AY65" s="1">
        <f t="shared" si="232"/>
        <v>52.0</v>
      </c>
      <c r="AZ65" s="1">
        <f t="shared" si="233"/>
        <v>72.057142857142</v>
      </c>
      <c r="BA65" s="1">
        <f t="shared" si="234"/>
        <v>34.1714285714285</v>
      </c>
      <c r="BB65" s="1">
        <f t="shared" si="235"/>
        <v>66.8571428571428</v>
      </c>
      <c r="BC65" s="4">
        <f t="shared" si="13"/>
        <v>311.999999999999</v>
      </c>
      <c r="BD65" s="3">
        <f>VLOOKUP(D65,FEB23SOH,2,false)</f>
        <v>965.0</v>
      </c>
      <c r="BE65" s="44">
        <f>VLOOKUP(D65,UNITVALUE,4,false)</f>
        <v>2.8299</v>
      </c>
      <c r="BF65" s="44">
        <f t="shared" si="16"/>
        <v>2730.8535</v>
      </c>
      <c r="BI65" s="6">
        <f t="shared" si="177"/>
        <v>653.000000000001</v>
      </c>
      <c r="BJ65" s="1">
        <v>1008.0</v>
      </c>
      <c r="BK65" s="53" t="s">
        <v>0</v>
      </c>
      <c r="BM65" s="1">
        <f t="shared" si="178"/>
        <v>965.0</v>
      </c>
      <c r="BN65" s="1">
        <f t="shared" si="179"/>
        <v>38.6285714285714</v>
      </c>
      <c r="BP65" s="45">
        <f t="shared" si="180"/>
        <v>926.37142857142</v>
      </c>
      <c r="BQ65" s="5">
        <f t="shared" si="181"/>
        <v>2621.53850571426</v>
      </c>
      <c r="BR65" s="1">
        <f t="shared" si="182"/>
        <v>48.2857142857143</v>
      </c>
      <c r="BS65" s="1">
        <f t="shared" si="183"/>
      </c>
      <c r="BT65" s="45">
        <f t="shared" si="184"/>
        <v>878.085714285706</v>
      </c>
      <c r="BU65" s="5">
        <f t="shared" si="185"/>
        <v>2484.89476285711</v>
      </c>
      <c r="BV65" s="1">
        <f t="shared" si="186"/>
        <v>52.0</v>
      </c>
      <c r="BW65" s="1">
        <f t="shared" si="187"/>
      </c>
      <c r="BX65" s="45">
        <f t="shared" si="188"/>
        <v>826.085714285706</v>
      </c>
      <c r="BY65" s="5">
        <f t="shared" si="208"/>
        <v>2337.73996285711</v>
      </c>
      <c r="BZ65" s="1">
        <f t="shared" si="189"/>
        <v>72.057142857142</v>
      </c>
      <c r="CB65" s="45">
        <f t="shared" si="190"/>
        <v>754.028571428564</v>
      </c>
      <c r="CC65" s="5">
        <f t="shared" si="209"/>
        <v>2133.82545428569</v>
      </c>
      <c r="CD65" s="1">
        <f t="shared" si="191"/>
        <v>34.1714285714285</v>
      </c>
      <c r="CF65" s="45">
        <f t="shared" si="192"/>
        <v>719.85714285713</v>
      </c>
      <c r="CG65" s="5">
        <f t="shared" si="210"/>
        <v>2037.12372857139</v>
      </c>
      <c r="CH65" s="1">
        <f t="shared" si="193"/>
        <v>66.8571428571428</v>
      </c>
      <c r="CJ65" s="45">
        <f t="shared" si="194"/>
        <v>652.999999999987</v>
      </c>
      <c r="CK65" s="5">
        <f t="shared" si="211"/>
        <v>1847.92469999996</v>
      </c>
    </row>
    <row r="66" ht="17.0">
      <c r="A66" s="41" t="s">
        <v>30</v>
      </c>
      <c r="B66" s="41" t="s">
        <v>138</v>
      </c>
      <c r="C66" s="56" t="s">
        <v>155</v>
      </c>
      <c r="D66" s="57" t="s">
        <v>156</v>
      </c>
      <c r="E66" s="41">
        <v>0.0</v>
      </c>
      <c r="F66" s="41">
        <v>0.0</v>
      </c>
      <c r="G66" s="41">
        <v>0.0</v>
      </c>
      <c r="H66" s="41">
        <v>0.0</v>
      </c>
      <c r="I66" s="41">
        <v>0.0</v>
      </c>
      <c r="J66" s="41">
        <v>0.0</v>
      </c>
      <c r="K66" s="41">
        <v>0.0</v>
      </c>
      <c r="L66" s="41">
        <v>0.0</v>
      </c>
      <c r="M66" s="41">
        <v>0.0</v>
      </c>
      <c r="N66" s="41">
        <v>0.0</v>
      </c>
      <c r="O66" s="41">
        <v>0.0</v>
      </c>
      <c r="P66" s="41">
        <v>0.0</v>
      </c>
      <c r="Q66" s="41">
        <v>0.0</v>
      </c>
      <c r="R66" s="41">
        <v>0.0</v>
      </c>
      <c r="S66" s="41">
        <v>0.0</v>
      </c>
      <c r="T66" s="41">
        <v>0.0</v>
      </c>
      <c r="U66" s="41">
        <v>0.0</v>
      </c>
      <c r="V66" s="41">
        <v>0.0</v>
      </c>
      <c r="W66" s="41">
        <v>0.0</v>
      </c>
      <c r="X66" s="41">
        <v>0.0</v>
      </c>
      <c r="Y66" s="41">
        <v>0.0</v>
      </c>
      <c r="Z66" s="41">
        <v>0.0</v>
      </c>
      <c r="AA66" s="41">
        <v>0.0</v>
      </c>
      <c r="AB66" s="41">
        <v>0.0</v>
      </c>
      <c r="AC66" s="41">
        <v>0.0</v>
      </c>
      <c r="AD66" s="41">
        <v>0.0</v>
      </c>
      <c r="AE66" s="41">
        <v>0.0</v>
      </c>
      <c r="AF66" s="41">
        <v>53.0</v>
      </c>
      <c r="AG66" s="41">
        <v>91.0</v>
      </c>
      <c r="AH66" s="41">
        <v>33.0</v>
      </c>
      <c r="AI66" s="41">
        <v>32.0</v>
      </c>
      <c r="AJ66" s="41">
        <v>12.0</v>
      </c>
      <c r="AK66" s="41">
        <v>17.0</v>
      </c>
      <c r="AL66" s="41">
        <v>0.0</v>
      </c>
      <c r="AM66" s="43">
        <v>4.0</v>
      </c>
      <c r="AN66" s="43">
        <v>4.0</v>
      </c>
      <c r="AO66" s="43">
        <v>88.0</v>
      </c>
      <c r="AP66" s="43">
        <v>24.0</v>
      </c>
      <c r="AQ66" s="43">
        <v>28.0</v>
      </c>
      <c r="AR66" s="43">
        <v>20.0</v>
      </c>
      <c r="AS66" s="43">
        <v>19.0</v>
      </c>
      <c r="AT66" s="4">
        <f t="shared" si="4"/>
        <v>281.0</v>
      </c>
      <c r="AU66" s="4">
        <f t="shared" si="5"/>
        <v>98.0</v>
      </c>
      <c r="AV66" s="4">
        <f t="shared" si="6"/>
        <v>107.8</v>
      </c>
      <c r="AW66" s="1">
        <f>AV66*$AW$4/$AV$4+4*$AW$82</f>
        <v>14.1142857142857</v>
      </c>
      <c r="AX66" s="1">
        <f>AV66*$AX$4/$AV$4+4*$AX$82</f>
        <v>17.6428571428571</v>
      </c>
      <c r="AY66" s="1">
        <f>AV66*$AY$4/$AV$4+4*$AY$82</f>
        <v>19.0</v>
      </c>
      <c r="AZ66" s="1">
        <f>AV66*$AZ$4/$AV$4+4*$AZ$82</f>
        <v>26.3285714285713</v>
      </c>
      <c r="BA66" s="1">
        <f>AV66*$BA$4/$AV$4+4*$BA$82</f>
        <v>12.4857142857142</v>
      </c>
      <c r="BB66" s="1">
        <f>AV66*$BB$4/$AV$4+4*$BB$82</f>
        <v>24.4285714285714</v>
      </c>
      <c r="BC66" s="4">
        <f t="shared" si="13"/>
        <v>114.0</v>
      </c>
      <c r="BD66" s="3">
        <f>VLOOKUP(D66,FEB23SOH,2,false)</f>
        <v>445.0</v>
      </c>
      <c r="BE66" s="44">
        <f>VLOOKUP(D66,UNITVALUE,4,false)</f>
        <v>2.5852</v>
      </c>
      <c r="BF66" s="44">
        <f t="shared" si="16"/>
        <v>1150.414</v>
      </c>
      <c r="BI66" s="6">
        <f t="shared" si="177"/>
        <v>331.0</v>
      </c>
      <c r="BJ66" s="1">
        <v>1008.0</v>
      </c>
      <c r="BM66" s="1">
        <f t="shared" si="178"/>
        <v>445.0</v>
      </c>
      <c r="BN66" s="1">
        <f t="shared" si="179"/>
        <v>14.1142857142857</v>
      </c>
      <c r="BP66" s="45">
        <f t="shared" si="180"/>
        <v>430.885714285714</v>
      </c>
      <c r="BQ66" s="5">
        <f t="shared" si="181"/>
        <v>1113.92574857142</v>
      </c>
      <c r="BR66" s="1">
        <f t="shared" si="182"/>
        <v>17.6428571428571</v>
      </c>
      <c r="BS66" s="1">
        <f t="shared" si="183"/>
      </c>
      <c r="BT66" s="45">
        <f t="shared" si="184"/>
        <v>413.242857142857</v>
      </c>
      <c r="BU66" s="5">
        <f t="shared" si="185"/>
        <v>1068.31543428571</v>
      </c>
      <c r="BV66" s="1">
        <f t="shared" si="186"/>
        <v>19.0</v>
      </c>
      <c r="BW66" s="1">
        <f t="shared" si="187"/>
      </c>
      <c r="BX66" s="45">
        <f t="shared" si="188"/>
        <v>394.242857142857</v>
      </c>
      <c r="BY66" s="5">
        <f t="shared" si="208"/>
        <v>1019.19663428571</v>
      </c>
      <c r="BZ66" s="1">
        <f t="shared" si="189"/>
        <v>26.3285714285713</v>
      </c>
      <c r="CB66" s="45">
        <f t="shared" si="190"/>
        <v>367.914285714286</v>
      </c>
      <c r="CC66" s="5">
        <f t="shared" si="209"/>
        <v>951.132011428572</v>
      </c>
      <c r="CD66" s="1">
        <f t="shared" si="191"/>
        <v>12.4857142857142</v>
      </c>
      <c r="CF66" s="45">
        <f t="shared" si="192"/>
        <v>355.428571428571</v>
      </c>
      <c r="CG66" s="5">
        <f t="shared" si="210"/>
        <v>918.853942857141</v>
      </c>
      <c r="CH66" s="1">
        <f t="shared" si="193"/>
        <v>24.4285714285714</v>
      </c>
      <c r="CJ66" s="45">
        <f t="shared" si="194"/>
        <v>331.0</v>
      </c>
      <c r="CK66" s="5">
        <f t="shared" si="211"/>
        <v>855.7012</v>
      </c>
    </row>
    <row r="67" ht="17.0">
      <c r="A67" s="41" t="s">
        <v>30</v>
      </c>
      <c r="B67" s="10" t="s">
        <v>138</v>
      </c>
      <c r="C67" s="56" t="s">
        <v>157</v>
      </c>
      <c r="D67" s="55" t="s">
        <v>158</v>
      </c>
      <c r="E67" s="41">
        <v>0.0</v>
      </c>
      <c r="F67" s="41">
        <v>0.0</v>
      </c>
      <c r="G67" s="41">
        <v>0.0</v>
      </c>
      <c r="H67" s="41">
        <v>0.0</v>
      </c>
      <c r="I67" s="41">
        <v>0.0</v>
      </c>
      <c r="J67" s="41">
        <v>0.0</v>
      </c>
      <c r="K67" s="41">
        <v>0.0</v>
      </c>
      <c r="L67" s="41">
        <v>0.0</v>
      </c>
      <c r="M67" s="41">
        <v>0.0</v>
      </c>
      <c r="N67" s="41">
        <v>0.0</v>
      </c>
      <c r="O67" s="41">
        <v>0.0</v>
      </c>
      <c r="P67" s="41">
        <v>0.0</v>
      </c>
      <c r="Q67" s="41">
        <v>0.0</v>
      </c>
      <c r="R67" s="41">
        <v>0.0</v>
      </c>
      <c r="S67" s="41">
        <v>0.0</v>
      </c>
      <c r="T67" s="41">
        <v>0.0</v>
      </c>
      <c r="U67" s="41">
        <v>0.0</v>
      </c>
      <c r="V67" s="41">
        <v>0.0</v>
      </c>
      <c r="W67" s="41">
        <v>0.0</v>
      </c>
      <c r="X67" s="41">
        <v>0.0</v>
      </c>
      <c r="Y67" s="41">
        <v>0.0</v>
      </c>
      <c r="Z67" s="41">
        <v>0.0</v>
      </c>
      <c r="AA67" s="41">
        <v>0.0</v>
      </c>
      <c r="AB67" s="41">
        <v>0.0</v>
      </c>
      <c r="AC67" s="41">
        <v>0.0</v>
      </c>
      <c r="AD67" s="41">
        <v>0.0</v>
      </c>
      <c r="AE67" s="41">
        <v>0.0</v>
      </c>
      <c r="AF67" s="41">
        <v>37.0</v>
      </c>
      <c r="AG67" s="41">
        <v>40.0</v>
      </c>
      <c r="AH67" s="41">
        <v>13.0</v>
      </c>
      <c r="AI67" s="41">
        <v>16.0</v>
      </c>
      <c r="AJ67" s="41">
        <v>4.0</v>
      </c>
      <c r="AK67" s="41">
        <v>4.0</v>
      </c>
      <c r="AL67" s="41">
        <v>0.0</v>
      </c>
      <c r="AM67" s="43">
        <v>4.0</v>
      </c>
      <c r="AN67" s="43">
        <v>12.0</v>
      </c>
      <c r="AO67" s="43">
        <v>76.0</v>
      </c>
      <c r="AP67" s="43">
        <v>28.0</v>
      </c>
      <c r="AQ67" s="43">
        <v>36.0</v>
      </c>
      <c r="AR67" s="43">
        <v>4.0</v>
      </c>
      <c r="AS67" s="43">
        <v>15.0</v>
      </c>
      <c r="AT67" s="4">
        <f t="shared" si="4"/>
        <v>212.0</v>
      </c>
      <c r="AU67" s="4">
        <f t="shared" si="5"/>
        <v>41.0</v>
      </c>
      <c r="AV67" s="4">
        <f t="shared" si="6"/>
        <v>45.1</v>
      </c>
      <c r="AW67" s="1">
        <f>AV67*$AW$4/$AV$4+4*$AW$83+4*$AW$85</f>
        <v>11.0190476190476</v>
      </c>
      <c r="AX67" s="1">
        <f>AV67*$AX$4/$AV$4+4*$AX$83+4*$AX$85</f>
        <v>13.7738095238094</v>
      </c>
      <c r="AY67" s="1">
        <f>AV67*$AY$4/$AV$4+4*$AY$83+4*$AY$85</f>
        <v>14.8333333333333</v>
      </c>
      <c r="AZ67" s="1">
        <f>AV67*$AZ$4/$AV$4+4*$AZ$83+4*$AZ$85</f>
        <v>20.5547619047618</v>
      </c>
      <c r="BA67" s="1">
        <f>AV67*$BA$4/$AV$4+4*$BA$83+4*$BA$85</f>
        <v>9.74761904761902</v>
      </c>
      <c r="BB67" s="1">
        <f>AV67*$BB$4/$AV$4+4*$BB$83+4*$BB$85</f>
        <v>19.0714285714284</v>
      </c>
      <c r="BC67" s="4">
        <f t="shared" si="13"/>
        <v>88.9999999999995</v>
      </c>
      <c r="BD67" s="3">
        <f>VLOOKUP(D67,FEB23SOH,2,false)</f>
        <v>610.0</v>
      </c>
      <c r="BE67" s="44">
        <f>VLOOKUP(D67,UNITVALUE,4,false)</f>
        <v>2.5858</v>
      </c>
      <c r="BF67" s="44">
        <f t="shared" si="16"/>
        <v>1577.338</v>
      </c>
      <c r="BI67" s="6">
        <f t="shared" si="177"/>
        <v>521.0</v>
      </c>
      <c r="BJ67" s="1">
        <v>1008.0</v>
      </c>
      <c r="BK67" s="53" t="s">
        <v>0</v>
      </c>
      <c r="BM67" s="1">
        <f t="shared" si="178"/>
        <v>610.0</v>
      </c>
      <c r="BN67" s="1">
        <f t="shared" si="179"/>
        <v>11.0190476190476</v>
      </c>
      <c r="BP67" s="45">
        <f t="shared" si="180"/>
        <v>598.980952380952</v>
      </c>
      <c r="BQ67" s="5">
        <f t="shared" si="181"/>
        <v>1548.84494666667</v>
      </c>
      <c r="BR67" s="1">
        <f t="shared" si="182"/>
        <v>13.7738095238094</v>
      </c>
      <c r="BS67" s="1">
        <f t="shared" si="183"/>
      </c>
      <c r="BT67" s="45">
        <f t="shared" si="184"/>
        <v>585.207142857142</v>
      </c>
      <c r="BU67" s="5">
        <f t="shared" si="185"/>
        <v>1513.22863</v>
      </c>
      <c r="BV67" s="1">
        <f t="shared" si="186"/>
        <v>14.8333333333333</v>
      </c>
      <c r="BW67" s="1">
        <f t="shared" si="187"/>
      </c>
      <c r="BX67" s="45">
        <f t="shared" si="188"/>
        <v>570.373809523809</v>
      </c>
      <c r="BY67" s="5">
        <f t="shared" si="208"/>
        <v>1474.87259666667</v>
      </c>
      <c r="BZ67" s="1">
        <f t="shared" si="189"/>
        <v>20.5547619047618</v>
      </c>
      <c r="CB67" s="45">
        <f t="shared" si="190"/>
        <v>549.819047619047</v>
      </c>
      <c r="CC67" s="5">
        <f t="shared" si="209"/>
        <v>1421.72209333333</v>
      </c>
      <c r="CD67" s="1">
        <f t="shared" si="191"/>
        <v>9.74761904761902</v>
      </c>
      <c r="CF67" s="45">
        <f t="shared" si="192"/>
        <v>540.071428571428</v>
      </c>
      <c r="CG67" s="5">
        <f t="shared" si="210"/>
        <v>1396.5167</v>
      </c>
      <c r="CH67" s="1">
        <f t="shared" si="193"/>
        <v>19.0714285714284</v>
      </c>
      <c r="CJ67" s="45">
        <f t="shared" si="194"/>
        <v>521.0</v>
      </c>
      <c r="CK67" s="5">
        <f t="shared" si="211"/>
        <v>1347.2018</v>
      </c>
    </row>
    <row r="68" ht="17.0">
      <c r="A68" s="41" t="s">
        <v>30</v>
      </c>
      <c r="B68" s="10" t="s">
        <v>138</v>
      </c>
      <c r="C68" s="41" t="s">
        <v>159</v>
      </c>
      <c r="D68" s="58" t="s">
        <v>160</v>
      </c>
      <c r="E68" s="41">
        <v>0.0</v>
      </c>
      <c r="F68" s="41">
        <v>0.0</v>
      </c>
      <c r="G68" s="41">
        <v>0.0</v>
      </c>
      <c r="H68" s="41">
        <v>0.0</v>
      </c>
      <c r="I68" s="41">
        <v>0.0</v>
      </c>
      <c r="J68" s="41">
        <v>0.0</v>
      </c>
      <c r="K68" s="41">
        <v>0.0</v>
      </c>
      <c r="L68" s="41">
        <v>0.0</v>
      </c>
      <c r="M68" s="41">
        <v>0.0</v>
      </c>
      <c r="N68" s="41">
        <v>0.0</v>
      </c>
      <c r="O68" s="41">
        <v>0.0</v>
      </c>
      <c r="P68" s="41">
        <v>0.0</v>
      </c>
      <c r="Q68" s="41">
        <v>0.0</v>
      </c>
      <c r="R68" s="41">
        <v>0.0</v>
      </c>
      <c r="S68" s="41">
        <v>0.0</v>
      </c>
      <c r="T68" s="41">
        <v>0.0</v>
      </c>
      <c r="U68" s="41">
        <v>0.0</v>
      </c>
      <c r="V68" s="41">
        <v>0.0</v>
      </c>
      <c r="W68" s="41">
        <v>0.0</v>
      </c>
      <c r="X68" s="41">
        <v>0.0</v>
      </c>
      <c r="Y68" s="41">
        <v>0.0</v>
      </c>
      <c r="Z68" s="41">
        <v>0.0</v>
      </c>
      <c r="AA68" s="41">
        <v>0.0</v>
      </c>
      <c r="AB68" s="41">
        <v>0.0</v>
      </c>
      <c r="AC68" s="41">
        <v>0.0</v>
      </c>
      <c r="AD68" s="41">
        <v>0.0</v>
      </c>
      <c r="AE68" s="41">
        <v>0.0</v>
      </c>
      <c r="AF68" s="41">
        <v>45.0</v>
      </c>
      <c r="AG68" s="41">
        <v>60.0</v>
      </c>
      <c r="AH68" s="41">
        <v>40.0</v>
      </c>
      <c r="AI68" s="41">
        <v>20.0</v>
      </c>
      <c r="AJ68" s="41">
        <v>8.0</v>
      </c>
      <c r="AK68" s="41">
        <v>4.0</v>
      </c>
      <c r="AL68" s="41">
        <v>8.0</v>
      </c>
      <c r="AM68" s="43">
        <v>0.0</v>
      </c>
      <c r="AN68" s="43">
        <v>8.0</v>
      </c>
      <c r="AO68" s="43">
        <v>20.0</v>
      </c>
      <c r="AP68" s="43">
        <v>36.0</v>
      </c>
      <c r="AQ68" s="43">
        <v>40.0</v>
      </c>
      <c r="AR68" s="43">
        <v>4.0</v>
      </c>
      <c r="AS68" s="43">
        <v>5.0</v>
      </c>
      <c r="AT68" s="4">
        <f t="shared" si="4"/>
        <v>193.0</v>
      </c>
      <c r="AU68" s="4">
        <f t="shared" si="5"/>
        <v>80.0</v>
      </c>
      <c r="AV68" s="4">
        <f t="shared" si="6"/>
        <v>88.0</v>
      </c>
      <c r="AW68" s="1">
        <f t="shared" ref="AW68:AW69" si="248">AV68*$AW$4/$AV$4+4*$AW$84</f>
        <v>18.3238095238095</v>
      </c>
      <c r="AX68" s="1">
        <f t="shared" ref="AX68:AX69" si="249">AV68*$AX$4/$AV$4+4*$AX$84</f>
        <v>22.9047619047618</v>
      </c>
      <c r="AY68" s="1">
        <f t="shared" ref="AY68:AY69" si="250">AV68*$AY$4/$AV$4+4*$AY$84</f>
        <v>24.6666666666666</v>
      </c>
      <c r="AZ68" s="1">
        <f t="shared" ref="AZ68:AZ69" si="251">AV68*$AZ$4/$AV$4+4*$AZ$84</f>
        <v>34.1809523809523</v>
      </c>
      <c r="BA68" s="1">
        <f t="shared" ref="BA68:BA69" si="252">AV68*$BA$4/$AV$4+4*$BA$84</f>
        <v>16.209523809523</v>
      </c>
      <c r="BB68" s="1">
        <f t="shared" ref="BB68:BB69" si="253">AV68*$BB$4/$AV$4+4*$BB$84</f>
        <v>31.7142857142857</v>
      </c>
      <c r="BC68" s="4">
        <f t="shared" si="13"/>
        <v>147.999999999999</v>
      </c>
      <c r="BD68" s="3">
        <f>VLOOKUP(D68,FEB23SOH,2,false)</f>
        <v>531.0</v>
      </c>
      <c r="BE68" s="44">
        <f>VLOOKUP(D68,UNITVALUE,4,false)</f>
        <v>2.5857</v>
      </c>
      <c r="BF68" s="44">
        <f t="shared" si="16"/>
        <v>1373.0067</v>
      </c>
      <c r="BI68" s="6">
        <f t="shared" si="177"/>
        <v>383.000000000001</v>
      </c>
      <c r="BJ68" s="1">
        <v>1008.0</v>
      </c>
      <c r="BK68" s="53" t="s">
        <v>0</v>
      </c>
      <c r="BM68" s="1">
        <f t="shared" si="178"/>
        <v>531.0</v>
      </c>
      <c r="BN68" s="1">
        <f t="shared" si="179"/>
        <v>18.3238095238095</v>
      </c>
      <c r="BP68" s="45">
        <f t="shared" si="180"/>
        <v>512.67619047619</v>
      </c>
      <c r="BQ68" s="5">
        <f t="shared" si="181"/>
        <v>1325.62682571428</v>
      </c>
      <c r="BR68" s="1">
        <f t="shared" si="182"/>
        <v>22.9047619047618</v>
      </c>
      <c r="BS68" s="1">
        <f t="shared" si="183"/>
      </c>
      <c r="BT68" s="45">
        <f t="shared" si="184"/>
        <v>489.771428571428</v>
      </c>
      <c r="BU68" s="5">
        <f t="shared" si="185"/>
        <v>1266.40198285714</v>
      </c>
      <c r="BV68" s="1">
        <f t="shared" si="186"/>
        <v>24.6666666666666</v>
      </c>
      <c r="BW68" s="1">
        <f t="shared" si="187"/>
      </c>
      <c r="BX68" s="45">
        <f t="shared" si="188"/>
        <v>465.104761904761</v>
      </c>
      <c r="BY68" s="5">
        <f t="shared" si="208"/>
        <v>1202.62138285714</v>
      </c>
      <c r="BZ68" s="1">
        <f t="shared" si="189"/>
        <v>34.1809523809523</v>
      </c>
      <c r="CB68" s="45">
        <f t="shared" si="190"/>
        <v>430.9238095238</v>
      </c>
      <c r="CC68" s="5">
        <f t="shared" si="209"/>
        <v>1114.23969428569</v>
      </c>
      <c r="CD68" s="1">
        <f t="shared" si="191"/>
        <v>16.209523809523</v>
      </c>
      <c r="CF68" s="45">
        <f t="shared" si="192"/>
        <v>414.714285714277</v>
      </c>
      <c r="CG68" s="5">
        <f t="shared" si="210"/>
        <v>1072.3267285714</v>
      </c>
      <c r="CH68" s="1">
        <f t="shared" si="193"/>
        <v>31.7142857142857</v>
      </c>
      <c r="CJ68" s="45">
        <f t="shared" si="194"/>
        <v>382.999999999991</v>
      </c>
      <c r="CK68" s="5">
        <f t="shared" si="211"/>
        <v>990.323099999977</v>
      </c>
    </row>
    <row r="69" ht="17.0">
      <c r="A69" s="41" t="s">
        <v>30</v>
      </c>
      <c r="B69" s="10" t="s">
        <v>138</v>
      </c>
      <c r="C69" s="41" t="s">
        <v>161</v>
      </c>
      <c r="D69" s="58" t="s">
        <v>162</v>
      </c>
      <c r="E69" s="41">
        <v>0.0</v>
      </c>
      <c r="F69" s="41">
        <v>0.0</v>
      </c>
      <c r="G69" s="41">
        <v>0.0</v>
      </c>
      <c r="H69" s="41">
        <v>0.0</v>
      </c>
      <c r="I69" s="41">
        <v>0.0</v>
      </c>
      <c r="J69" s="41">
        <v>0.0</v>
      </c>
      <c r="K69" s="41">
        <v>0.0</v>
      </c>
      <c r="L69" s="41">
        <v>0.0</v>
      </c>
      <c r="M69" s="41">
        <v>0.0</v>
      </c>
      <c r="N69" s="41">
        <v>0.0</v>
      </c>
      <c r="O69" s="41">
        <v>0.0</v>
      </c>
      <c r="P69" s="41">
        <v>0.0</v>
      </c>
      <c r="Q69" s="41">
        <v>0.0</v>
      </c>
      <c r="R69" s="41">
        <v>0.0</v>
      </c>
      <c r="S69" s="41">
        <v>0.0</v>
      </c>
      <c r="T69" s="41">
        <v>0.0</v>
      </c>
      <c r="U69" s="41">
        <v>0.0</v>
      </c>
      <c r="V69" s="41">
        <v>0.0</v>
      </c>
      <c r="W69" s="41">
        <v>0.0</v>
      </c>
      <c r="X69" s="41">
        <v>0.0</v>
      </c>
      <c r="Y69" s="41">
        <v>0.0</v>
      </c>
      <c r="Z69" s="41">
        <v>0.0</v>
      </c>
      <c r="AA69" s="41">
        <v>0.0</v>
      </c>
      <c r="AB69" s="41">
        <v>0.0</v>
      </c>
      <c r="AC69" s="41">
        <v>0.0</v>
      </c>
      <c r="AD69" s="41">
        <v>0.0</v>
      </c>
      <c r="AE69" s="41">
        <v>0.0</v>
      </c>
      <c r="AF69" s="41">
        <v>45.0</v>
      </c>
      <c r="AG69" s="41">
        <v>72.0</v>
      </c>
      <c r="AH69" s="41">
        <v>25.0</v>
      </c>
      <c r="AI69" s="41">
        <v>16.0</v>
      </c>
      <c r="AJ69" s="41">
        <v>4.0</v>
      </c>
      <c r="AK69" s="41">
        <v>4.0</v>
      </c>
      <c r="AL69" s="41">
        <v>12.0</v>
      </c>
      <c r="AM69" s="43">
        <v>0.0</v>
      </c>
      <c r="AN69" s="43">
        <v>8.0</v>
      </c>
      <c r="AO69" s="43">
        <v>8.0</v>
      </c>
      <c r="AP69" s="43">
        <v>16.0</v>
      </c>
      <c r="AQ69" s="43">
        <v>36.0</v>
      </c>
      <c r="AR69" s="43">
        <v>0.0</v>
      </c>
      <c r="AS69" s="43">
        <v>5.0</v>
      </c>
      <c r="AT69" s="4">
        <f t="shared" si="4"/>
        <v>134.0</v>
      </c>
      <c r="AU69" s="4">
        <f t="shared" si="5"/>
        <v>61.0</v>
      </c>
      <c r="AV69" s="4">
        <f t="shared" si="6"/>
        <v>67.1</v>
      </c>
      <c r="AW69" s="1">
        <f t="shared" si="248"/>
        <v>15.9714285714286</v>
      </c>
      <c r="AX69" s="1">
        <f t="shared" si="249"/>
        <v>19.9642857142857</v>
      </c>
      <c r="AY69" s="1">
        <f t="shared" si="250"/>
        <v>21.5</v>
      </c>
      <c r="AZ69" s="1">
        <f t="shared" si="251"/>
        <v>29.7928571428571</v>
      </c>
      <c r="BA69" s="1">
        <f t="shared" si="252"/>
        <v>14.1285714285714</v>
      </c>
      <c r="BB69" s="1">
        <f t="shared" si="253"/>
        <v>27.6428571428572</v>
      </c>
      <c r="BC69" s="4">
        <f t="shared" si="13"/>
        <v>129.0</v>
      </c>
      <c r="BD69" s="3">
        <f>VLOOKUP(D69,FEB23SOH,2,false)</f>
        <v>575.0</v>
      </c>
      <c r="BE69" s="44">
        <f>VLOOKUP(D69,UNITVALUE,4,false)</f>
        <v>2.5858</v>
      </c>
      <c r="BF69" s="44">
        <f t="shared" si="16"/>
        <v>1486.835</v>
      </c>
      <c r="BI69" s="6">
        <f t="shared" si="177"/>
        <v>446.0</v>
      </c>
      <c r="BJ69" s="1">
        <v>1008.0</v>
      </c>
      <c r="BK69" s="53" t="s">
        <v>0</v>
      </c>
      <c r="BM69" s="1">
        <f t="shared" si="178"/>
        <v>575.0</v>
      </c>
      <c r="BN69" s="1">
        <f t="shared" si="179"/>
        <v>15.9714285714286</v>
      </c>
      <c r="BP69" s="45">
        <f t="shared" si="180"/>
        <v>559.028571428571</v>
      </c>
      <c r="BQ69" s="5">
        <f t="shared" si="181"/>
        <v>1445.53608</v>
      </c>
      <c r="BR69" s="1">
        <f t="shared" si="182"/>
        <v>19.9642857142857</v>
      </c>
      <c r="BS69" s="1">
        <f t="shared" si="183"/>
      </c>
      <c r="BT69" s="45">
        <f t="shared" si="184"/>
        <v>539.064285714285</v>
      </c>
      <c r="BU69" s="5">
        <f t="shared" si="185"/>
        <v>1393.91243</v>
      </c>
      <c r="BV69" s="1">
        <f t="shared" si="186"/>
        <v>21.5</v>
      </c>
      <c r="BW69" s="1">
        <f t="shared" si="187"/>
      </c>
      <c r="BX69" s="45">
        <f t="shared" si="188"/>
        <v>517.564285714285</v>
      </c>
      <c r="BY69" s="5">
        <f t="shared" si="208"/>
        <v>1338.31773</v>
      </c>
      <c r="BZ69" s="1">
        <f t="shared" si="189"/>
        <v>29.7928571428571</v>
      </c>
      <c r="CB69" s="45">
        <f t="shared" si="190"/>
        <v>487.77142857142</v>
      </c>
      <c r="CC69" s="5">
        <f t="shared" si="209"/>
        <v>1261.27935999998</v>
      </c>
      <c r="CD69" s="1">
        <f t="shared" si="191"/>
        <v>14.1285714285714</v>
      </c>
      <c r="CF69" s="45">
        <f t="shared" si="192"/>
        <v>473.64285714284</v>
      </c>
      <c r="CG69" s="5">
        <f t="shared" si="210"/>
        <v>1224.74569999996</v>
      </c>
      <c r="CH69" s="1">
        <f t="shared" si="193"/>
        <v>27.6428571428572</v>
      </c>
      <c r="CJ69" s="45">
        <f t="shared" si="194"/>
        <v>445.999999999982</v>
      </c>
      <c r="CK69" s="5">
        <f t="shared" si="211"/>
        <v>1153.26679999995</v>
      </c>
    </row>
    <row r="70" ht="17.0">
      <c r="A70" s="41" t="s">
        <v>30</v>
      </c>
      <c r="B70" s="59" t="s">
        <v>138</v>
      </c>
      <c r="C70" s="56" t="s">
        <v>163</v>
      </c>
      <c r="D70" s="57" t="s">
        <v>164</v>
      </c>
      <c r="E70" s="41">
        <v>0.0</v>
      </c>
      <c r="F70" s="41">
        <v>0.0</v>
      </c>
      <c r="G70" s="41">
        <v>0.0</v>
      </c>
      <c r="H70" s="41">
        <v>0.0</v>
      </c>
      <c r="I70" s="41">
        <v>0.0</v>
      </c>
      <c r="J70" s="41">
        <v>0.0</v>
      </c>
      <c r="K70" s="41">
        <v>0.0</v>
      </c>
      <c r="L70" s="41">
        <v>0.0</v>
      </c>
      <c r="M70" s="41">
        <v>0.0</v>
      </c>
      <c r="N70" s="41">
        <v>0.0</v>
      </c>
      <c r="O70" s="41">
        <v>0.0</v>
      </c>
      <c r="P70" s="41">
        <v>0.0</v>
      </c>
      <c r="Q70" s="41">
        <v>0.0</v>
      </c>
      <c r="R70" s="41">
        <v>0.0</v>
      </c>
      <c r="S70" s="41">
        <v>0.0</v>
      </c>
      <c r="T70" s="41">
        <v>0.0</v>
      </c>
      <c r="U70" s="41">
        <v>0.0</v>
      </c>
      <c r="V70" s="41">
        <v>0.0</v>
      </c>
      <c r="W70" s="41">
        <v>0.0</v>
      </c>
      <c r="X70" s="41">
        <v>0.0</v>
      </c>
      <c r="Y70" s="41">
        <v>0.0</v>
      </c>
      <c r="Z70" s="41">
        <v>0.0</v>
      </c>
      <c r="AA70" s="41">
        <v>0.0</v>
      </c>
      <c r="AB70" s="41">
        <v>0.0</v>
      </c>
      <c r="AC70" s="41">
        <v>0.0</v>
      </c>
      <c r="AD70" s="41">
        <v>0.0</v>
      </c>
      <c r="AE70" s="41">
        <v>0.0</v>
      </c>
      <c r="AF70" s="41">
        <v>89.0</v>
      </c>
      <c r="AG70" s="41">
        <v>159.0</v>
      </c>
      <c r="AH70" s="41">
        <v>77.0</v>
      </c>
      <c r="AI70" s="41">
        <v>52.0</v>
      </c>
      <c r="AJ70" s="41">
        <v>41.0</v>
      </c>
      <c r="AK70" s="41">
        <v>54.0</v>
      </c>
      <c r="AL70" s="41">
        <v>49.0</v>
      </c>
      <c r="AM70" s="43">
        <v>58.0</v>
      </c>
      <c r="AN70" s="43">
        <v>60.0</v>
      </c>
      <c r="AO70" s="43">
        <v>191.0</v>
      </c>
      <c r="AP70" s="43">
        <v>114.0</v>
      </c>
      <c r="AQ70" s="43">
        <v>158.0</v>
      </c>
      <c r="AR70" s="43">
        <v>88.0</v>
      </c>
      <c r="AS70" s="43">
        <v>63.0</v>
      </c>
      <c r="AT70" s="4">
        <f t="shared" si="4"/>
        <v>1005.0</v>
      </c>
      <c r="AU70" s="4">
        <f t="shared" si="5"/>
        <v>331.0</v>
      </c>
      <c r="AV70" s="4">
        <f t="shared" si="6"/>
        <v>364.1</v>
      </c>
      <c r="AW70" s="1">
        <f>AV70*$AW$4/$AV$4+4*$AW$82+5*$AW$86</f>
        <v>90.6285714285714</v>
      </c>
      <c r="AX70" s="1">
        <f>AV70*$AX$4/$AV$4+4*$AX$82+5*$AX$86</f>
        <v>113.285714285714</v>
      </c>
      <c r="AY70" s="1">
        <f>AV70*$AY$4/$AV$4+4*$AY$82+5*$AY$86</f>
        <v>122.0</v>
      </c>
      <c r="AZ70" s="1">
        <f>AV70*$AZ$4/$AV$4+4*$AZ$82+5*$AZ$86</f>
        <v>169.057142857142</v>
      </c>
      <c r="BA70" s="1">
        <f>AV70*$BA$4/$AV$4+4*$BA$82+5*$BA$86</f>
        <v>80.1714285714287</v>
      </c>
      <c r="BB70" s="1">
        <f>AV70*$BB$4/$AV$4+4*$BB$82+5*$BB$86</f>
        <v>156.857142857142</v>
      </c>
      <c r="BC70" s="4">
        <f t="shared" si="13"/>
        <v>731.999999999998</v>
      </c>
      <c r="BD70" s="3">
        <f>VLOOKUP(D70,FEB23SOH,2,false)</f>
        <v>806.0</v>
      </c>
      <c r="BE70" s="44">
        <f>VLOOKUP(D70,UNITVALUE,4,false)</f>
        <v>1.7043</v>
      </c>
      <c r="BF70" s="44">
        <f t="shared" si="16"/>
        <v>1373.6658</v>
      </c>
      <c r="BI70" s="6">
        <f t="shared" si="177"/>
        <v>74.000000000002</v>
      </c>
      <c r="BJ70" s="1">
        <v>1002.0</v>
      </c>
      <c r="BM70" s="1">
        <f t="shared" si="178"/>
        <v>806.0</v>
      </c>
      <c r="BN70" s="1">
        <f t="shared" si="179"/>
        <v>90.6285714285714</v>
      </c>
      <c r="BP70" s="45">
        <f t="shared" si="180"/>
        <v>715.37142857142</v>
      </c>
      <c r="BQ70" s="5">
        <f t="shared" si="181"/>
        <v>1219.20752571427</v>
      </c>
      <c r="BR70" s="1">
        <f t="shared" si="182"/>
        <v>113.285714285714</v>
      </c>
      <c r="BS70" s="1">
        <f t="shared" si="183"/>
      </c>
      <c r="BT70" s="45">
        <f t="shared" si="184"/>
        <v>602.085714285706</v>
      </c>
      <c r="BU70" s="5">
        <f t="shared" si="185"/>
        <v>1026.13468285712</v>
      </c>
      <c r="BV70" s="1">
        <f t="shared" si="186"/>
        <v>122.0</v>
      </c>
      <c r="BW70" s="1">
        <f t="shared" si="187"/>
      </c>
      <c r="BX70" s="45">
        <f t="shared" si="188"/>
        <v>480.085714285706</v>
      </c>
      <c r="BY70" s="5">
        <f t="shared" si="208"/>
        <v>818.210082857129</v>
      </c>
      <c r="BZ70" s="1">
        <f t="shared" si="189"/>
        <v>169.057142857142</v>
      </c>
      <c r="CB70" s="45">
        <f t="shared" si="190"/>
        <v>311.028571428563</v>
      </c>
      <c r="CC70" s="5">
        <f t="shared" si="209"/>
        <v>530.0859942857</v>
      </c>
      <c r="CD70" s="1">
        <f t="shared" si="191"/>
        <v>80.1714285714287</v>
      </c>
      <c r="CF70" s="45">
        <f t="shared" si="192"/>
        <v>230.857142857134</v>
      </c>
      <c r="CG70" s="5">
        <f t="shared" si="210"/>
        <v>393.449828571413</v>
      </c>
      <c r="CH70" s="1">
        <f t="shared" si="193"/>
        <v>156.857142857142</v>
      </c>
      <c r="CJ70" s="45">
        <f t="shared" si="194"/>
        <v>73.999999999992</v>
      </c>
      <c r="CK70" s="5">
        <f t="shared" si="211"/>
        <v>126.118199999986</v>
      </c>
    </row>
    <row r="71" ht="17.0">
      <c r="A71" s="41" t="s">
        <v>30</v>
      </c>
      <c r="B71" s="10" t="s">
        <v>138</v>
      </c>
      <c r="C71" s="56" t="s">
        <v>165</v>
      </c>
      <c r="D71" s="55" t="s">
        <v>166</v>
      </c>
      <c r="E71" s="41">
        <v>0.0</v>
      </c>
      <c r="F71" s="41">
        <v>0.0</v>
      </c>
      <c r="G71" s="41">
        <v>0.0</v>
      </c>
      <c r="H71" s="41">
        <v>0.0</v>
      </c>
      <c r="I71" s="41">
        <v>0.0</v>
      </c>
      <c r="J71" s="41">
        <v>0.0</v>
      </c>
      <c r="K71" s="41">
        <v>0.0</v>
      </c>
      <c r="L71" s="41">
        <v>0.0</v>
      </c>
      <c r="M71" s="41">
        <v>0.0</v>
      </c>
      <c r="N71" s="41">
        <v>0.0</v>
      </c>
      <c r="O71" s="41">
        <v>0.0</v>
      </c>
      <c r="P71" s="41">
        <v>0.0</v>
      </c>
      <c r="Q71" s="41">
        <v>0.0</v>
      </c>
      <c r="R71" s="41">
        <v>0.0</v>
      </c>
      <c r="S71" s="41">
        <v>0.0</v>
      </c>
      <c r="T71" s="41">
        <v>0.0</v>
      </c>
      <c r="U71" s="41">
        <v>0.0</v>
      </c>
      <c r="V71" s="41">
        <v>0.0</v>
      </c>
      <c r="W71" s="41">
        <v>0.0</v>
      </c>
      <c r="X71" s="41">
        <v>0.0</v>
      </c>
      <c r="Y71" s="41">
        <v>0.0</v>
      </c>
      <c r="Z71" s="41">
        <v>0.0</v>
      </c>
      <c r="AA71" s="41">
        <v>0.0</v>
      </c>
      <c r="AB71" s="41">
        <v>0.0</v>
      </c>
      <c r="AC71" s="41">
        <v>0.0</v>
      </c>
      <c r="AD71" s="41">
        <v>0.0</v>
      </c>
      <c r="AE71" s="41">
        <v>0.0</v>
      </c>
      <c r="AF71" s="41">
        <v>61.0</v>
      </c>
      <c r="AG71" s="41">
        <v>67.0</v>
      </c>
      <c r="AH71" s="41">
        <v>36.0</v>
      </c>
      <c r="AI71" s="41">
        <v>16.0</v>
      </c>
      <c r="AJ71" s="41">
        <v>17.0</v>
      </c>
      <c r="AK71" s="41">
        <v>41.0</v>
      </c>
      <c r="AL71" s="41">
        <v>25.0</v>
      </c>
      <c r="AM71" s="43">
        <v>21.0</v>
      </c>
      <c r="AN71" s="43">
        <v>21.0</v>
      </c>
      <c r="AO71" s="43">
        <v>110.0</v>
      </c>
      <c r="AP71" s="43">
        <v>53.0</v>
      </c>
      <c r="AQ71" s="43">
        <v>96.0</v>
      </c>
      <c r="AR71" s="43">
        <v>46.0</v>
      </c>
      <c r="AS71" s="43">
        <v>30.0</v>
      </c>
      <c r="AT71" s="4">
        <f t="shared" si="4"/>
        <v>512.0</v>
      </c>
      <c r="AU71" s="4">
        <f t="shared" si="5"/>
        <v>156.0</v>
      </c>
      <c r="AV71" s="4">
        <f t="shared" si="6"/>
        <v>171.6</v>
      </c>
      <c r="AW71" s="1">
        <f>AV71*$AW$4/$AV$4+4*$AW$83+4*$AW$85+5*$AW$86</f>
        <v>72.9238095238096</v>
      </c>
      <c r="AX71" s="1">
        <f>AV71*$AX$4/$AV$4+4*$AX$83+4*$AX$85+5*$AX$86</f>
        <v>91.154761904762</v>
      </c>
      <c r="AY71" s="1">
        <f>AV71*$AY$4/$AV$4+4*$AY$83+4*$AY$85+5*$AY$86</f>
        <v>98.1666666666665</v>
      </c>
      <c r="AZ71" s="1">
        <f>AV71*$AZ$4/$AV$4+4*$AZ$83+4*$AZ$85+5*$AZ$86</f>
        <v>136.030952380952</v>
      </c>
      <c r="BA71" s="1">
        <f>AV71*$BA$4/$AV$4+4*$BA$83+4*$BA$85+5*$BA$86</f>
        <v>64.5095238095237</v>
      </c>
      <c r="BB71" s="1">
        <f>AV71*$BB$4/$AV$4+4*$BB$83+4*$BB$85+5*$BB$86</f>
        <v>126.21428571429</v>
      </c>
      <c r="BC71" s="4">
        <f t="shared" si="13"/>
        <v>589.000000000003</v>
      </c>
      <c r="BD71" s="3">
        <f>VLOOKUP(D71,FEB23SOH,2,false)</f>
        <v>433.0</v>
      </c>
      <c r="BE71" s="44">
        <f>VLOOKUP(D71,UNITVALUE,4,false)</f>
        <v>1.704</v>
      </c>
      <c r="BF71" s="44">
        <f t="shared" si="16"/>
        <v>737.832</v>
      </c>
      <c r="BI71" s="6">
        <f t="shared" si="177"/>
        <v>-156.000000000002</v>
      </c>
      <c r="BJ71" s="1">
        <v>1002.0</v>
      </c>
      <c r="BK71" s="53" t="s">
        <v>0</v>
      </c>
      <c r="BL71" s="8" t="s">
        <v>9</v>
      </c>
      <c r="BM71" s="1">
        <f t="shared" si="178"/>
        <v>433.0</v>
      </c>
      <c r="BN71" s="1">
        <f t="shared" si="179"/>
        <v>72.9238095238096</v>
      </c>
      <c r="BP71" s="45">
        <f t="shared" si="180"/>
        <v>360.07619047619</v>
      </c>
      <c r="BQ71" s="5">
        <f t="shared" si="181"/>
        <v>613.569828571428</v>
      </c>
      <c r="BR71" s="1">
        <f t="shared" si="182"/>
        <v>91.154761904762</v>
      </c>
      <c r="BS71" s="1">
        <f t="shared" si="183"/>
      </c>
      <c r="BT71" s="45">
        <f t="shared" si="184"/>
        <v>268.921428571428</v>
      </c>
      <c r="BU71" s="5">
        <f t="shared" si="185"/>
        <v>458.242114285713</v>
      </c>
      <c r="BV71" s="1">
        <f t="shared" si="186"/>
        <v>98.1666666666665</v>
      </c>
      <c r="BW71" s="1">
        <f t="shared" si="187"/>
      </c>
      <c r="BX71" s="45">
        <f t="shared" si="188"/>
        <v>170.754761904761</v>
      </c>
      <c r="BY71" s="5">
        <f t="shared" si="208"/>
        <v>290.966114285712</v>
      </c>
      <c r="BZ71" s="1">
        <f t="shared" si="189"/>
        <v>136.030952380952</v>
      </c>
      <c r="CB71" s="45">
        <f t="shared" si="190"/>
        <v>34.723809523809</v>
      </c>
      <c r="CC71" s="5">
        <f t="shared" si="209"/>
        <v>59.1693714285705</v>
      </c>
      <c r="CD71" s="1">
        <f t="shared" si="191"/>
        <v>64.5095238095237</v>
      </c>
      <c r="CF71" s="45">
        <f t="shared" si="192"/>
        <v>-29.7857142857145</v>
      </c>
      <c r="CG71" s="5">
        <f t="shared" si="210"/>
        <v>-50.7548571428575</v>
      </c>
      <c r="CH71" s="1">
        <f t="shared" si="193"/>
        <v>126.21428571429</v>
      </c>
      <c r="CJ71" s="45">
        <f t="shared" si="194"/>
        <v>-156.000000000004</v>
      </c>
      <c r="CK71" s="5">
        <f t="shared" si="211"/>
        <v>-265.824</v>
      </c>
    </row>
    <row r="72" ht="17.0">
      <c r="A72" s="41" t="s">
        <v>30</v>
      </c>
      <c r="B72" s="10" t="s">
        <v>138</v>
      </c>
      <c r="C72" s="41" t="s">
        <v>167</v>
      </c>
      <c r="D72" s="58" t="s">
        <v>168</v>
      </c>
      <c r="E72" s="41">
        <v>0.0</v>
      </c>
      <c r="F72" s="41">
        <v>0.0</v>
      </c>
      <c r="G72" s="41">
        <v>0.0</v>
      </c>
      <c r="H72" s="41">
        <v>0.0</v>
      </c>
      <c r="I72" s="41">
        <v>0.0</v>
      </c>
      <c r="J72" s="41">
        <v>0.0</v>
      </c>
      <c r="K72" s="41">
        <v>0.0</v>
      </c>
      <c r="L72" s="41">
        <v>0.0</v>
      </c>
      <c r="M72" s="41">
        <v>0.0</v>
      </c>
      <c r="N72" s="41">
        <v>0.0</v>
      </c>
      <c r="O72" s="41">
        <v>0.0</v>
      </c>
      <c r="P72" s="41">
        <v>0.0</v>
      </c>
      <c r="Q72" s="41">
        <v>0.0</v>
      </c>
      <c r="R72" s="41">
        <v>0.0</v>
      </c>
      <c r="S72" s="41">
        <v>0.0</v>
      </c>
      <c r="T72" s="41">
        <v>0.0</v>
      </c>
      <c r="U72" s="41">
        <v>0.0</v>
      </c>
      <c r="V72" s="41">
        <v>0.0</v>
      </c>
      <c r="W72" s="41">
        <v>0.0</v>
      </c>
      <c r="X72" s="41">
        <v>0.0</v>
      </c>
      <c r="Y72" s="41">
        <v>0.0</v>
      </c>
      <c r="Z72" s="41">
        <v>0.0</v>
      </c>
      <c r="AA72" s="41">
        <v>0.0</v>
      </c>
      <c r="AB72" s="41">
        <v>0.0</v>
      </c>
      <c r="AC72" s="41">
        <v>0.0</v>
      </c>
      <c r="AD72" s="41">
        <v>0.0</v>
      </c>
      <c r="AE72" s="41">
        <v>0.0</v>
      </c>
      <c r="AF72" s="41">
        <v>57.0</v>
      </c>
      <c r="AG72" s="41">
        <v>98.0</v>
      </c>
      <c r="AH72" s="41">
        <v>56.0</v>
      </c>
      <c r="AI72" s="41">
        <v>24.0</v>
      </c>
      <c r="AJ72" s="41">
        <v>22.0</v>
      </c>
      <c r="AK72" s="41">
        <v>29.0</v>
      </c>
      <c r="AL72" s="41">
        <v>20.0</v>
      </c>
      <c r="AM72" s="43">
        <v>33.0</v>
      </c>
      <c r="AN72" s="43">
        <v>36.0</v>
      </c>
      <c r="AO72" s="43">
        <v>65.0</v>
      </c>
      <c r="AP72" s="43">
        <v>41.0</v>
      </c>
      <c r="AQ72" s="43">
        <v>65.0</v>
      </c>
      <c r="AR72" s="43">
        <v>44.0</v>
      </c>
      <c r="AS72" s="43">
        <v>106.0</v>
      </c>
      <c r="AT72" s="4">
        <f t="shared" si="4"/>
        <v>541.0</v>
      </c>
      <c r="AU72" s="4">
        <f t="shared" si="5"/>
        <v>184.0</v>
      </c>
      <c r="AV72" s="4">
        <f t="shared" si="6"/>
        <v>202.4</v>
      </c>
      <c r="AW72" s="1">
        <f t="shared" ref="AW72:AW73" si="266">AV72*$AW$4/$AV$4+4*$AW$84+5*$AW$86</f>
        <v>78.8666666666666</v>
      </c>
      <c r="AX72" s="1">
        <f t="shared" ref="AX72:AX73" si="267">AV72*$AX$4/$AV$4+4*$AX$84+5*$AX$86</f>
        <v>98.5833333333334</v>
      </c>
      <c r="AY72" s="1">
        <f t="shared" ref="AY72:AY73" si="268">AV72*$AY$4/$AV$4+4*$AY$84+5*$AY$86</f>
        <v>106.166666666667</v>
      </c>
      <c r="AZ72" s="1">
        <f t="shared" ref="AZ72:AZ73" si="269">AV72*$AZ$4/$AV$4+4*$AZ$84+5*$AZ$86</f>
        <v>147.116666666666</v>
      </c>
      <c r="BA72" s="1">
        <f t="shared" ref="BA72:BA73" si="270">AV72*$BA$4/$AV$4+4*$BA$84+5*$BA$86</f>
        <v>69.7666666666657</v>
      </c>
      <c r="BB72" s="1">
        <f t="shared" ref="BB72:BB73" si="271">AV72*$BB$4/$AV$4+4*$BB$84+5*$BB$86</f>
        <v>136.5</v>
      </c>
      <c r="BC72" s="4">
        <f t="shared" si="13"/>
        <v>636.999999999999</v>
      </c>
      <c r="BD72" s="3">
        <f>VLOOKUP(D72,FEB23SOH,2,false)</f>
        <v>327.0</v>
      </c>
      <c r="BE72" s="44">
        <f>VLOOKUP(D72,UNITVALUE,4,false)</f>
        <v>1.832</v>
      </c>
      <c r="BF72" s="44">
        <f t="shared" si="16"/>
        <v>599.064</v>
      </c>
      <c r="BI72" s="6">
        <f t="shared" si="177"/>
        <v>-309.999999999999</v>
      </c>
      <c r="BJ72" s="1">
        <v>1002.0</v>
      </c>
      <c r="BK72" s="53" t="s">
        <v>0</v>
      </c>
      <c r="BL72" s="8" t="s">
        <v>8</v>
      </c>
      <c r="BM72" s="1">
        <f t="shared" si="178"/>
        <v>327.0</v>
      </c>
      <c r="BN72" s="1">
        <f t="shared" si="179"/>
        <v>78.8666666666666</v>
      </c>
      <c r="BP72" s="45">
        <f t="shared" si="180"/>
        <v>248.133333333333</v>
      </c>
      <c r="BQ72" s="5">
        <f t="shared" si="181"/>
        <v>454.580266666666</v>
      </c>
      <c r="BR72" s="1">
        <f t="shared" si="182"/>
        <v>98.5833333333334</v>
      </c>
      <c r="BS72" s="1">
        <f t="shared" si="183"/>
      </c>
      <c r="BT72" s="45">
        <f t="shared" si="184"/>
        <v>149.55</v>
      </c>
      <c r="BU72" s="5">
        <f t="shared" si="185"/>
        <v>273.9756</v>
      </c>
      <c r="BV72" s="1">
        <f t="shared" si="186"/>
        <v>106.166666666667</v>
      </c>
      <c r="BW72" s="1">
        <f t="shared" si="187"/>
      </c>
      <c r="BX72" s="45">
        <f t="shared" si="188"/>
        <v>43.383333333333</v>
      </c>
      <c r="BY72" s="5">
        <f t="shared" si="208"/>
        <v>79.478266666666</v>
      </c>
      <c r="BZ72" s="1">
        <f t="shared" si="189"/>
        <v>147.116666666666</v>
      </c>
      <c r="CB72" s="45">
        <f t="shared" si="190"/>
        <v>-103.733333333333</v>
      </c>
      <c r="CC72" s="5">
        <f t="shared" si="209"/>
        <v>-190.039466666666</v>
      </c>
      <c r="CD72" s="1">
        <f t="shared" si="191"/>
        <v>69.7666666666657</v>
      </c>
      <c r="CF72" s="45">
        <f t="shared" si="192"/>
        <v>-173.49999999998</v>
      </c>
      <c r="CG72" s="5">
        <f t="shared" si="210"/>
        <v>-317.851999999963</v>
      </c>
      <c r="CH72" s="1">
        <f t="shared" si="193"/>
        <v>136.5</v>
      </c>
      <c r="CJ72" s="45">
        <f t="shared" si="194"/>
        <v>-309.99999999998</v>
      </c>
      <c r="CK72" s="5">
        <f t="shared" si="211"/>
        <v>-567.919999999963</v>
      </c>
    </row>
    <row r="73" ht="17.0">
      <c r="A73" s="41" t="s">
        <v>30</v>
      </c>
      <c r="B73" s="10" t="s">
        <v>138</v>
      </c>
      <c r="C73" s="41" t="s">
        <v>169</v>
      </c>
      <c r="D73" s="58" t="s">
        <v>170</v>
      </c>
      <c r="E73" s="41">
        <v>0.0</v>
      </c>
      <c r="F73" s="41">
        <v>0.0</v>
      </c>
      <c r="G73" s="41">
        <v>0.0</v>
      </c>
      <c r="H73" s="41">
        <v>0.0</v>
      </c>
      <c r="I73" s="41">
        <v>0.0</v>
      </c>
      <c r="J73" s="41">
        <v>0.0</v>
      </c>
      <c r="K73" s="41">
        <v>0.0</v>
      </c>
      <c r="L73" s="41">
        <v>0.0</v>
      </c>
      <c r="M73" s="41">
        <v>0.0</v>
      </c>
      <c r="N73" s="41">
        <v>0.0</v>
      </c>
      <c r="O73" s="41">
        <v>0.0</v>
      </c>
      <c r="P73" s="41">
        <v>0.0</v>
      </c>
      <c r="Q73" s="41">
        <v>0.0</v>
      </c>
      <c r="R73" s="41">
        <v>0.0</v>
      </c>
      <c r="S73" s="41">
        <v>0.0</v>
      </c>
      <c r="T73" s="41">
        <v>0.0</v>
      </c>
      <c r="U73" s="41">
        <v>0.0</v>
      </c>
      <c r="V73" s="41">
        <v>0.0</v>
      </c>
      <c r="W73" s="41">
        <v>0.0</v>
      </c>
      <c r="X73" s="41">
        <v>0.0</v>
      </c>
      <c r="Y73" s="41">
        <v>0.0</v>
      </c>
      <c r="Z73" s="41">
        <v>0.0</v>
      </c>
      <c r="AA73" s="41">
        <v>0.0</v>
      </c>
      <c r="AB73" s="41">
        <v>0.0</v>
      </c>
      <c r="AC73" s="41">
        <v>0.0</v>
      </c>
      <c r="AD73" s="41">
        <v>0.0</v>
      </c>
      <c r="AE73" s="41">
        <v>0.0</v>
      </c>
      <c r="AF73" s="41">
        <v>61.0</v>
      </c>
      <c r="AG73" s="41">
        <v>119.0</v>
      </c>
      <c r="AH73" s="41">
        <v>29.0</v>
      </c>
      <c r="AI73" s="41">
        <v>32.0</v>
      </c>
      <c r="AJ73" s="41">
        <v>17.0</v>
      </c>
      <c r="AK73" s="41">
        <v>29.0</v>
      </c>
      <c r="AL73" s="41">
        <v>25.0</v>
      </c>
      <c r="AM73" s="43">
        <v>14.0</v>
      </c>
      <c r="AN73" s="43">
        <v>24.0</v>
      </c>
      <c r="AO73" s="43">
        <v>41.0</v>
      </c>
      <c r="AP73" s="43">
        <v>54.0</v>
      </c>
      <c r="AQ73" s="43">
        <v>61.0</v>
      </c>
      <c r="AR73" s="43">
        <v>44.0</v>
      </c>
      <c r="AS73" s="43">
        <v>50.0</v>
      </c>
      <c r="AT73" s="4">
        <f t="shared" si="4"/>
        <v>420.0</v>
      </c>
      <c r="AU73" s="4">
        <f t="shared" si="5"/>
        <v>146.0</v>
      </c>
      <c r="AV73" s="4">
        <f t="shared" si="6"/>
        <v>160.6</v>
      </c>
      <c r="AW73" s="1">
        <f t="shared" si="266"/>
        <v>74.1619047619047</v>
      </c>
      <c r="AX73" s="1">
        <f t="shared" si="267"/>
        <v>92.702380952381</v>
      </c>
      <c r="AY73" s="1">
        <f t="shared" si="268"/>
        <v>99.8333333333331</v>
      </c>
      <c r="AZ73" s="1">
        <f t="shared" si="269"/>
        <v>138.340476190476</v>
      </c>
      <c r="BA73" s="1">
        <f t="shared" si="270"/>
        <v>65.6047619047618</v>
      </c>
      <c r="BB73" s="1">
        <f t="shared" si="271"/>
        <v>128.357142857142</v>
      </c>
      <c r="BC73" s="4">
        <f t="shared" si="13"/>
        <v>598.999999999999</v>
      </c>
      <c r="BD73" s="3">
        <f>VLOOKUP(D73,FEB23SOH,2,false)</f>
        <v>413.0</v>
      </c>
      <c r="BE73" s="44">
        <f>VLOOKUP(D73,UNITVALUE,4,false)</f>
        <v>1.8321</v>
      </c>
      <c r="BF73" s="44">
        <f t="shared" si="16"/>
        <v>756.6573</v>
      </c>
      <c r="BI73" s="6">
        <f t="shared" si="177"/>
        <v>-185.99999999998</v>
      </c>
      <c r="BJ73" s="1">
        <v>1002.0</v>
      </c>
      <c r="BK73" s="53" t="s">
        <v>0</v>
      </c>
      <c r="BL73" s="8" t="s">
        <v>9</v>
      </c>
      <c r="BM73" s="1">
        <f t="shared" si="178"/>
        <v>413.0</v>
      </c>
      <c r="BN73" s="1">
        <f t="shared" si="179"/>
        <v>74.1619047619047</v>
      </c>
      <c r="BP73" s="45">
        <f t="shared" si="180"/>
        <v>338.838095238095</v>
      </c>
      <c r="BQ73" s="5">
        <f t="shared" si="181"/>
        <v>620.785274285713</v>
      </c>
      <c r="BR73" s="1">
        <f t="shared" si="182"/>
        <v>92.702380952381</v>
      </c>
      <c r="BS73" s="1">
        <f t="shared" si="183"/>
      </c>
      <c r="BT73" s="45">
        <f t="shared" si="184"/>
        <v>246.135714285713</v>
      </c>
      <c r="BU73" s="5">
        <f t="shared" si="185"/>
        <v>450.945242142854</v>
      </c>
      <c r="BV73" s="1">
        <f t="shared" si="186"/>
        <v>99.8333333333331</v>
      </c>
      <c r="BW73" s="1">
        <f t="shared" si="187"/>
      </c>
      <c r="BX73" s="45">
        <f t="shared" si="188"/>
        <v>146.30238095238</v>
      </c>
      <c r="BY73" s="5">
        <f t="shared" si="208"/>
        <v>268.040592142855</v>
      </c>
      <c r="BZ73" s="1">
        <f t="shared" si="189"/>
        <v>138.340476190476</v>
      </c>
      <c r="CB73" s="45">
        <f t="shared" si="190"/>
        <v>7.96190476190398</v>
      </c>
      <c r="CC73" s="5">
        <f t="shared" si="209"/>
        <v>14.5870057142842</v>
      </c>
      <c r="CD73" s="1">
        <f t="shared" si="191"/>
        <v>65.6047619047618</v>
      </c>
      <c r="CF73" s="45">
        <f t="shared" si="192"/>
        <v>-57.6428571428578</v>
      </c>
      <c r="CG73" s="5">
        <f t="shared" si="210"/>
        <v>-105.607478571428</v>
      </c>
      <c r="CH73" s="1">
        <f t="shared" si="193"/>
        <v>128.357142857142</v>
      </c>
      <c r="CJ73" s="45">
        <f t="shared" si="194"/>
        <v>-185.999999999998</v>
      </c>
      <c r="CK73" s="5">
        <f t="shared" si="211"/>
        <v>-340.770599999996</v>
      </c>
    </row>
    <row r="74" ht="17.0">
      <c r="A74" s="41" t="s">
        <v>30</v>
      </c>
      <c r="B74" s="41" t="s">
        <v>138</v>
      </c>
      <c r="C74" s="56" t="s">
        <v>171</v>
      </c>
      <c r="D74" s="57" t="s">
        <v>172</v>
      </c>
      <c r="E74" s="41">
        <v>0.0</v>
      </c>
      <c r="F74" s="41">
        <v>0.0</v>
      </c>
      <c r="G74" s="41">
        <v>0.0</v>
      </c>
      <c r="H74" s="41">
        <v>0.0</v>
      </c>
      <c r="I74" s="41">
        <v>0.0</v>
      </c>
      <c r="J74" s="41">
        <v>0.0</v>
      </c>
      <c r="K74" s="41">
        <v>0.0</v>
      </c>
      <c r="L74" s="41">
        <v>0.0</v>
      </c>
      <c r="M74" s="41">
        <v>0.0</v>
      </c>
      <c r="N74" s="41">
        <v>0.0</v>
      </c>
      <c r="O74" s="41">
        <v>0.0</v>
      </c>
      <c r="P74" s="41">
        <v>0.0</v>
      </c>
      <c r="Q74" s="41">
        <v>0.0</v>
      </c>
      <c r="R74" s="41">
        <v>0.0</v>
      </c>
      <c r="S74" s="41">
        <v>0.0</v>
      </c>
      <c r="T74" s="41">
        <v>0.0</v>
      </c>
      <c r="U74" s="41">
        <v>0.0</v>
      </c>
      <c r="V74" s="41">
        <v>0.0</v>
      </c>
      <c r="W74" s="41">
        <v>0.0</v>
      </c>
      <c r="X74" s="41">
        <v>0.0</v>
      </c>
      <c r="Y74" s="41">
        <v>0.0</v>
      </c>
      <c r="Z74" s="41">
        <v>0.0</v>
      </c>
      <c r="AA74" s="41">
        <v>0.0</v>
      </c>
      <c r="AB74" s="41">
        <v>0.0</v>
      </c>
      <c r="AC74" s="41">
        <v>0.0</v>
      </c>
      <c r="AD74" s="41">
        <v>0.0</v>
      </c>
      <c r="AE74" s="41">
        <v>0.0</v>
      </c>
      <c r="AF74" s="41">
        <v>49.0</v>
      </c>
      <c r="AG74" s="41">
        <v>88.0</v>
      </c>
      <c r="AH74" s="41">
        <v>73.0</v>
      </c>
      <c r="AI74" s="41">
        <v>20.0</v>
      </c>
      <c r="AJ74" s="41">
        <v>12.0</v>
      </c>
      <c r="AK74" s="41">
        <v>13.0</v>
      </c>
      <c r="AL74" s="41">
        <v>0.0</v>
      </c>
      <c r="AM74" s="43">
        <v>12.0</v>
      </c>
      <c r="AN74" s="43">
        <v>8.0</v>
      </c>
      <c r="AO74" s="43">
        <v>72.0</v>
      </c>
      <c r="AP74" s="43">
        <v>28.0</v>
      </c>
      <c r="AQ74" s="43">
        <v>36.0</v>
      </c>
      <c r="AR74" s="43">
        <v>0.0</v>
      </c>
      <c r="AS74" s="43">
        <v>10.0</v>
      </c>
      <c r="AT74" s="4">
        <f t="shared" si="4"/>
        <v>284.0</v>
      </c>
      <c r="AU74" s="4">
        <f t="shared" si="5"/>
        <v>130.0</v>
      </c>
      <c r="AV74" s="4">
        <f t="shared" si="6"/>
        <v>143.0</v>
      </c>
      <c r="AW74" s="1">
        <f>AV74*$AW$4/$AV$4+4*$AW$82</f>
        <v>18.0761904761903</v>
      </c>
      <c r="AX74" s="1">
        <f>AV74*$AX$4/$AV$4+4*$AX$82</f>
        <v>22.595238095238</v>
      </c>
      <c r="AY74" s="1">
        <f>AV74*$AY$4/$AV$4+4*$AY$82</f>
        <v>24.3333333333333</v>
      </c>
      <c r="AZ74" s="1">
        <f>AV74*$AZ$4/$AV$4+4*$AZ$82</f>
        <v>33.7190476190476</v>
      </c>
      <c r="BA74" s="1">
        <f>AV74*$BA$4/$AV$4+4*$BA$82</f>
        <v>15.9904761904761</v>
      </c>
      <c r="BB74" s="1">
        <f>AV74*$BB$4/$AV$4+4*$BB$82</f>
        <v>31.2857142857143</v>
      </c>
      <c r="BC74" s="4">
        <f t="shared" si="13"/>
        <v>146.0</v>
      </c>
      <c r="BD74" s="3">
        <f>VLOOKUP(D74,FEB23SOH,2,false)</f>
        <v>449.0</v>
      </c>
      <c r="BE74" s="44">
        <f>VLOOKUP(D74,UNITVALUE,4,false)</f>
        <v>1.9918</v>
      </c>
      <c r="BF74" s="44">
        <f t="shared" si="16"/>
        <v>894.3182</v>
      </c>
      <c r="BI74" s="6">
        <f t="shared" si="177"/>
        <v>303.0</v>
      </c>
      <c r="BJ74" s="1">
        <v>1002.0</v>
      </c>
      <c r="BM74" s="1">
        <f t="shared" si="178"/>
        <v>449.0</v>
      </c>
      <c r="BN74" s="1">
        <f t="shared" si="179"/>
        <v>18.0761904761903</v>
      </c>
      <c r="BP74" s="45">
        <f t="shared" si="180"/>
        <v>430.92380952381</v>
      </c>
      <c r="BQ74" s="5">
        <f t="shared" si="181"/>
        <v>858.314043809524</v>
      </c>
      <c r="BR74" s="1">
        <f t="shared" si="182"/>
        <v>22.595238095238</v>
      </c>
      <c r="BS74" s="1">
        <f t="shared" si="183"/>
      </c>
      <c r="BT74" s="45">
        <f t="shared" si="184"/>
        <v>408.328571428572</v>
      </c>
      <c r="BU74" s="5">
        <f t="shared" si="185"/>
        <v>813.30884857143</v>
      </c>
      <c r="BV74" s="1">
        <f t="shared" si="186"/>
        <v>24.3333333333333</v>
      </c>
      <c r="BW74" s="1">
        <f t="shared" si="187"/>
      </c>
      <c r="BX74" s="45">
        <f t="shared" si="188"/>
        <v>383.995238095239</v>
      </c>
      <c r="BY74" s="5">
        <f t="shared" si="208"/>
        <v>764.841715238097</v>
      </c>
      <c r="BZ74" s="1">
        <f t="shared" si="189"/>
        <v>33.7190476190476</v>
      </c>
      <c r="CB74" s="45">
        <f t="shared" si="190"/>
        <v>350.276190476191</v>
      </c>
      <c r="CC74" s="5">
        <f t="shared" si="209"/>
        <v>697.680116190477</v>
      </c>
      <c r="CD74" s="1">
        <f t="shared" si="191"/>
        <v>15.9904761904761</v>
      </c>
      <c r="CF74" s="45">
        <f t="shared" si="192"/>
        <v>334.285714285714</v>
      </c>
      <c r="CG74" s="5">
        <f t="shared" si="210"/>
        <v>665.830285714285</v>
      </c>
      <c r="CH74" s="1">
        <f t="shared" si="193"/>
        <v>31.2857142857143</v>
      </c>
      <c r="CJ74" s="45">
        <f t="shared" si="194"/>
        <v>303.0</v>
      </c>
      <c r="CK74" s="5">
        <f t="shared" si="211"/>
        <v>603.5154</v>
      </c>
    </row>
    <row r="75" ht="17.0">
      <c r="A75" s="41" t="s">
        <v>30</v>
      </c>
      <c r="B75" s="10" t="s">
        <v>138</v>
      </c>
      <c r="C75" s="56" t="s">
        <v>173</v>
      </c>
      <c r="D75" s="55" t="s">
        <v>174</v>
      </c>
      <c r="E75" s="41">
        <v>0.0</v>
      </c>
      <c r="F75" s="41">
        <v>0.0</v>
      </c>
      <c r="G75" s="41">
        <v>0.0</v>
      </c>
      <c r="H75" s="41">
        <v>0.0</v>
      </c>
      <c r="I75" s="41">
        <v>0.0</v>
      </c>
      <c r="J75" s="41">
        <v>0.0</v>
      </c>
      <c r="K75" s="41">
        <v>0.0</v>
      </c>
      <c r="L75" s="41">
        <v>0.0</v>
      </c>
      <c r="M75" s="41">
        <v>0.0</v>
      </c>
      <c r="N75" s="41">
        <v>0.0</v>
      </c>
      <c r="O75" s="41">
        <v>0.0</v>
      </c>
      <c r="P75" s="41">
        <v>0.0</v>
      </c>
      <c r="Q75" s="41">
        <v>0.0</v>
      </c>
      <c r="R75" s="41">
        <v>0.0</v>
      </c>
      <c r="S75" s="41">
        <v>0.0</v>
      </c>
      <c r="T75" s="41">
        <v>0.0</v>
      </c>
      <c r="U75" s="41">
        <v>0.0</v>
      </c>
      <c r="V75" s="41">
        <v>0.0</v>
      </c>
      <c r="W75" s="41">
        <v>0.0</v>
      </c>
      <c r="X75" s="41">
        <v>0.0</v>
      </c>
      <c r="Y75" s="41">
        <v>0.0</v>
      </c>
      <c r="Z75" s="41">
        <v>0.0</v>
      </c>
      <c r="AA75" s="41">
        <v>0.0</v>
      </c>
      <c r="AB75" s="41">
        <v>0.0</v>
      </c>
      <c r="AC75" s="41">
        <v>0.0</v>
      </c>
      <c r="AD75" s="41">
        <v>0.0</v>
      </c>
      <c r="AE75" s="41">
        <v>0.0</v>
      </c>
      <c r="AF75" s="41">
        <v>37.0</v>
      </c>
      <c r="AG75" s="41">
        <v>24.0</v>
      </c>
      <c r="AH75" s="41">
        <v>29.0</v>
      </c>
      <c r="AI75" s="41">
        <v>20.0</v>
      </c>
      <c r="AJ75" s="41">
        <v>4.0</v>
      </c>
      <c r="AK75" s="41">
        <v>0.0</v>
      </c>
      <c r="AL75" s="41">
        <v>0.0</v>
      </c>
      <c r="AM75" s="43">
        <v>0.0</v>
      </c>
      <c r="AN75" s="43">
        <v>4.0</v>
      </c>
      <c r="AO75" s="43">
        <v>80.0</v>
      </c>
      <c r="AP75" s="43">
        <v>20.0</v>
      </c>
      <c r="AQ75" s="43">
        <v>24.0</v>
      </c>
      <c r="AR75" s="43">
        <v>0.0</v>
      </c>
      <c r="AS75" s="43">
        <v>10.0</v>
      </c>
      <c r="AT75" s="4">
        <f t="shared" si="4"/>
        <v>191.0</v>
      </c>
      <c r="AU75" s="4">
        <f t="shared" si="5"/>
        <v>53.0</v>
      </c>
      <c r="AV75" s="4">
        <f t="shared" si="6"/>
        <v>58.3</v>
      </c>
      <c r="AW75" s="1">
        <f>AV75*$AW$4/$AV$4+4*$AW$83+4*$AW$85</f>
        <v>12.5047619047619</v>
      </c>
      <c r="AX75" s="1">
        <f>AV75*$AX$4/$AV$4+4*$AX$83+4*$AX$85</f>
        <v>15.6309523809523</v>
      </c>
      <c r="AY75" s="1">
        <f>AV75*$AY$4/$AV$4+4*$AY$83+4*$AY$85</f>
        <v>16.8333333333333</v>
      </c>
      <c r="AZ75" s="1">
        <f>AV75*$AZ$4/$AV$4+4*$AZ$83+4*$AZ$85</f>
        <v>23.3261904761903</v>
      </c>
      <c r="BA75" s="1">
        <f>AV75*$BA$4/$AV$4+4*$BA$83+4*$BA$85</f>
        <v>11.0619047619047</v>
      </c>
      <c r="BB75" s="1">
        <f>AV75*$BB$4/$AV$4+4*$BB$83+4*$BB$85</f>
        <v>21.6428571428571</v>
      </c>
      <c r="BC75" s="4">
        <f t="shared" si="13"/>
        <v>101.0</v>
      </c>
      <c r="BD75" s="3">
        <f>VLOOKUP(D75,FEB23SOH,2,false)</f>
        <v>646.0</v>
      </c>
      <c r="BE75" s="44">
        <f>VLOOKUP(D75,UNITVALUE,4,false)</f>
        <v>1.992</v>
      </c>
      <c r="BF75" s="44">
        <f t="shared" si="16"/>
        <v>1286.832</v>
      </c>
      <c r="BI75" s="6">
        <f t="shared" si="177"/>
        <v>545.0</v>
      </c>
      <c r="BJ75" s="1">
        <v>1002.0</v>
      </c>
      <c r="BK75" s="53" t="s">
        <v>0</v>
      </c>
      <c r="BM75" s="1">
        <f t="shared" si="178"/>
        <v>646.0</v>
      </c>
      <c r="BN75" s="1">
        <f t="shared" si="179"/>
        <v>12.5047619047619</v>
      </c>
      <c r="BP75" s="45">
        <f t="shared" si="180"/>
        <v>633.495238095238</v>
      </c>
      <c r="BQ75" s="5">
        <f t="shared" si="181"/>
        <v>1261.92251428571</v>
      </c>
      <c r="BR75" s="1">
        <f t="shared" si="182"/>
        <v>15.6309523809523</v>
      </c>
      <c r="BS75" s="1">
        <f t="shared" si="183"/>
      </c>
      <c r="BT75" s="45">
        <f t="shared" si="184"/>
        <v>617.864285714286</v>
      </c>
      <c r="BU75" s="5">
        <f t="shared" si="185"/>
        <v>1230.78565714286</v>
      </c>
      <c r="BV75" s="1">
        <f t="shared" si="186"/>
        <v>16.8333333333333</v>
      </c>
      <c r="BW75" s="1">
        <f t="shared" si="187"/>
      </c>
      <c r="BX75" s="45">
        <f t="shared" si="188"/>
        <v>601.030952380952</v>
      </c>
      <c r="BY75" s="5">
        <f t="shared" si="208"/>
        <v>1197.25365714286</v>
      </c>
      <c r="BZ75" s="1">
        <f t="shared" si="189"/>
        <v>23.3261904761903</v>
      </c>
      <c r="CB75" s="45">
        <f t="shared" si="190"/>
        <v>577.704761904761</v>
      </c>
      <c r="CC75" s="5">
        <f t="shared" si="209"/>
        <v>1150.78788571428</v>
      </c>
      <c r="CD75" s="1">
        <f t="shared" si="191"/>
        <v>11.0619047619047</v>
      </c>
      <c r="CF75" s="45">
        <f t="shared" si="192"/>
        <v>566.642857142856</v>
      </c>
      <c r="CG75" s="5">
        <f t="shared" si="210"/>
        <v>1128.75257142857</v>
      </c>
      <c r="CH75" s="1">
        <f t="shared" si="193"/>
        <v>21.6428571428571</v>
      </c>
      <c r="CJ75" s="45">
        <f t="shared" si="194"/>
        <v>544.999999999999</v>
      </c>
      <c r="CK75" s="5">
        <f t="shared" si="211"/>
        <v>1085.64</v>
      </c>
    </row>
    <row r="76" ht="17.0">
      <c r="A76" s="41" t="s">
        <v>30</v>
      </c>
      <c r="B76" s="10" t="s">
        <v>138</v>
      </c>
      <c r="C76" s="41" t="s">
        <v>175</v>
      </c>
      <c r="D76" s="58" t="s">
        <v>176</v>
      </c>
      <c r="E76" s="41">
        <v>0.0</v>
      </c>
      <c r="F76" s="41">
        <v>0.0</v>
      </c>
      <c r="G76" s="41">
        <v>0.0</v>
      </c>
      <c r="H76" s="41">
        <v>0.0</v>
      </c>
      <c r="I76" s="41">
        <v>0.0</v>
      </c>
      <c r="J76" s="41">
        <v>0.0</v>
      </c>
      <c r="K76" s="41">
        <v>0.0</v>
      </c>
      <c r="L76" s="41">
        <v>0.0</v>
      </c>
      <c r="M76" s="41">
        <v>0.0</v>
      </c>
      <c r="N76" s="41">
        <v>0.0</v>
      </c>
      <c r="O76" s="41">
        <v>0.0</v>
      </c>
      <c r="P76" s="41">
        <v>0.0</v>
      </c>
      <c r="Q76" s="41">
        <v>0.0</v>
      </c>
      <c r="R76" s="41">
        <v>0.0</v>
      </c>
      <c r="S76" s="41">
        <v>0.0</v>
      </c>
      <c r="T76" s="41">
        <v>0.0</v>
      </c>
      <c r="U76" s="41">
        <v>0.0</v>
      </c>
      <c r="V76" s="41">
        <v>0.0</v>
      </c>
      <c r="W76" s="41">
        <v>0.0</v>
      </c>
      <c r="X76" s="41">
        <v>0.0</v>
      </c>
      <c r="Y76" s="41">
        <v>0.0</v>
      </c>
      <c r="Z76" s="41">
        <v>0.0</v>
      </c>
      <c r="AA76" s="41">
        <v>0.0</v>
      </c>
      <c r="AB76" s="41">
        <v>0.0</v>
      </c>
      <c r="AC76" s="41">
        <v>0.0</v>
      </c>
      <c r="AD76" s="41">
        <v>0.0</v>
      </c>
      <c r="AE76" s="41">
        <v>0.0</v>
      </c>
      <c r="AF76" s="41">
        <v>34.0</v>
      </c>
      <c r="AG76" s="41">
        <v>44.0</v>
      </c>
      <c r="AH76" s="41">
        <v>48.0</v>
      </c>
      <c r="AI76" s="41">
        <v>16.0</v>
      </c>
      <c r="AJ76" s="41">
        <v>4.0</v>
      </c>
      <c r="AK76" s="41">
        <v>0.0</v>
      </c>
      <c r="AL76" s="41">
        <v>4.0</v>
      </c>
      <c r="AM76" s="43">
        <v>8.0</v>
      </c>
      <c r="AN76" s="43">
        <v>12.0</v>
      </c>
      <c r="AO76" s="43">
        <v>24.0</v>
      </c>
      <c r="AP76" s="43">
        <v>36.0</v>
      </c>
      <c r="AQ76" s="43">
        <v>16.0</v>
      </c>
      <c r="AR76" s="43">
        <v>8.0</v>
      </c>
      <c r="AS76" s="43">
        <v>0.0</v>
      </c>
      <c r="AT76" s="4">
        <f t="shared" si="4"/>
        <v>176.0</v>
      </c>
      <c r="AU76" s="4">
        <f t="shared" si="5"/>
        <v>80.0</v>
      </c>
      <c r="AV76" s="4">
        <f t="shared" si="6"/>
        <v>88.0</v>
      </c>
      <c r="AW76" s="1">
        <f t="shared" ref="AW76:AW77" si="284">AV76*$AW$4/$AV$4+4*$AW$84</f>
        <v>18.3238095238095</v>
      </c>
      <c r="AX76" s="1">
        <f t="shared" ref="AX76:AX77" si="285">AV76*$AX$4/$AV$4+4*$AX$84</f>
        <v>22.9047619047618</v>
      </c>
      <c r="AY76" s="1">
        <f t="shared" ref="AY76:AY77" si="286">AV76*$AY$4/$AV$4+4*$AY$84</f>
        <v>24.6666666666666</v>
      </c>
      <c r="AZ76" s="1">
        <f t="shared" ref="AZ76:AZ77" si="287">AV76*$AZ$4/$AV$4+4*$AZ$84</f>
        <v>34.1809523809523</v>
      </c>
      <c r="BA76" s="1">
        <f t="shared" ref="BA76:BA77" si="288">AV76*$BA$4/$AV$4+4*$BA$84</f>
        <v>16.209523809523</v>
      </c>
      <c r="BB76" s="1">
        <f t="shared" ref="BB76:BB77" si="289">AV76*$BB$4/$AV$4+4*$BB$84</f>
        <v>31.7142857142857</v>
      </c>
      <c r="BC76" s="4">
        <f t="shared" si="13"/>
        <v>147.999999999999</v>
      </c>
      <c r="BD76" s="3">
        <f>VLOOKUP(D76,FEB23SOH,2,false)</f>
        <v>574.0</v>
      </c>
      <c r="BE76" s="44">
        <f>VLOOKUP(D76,UNITVALUE,4,false)</f>
        <v>1.992</v>
      </c>
      <c r="BF76" s="44">
        <f t="shared" si="16"/>
        <v>1143.408</v>
      </c>
      <c r="BI76" s="6">
        <f t="shared" si="177"/>
        <v>426.000000000001</v>
      </c>
      <c r="BJ76" s="1">
        <v>1002.0</v>
      </c>
      <c r="BK76" s="53" t="s">
        <v>0</v>
      </c>
      <c r="BM76" s="1">
        <f t="shared" si="178"/>
        <v>574.0</v>
      </c>
      <c r="BN76" s="1">
        <f t="shared" si="179"/>
        <v>18.3238095238095</v>
      </c>
      <c r="BP76" s="45">
        <f t="shared" si="180"/>
        <v>555.67619047619</v>
      </c>
      <c r="BQ76" s="5">
        <f t="shared" si="181"/>
        <v>1106.90697142857</v>
      </c>
      <c r="BR76" s="1">
        <f t="shared" si="182"/>
        <v>22.9047619047618</v>
      </c>
      <c r="BS76" s="1">
        <f t="shared" si="183"/>
      </c>
      <c r="BT76" s="45">
        <f t="shared" si="184"/>
        <v>532.771428571428</v>
      </c>
      <c r="BU76" s="5">
        <f t="shared" si="185"/>
        <v>1061.28068571428</v>
      </c>
      <c r="BV76" s="1">
        <f t="shared" si="186"/>
        <v>24.6666666666666</v>
      </c>
      <c r="BW76" s="1">
        <f t="shared" si="187"/>
      </c>
      <c r="BX76" s="45">
        <f t="shared" si="188"/>
        <v>508.104761904761</v>
      </c>
      <c r="BY76" s="5">
        <f t="shared" si="208"/>
        <v>1012.14468571428</v>
      </c>
      <c r="BZ76" s="1">
        <f t="shared" si="189"/>
        <v>34.1809523809523</v>
      </c>
      <c r="CB76" s="45">
        <f t="shared" si="190"/>
        <v>473.9238095238</v>
      </c>
      <c r="CC76" s="5">
        <f t="shared" si="209"/>
        <v>944.05622857141</v>
      </c>
      <c r="CD76" s="1">
        <f t="shared" si="191"/>
        <v>16.209523809523</v>
      </c>
      <c r="CF76" s="45">
        <f t="shared" si="192"/>
        <v>457.714285714277</v>
      </c>
      <c r="CG76" s="5">
        <f t="shared" si="210"/>
        <v>911.76685714284</v>
      </c>
      <c r="CH76" s="1">
        <f t="shared" si="193"/>
        <v>31.7142857142857</v>
      </c>
      <c r="CJ76" s="45">
        <f t="shared" si="194"/>
        <v>425.999999999991</v>
      </c>
      <c r="CK76" s="5">
        <f t="shared" si="211"/>
        <v>848.591999999982</v>
      </c>
    </row>
    <row r="77" ht="17.0">
      <c r="A77" s="41" t="s">
        <v>30</v>
      </c>
      <c r="B77" s="10" t="s">
        <v>138</v>
      </c>
      <c r="C77" s="41" t="s">
        <v>177</v>
      </c>
      <c r="D77" s="58" t="s">
        <v>178</v>
      </c>
      <c r="E77" s="41">
        <v>0.0</v>
      </c>
      <c r="F77" s="41">
        <v>0.0</v>
      </c>
      <c r="G77" s="41">
        <v>0.0</v>
      </c>
      <c r="H77" s="41">
        <v>0.0</v>
      </c>
      <c r="I77" s="41">
        <v>0.0</v>
      </c>
      <c r="J77" s="41">
        <v>0.0</v>
      </c>
      <c r="K77" s="41">
        <v>0.0</v>
      </c>
      <c r="L77" s="41">
        <v>0.0</v>
      </c>
      <c r="M77" s="41">
        <v>0.0</v>
      </c>
      <c r="N77" s="41">
        <v>0.0</v>
      </c>
      <c r="O77" s="41">
        <v>0.0</v>
      </c>
      <c r="P77" s="41">
        <v>0.0</v>
      </c>
      <c r="Q77" s="41">
        <v>0.0</v>
      </c>
      <c r="R77" s="41">
        <v>0.0</v>
      </c>
      <c r="S77" s="41">
        <v>0.0</v>
      </c>
      <c r="T77" s="41">
        <v>0.0</v>
      </c>
      <c r="U77" s="41">
        <v>0.0</v>
      </c>
      <c r="V77" s="41">
        <v>0.0</v>
      </c>
      <c r="W77" s="41">
        <v>0.0</v>
      </c>
      <c r="X77" s="41">
        <v>0.0</v>
      </c>
      <c r="Y77" s="41">
        <v>0.0</v>
      </c>
      <c r="Z77" s="41">
        <v>0.0</v>
      </c>
      <c r="AA77" s="41">
        <v>0.0</v>
      </c>
      <c r="AB77" s="41">
        <v>0.0</v>
      </c>
      <c r="AC77" s="41">
        <v>0.0</v>
      </c>
      <c r="AD77" s="41">
        <v>0.0</v>
      </c>
      <c r="AE77" s="41">
        <v>0.0</v>
      </c>
      <c r="AF77" s="41">
        <v>37.0</v>
      </c>
      <c r="AG77" s="41">
        <v>72.0</v>
      </c>
      <c r="AH77" s="41">
        <v>44.0</v>
      </c>
      <c r="AI77" s="41">
        <v>12.0</v>
      </c>
      <c r="AJ77" s="41">
        <v>4.0</v>
      </c>
      <c r="AK77" s="41">
        <v>12.0</v>
      </c>
      <c r="AL77" s="41">
        <v>0.0</v>
      </c>
      <c r="AM77" s="43">
        <v>4.0</v>
      </c>
      <c r="AN77" s="43">
        <v>8.0</v>
      </c>
      <c r="AO77" s="43">
        <v>8.0</v>
      </c>
      <c r="AP77" s="43">
        <v>24.0</v>
      </c>
      <c r="AQ77" s="43">
        <v>24.0</v>
      </c>
      <c r="AR77" s="43">
        <v>4.0</v>
      </c>
      <c r="AS77" s="43">
        <v>10.0</v>
      </c>
      <c r="AT77" s="4">
        <f t="shared" si="4"/>
        <v>154.0</v>
      </c>
      <c r="AU77" s="4">
        <f t="shared" si="5"/>
        <v>76.0</v>
      </c>
      <c r="AV77" s="4">
        <f t="shared" si="6"/>
        <v>83.6</v>
      </c>
      <c r="AW77" s="1">
        <f t="shared" si="284"/>
        <v>17.8285714285714</v>
      </c>
      <c r="AX77" s="1">
        <f t="shared" si="285"/>
        <v>22.2857142857143</v>
      </c>
      <c r="AY77" s="1">
        <f t="shared" si="286"/>
        <v>24.0</v>
      </c>
      <c r="AZ77" s="1">
        <f t="shared" si="287"/>
        <v>33.2571428571429</v>
      </c>
      <c r="BA77" s="1">
        <f t="shared" si="288"/>
        <v>15.771428571429</v>
      </c>
      <c r="BB77" s="1">
        <f t="shared" si="289"/>
        <v>30.8571428571428</v>
      </c>
      <c r="BC77" s="4">
        <f t="shared" si="13"/>
        <v>144.0</v>
      </c>
      <c r="BD77" s="3">
        <f>VLOOKUP(D77,FEB23SOH,2,false)</f>
        <v>567.0</v>
      </c>
      <c r="BE77" s="44">
        <f>VLOOKUP(D77,UNITVALUE,4,false)</f>
        <v>1.9919</v>
      </c>
      <c r="BF77" s="44">
        <f t="shared" si="16"/>
        <v>1129.4073</v>
      </c>
      <c r="BI77" s="6">
        <f t="shared" si="177"/>
        <v>423.0</v>
      </c>
      <c r="BJ77" s="1">
        <v>1002.0</v>
      </c>
      <c r="BK77" s="53" t="s">
        <v>0</v>
      </c>
      <c r="BM77" s="1">
        <f t="shared" si="178"/>
        <v>567.0</v>
      </c>
      <c r="BN77" s="1">
        <f t="shared" si="179"/>
        <v>17.8285714285714</v>
      </c>
      <c r="BP77" s="45">
        <f t="shared" si="180"/>
        <v>549.171428571429</v>
      </c>
      <c r="BQ77" s="5">
        <f t="shared" si="181"/>
        <v>1093.89456857142</v>
      </c>
      <c r="BR77" s="1">
        <f t="shared" si="182"/>
        <v>22.2857142857143</v>
      </c>
      <c r="BS77" s="1">
        <f t="shared" si="183"/>
      </c>
      <c r="BT77" s="45">
        <f t="shared" si="184"/>
        <v>526.885714285714</v>
      </c>
      <c r="BU77" s="5">
        <f t="shared" si="185"/>
        <v>1049.50365428571</v>
      </c>
      <c r="BV77" s="1">
        <f t="shared" si="186"/>
        <v>24.0</v>
      </c>
      <c r="BW77" s="1">
        <f t="shared" si="187"/>
      </c>
      <c r="BX77" s="45">
        <f t="shared" si="188"/>
        <v>502.885714285714</v>
      </c>
      <c r="BY77" s="5">
        <f t="shared" si="208"/>
        <v>1001.69805428571</v>
      </c>
      <c r="BZ77" s="1">
        <f t="shared" si="189"/>
        <v>33.2571428571429</v>
      </c>
      <c r="CB77" s="45">
        <f t="shared" si="190"/>
        <v>469.628571428571</v>
      </c>
      <c r="CC77" s="5">
        <f t="shared" si="209"/>
        <v>935.45315142857</v>
      </c>
      <c r="CD77" s="1">
        <f t="shared" si="191"/>
        <v>15.771428571429</v>
      </c>
      <c r="CF77" s="45">
        <f t="shared" si="192"/>
        <v>453.857142857142</v>
      </c>
      <c r="CG77" s="5">
        <f t="shared" si="210"/>
        <v>904.038042857141</v>
      </c>
      <c r="CH77" s="1">
        <f t="shared" si="193"/>
        <v>30.8571428571428</v>
      </c>
      <c r="CJ77" s="45">
        <f t="shared" si="194"/>
        <v>422.999999999999</v>
      </c>
      <c r="CK77" s="5">
        <f t="shared" si="211"/>
        <v>842.573699999998</v>
      </c>
    </row>
    <row r="78" ht="17.0">
      <c r="A78" s="41" t="s">
        <v>30</v>
      </c>
      <c r="B78" s="41" t="s">
        <v>138</v>
      </c>
      <c r="C78" s="56" t="s">
        <v>179</v>
      </c>
      <c r="D78" s="57" t="s">
        <v>180</v>
      </c>
      <c r="E78" s="41">
        <v>0.0</v>
      </c>
      <c r="F78" s="41">
        <v>0.0</v>
      </c>
      <c r="G78" s="41">
        <v>0.0</v>
      </c>
      <c r="H78" s="41">
        <v>0.0</v>
      </c>
      <c r="I78" s="41">
        <v>0.0</v>
      </c>
      <c r="J78" s="41">
        <v>0.0</v>
      </c>
      <c r="K78" s="41">
        <v>0.0</v>
      </c>
      <c r="L78" s="41">
        <v>0.0</v>
      </c>
      <c r="M78" s="41">
        <v>0.0</v>
      </c>
      <c r="N78" s="41">
        <v>0.0</v>
      </c>
      <c r="O78" s="41">
        <v>0.0</v>
      </c>
      <c r="P78" s="41">
        <v>0.0</v>
      </c>
      <c r="Q78" s="41">
        <v>0.0</v>
      </c>
      <c r="R78" s="41">
        <v>0.0</v>
      </c>
      <c r="S78" s="41">
        <v>0.0</v>
      </c>
      <c r="T78" s="41">
        <v>0.0</v>
      </c>
      <c r="U78" s="41">
        <v>0.0</v>
      </c>
      <c r="V78" s="41">
        <v>0.0</v>
      </c>
      <c r="W78" s="41">
        <v>0.0</v>
      </c>
      <c r="X78" s="41">
        <v>0.0</v>
      </c>
      <c r="Y78" s="41">
        <v>0.0</v>
      </c>
      <c r="Z78" s="41">
        <v>0.0</v>
      </c>
      <c r="AA78" s="41">
        <v>0.0</v>
      </c>
      <c r="AB78" s="41">
        <v>0.0</v>
      </c>
      <c r="AC78" s="41">
        <v>0.0</v>
      </c>
      <c r="AD78" s="41">
        <v>0.0</v>
      </c>
      <c r="AE78" s="41">
        <v>0.0</v>
      </c>
      <c r="AF78" s="41">
        <v>53.0</v>
      </c>
      <c r="AG78" s="41">
        <v>116.0</v>
      </c>
      <c r="AH78" s="41">
        <v>57.0</v>
      </c>
      <c r="AI78" s="41">
        <v>56.0</v>
      </c>
      <c r="AJ78" s="41">
        <v>32.0</v>
      </c>
      <c r="AK78" s="41">
        <v>33.0</v>
      </c>
      <c r="AL78" s="41">
        <v>8.0</v>
      </c>
      <c r="AM78" s="43">
        <v>16.0</v>
      </c>
      <c r="AN78" s="43">
        <v>11.0</v>
      </c>
      <c r="AO78" s="43">
        <v>52.0</v>
      </c>
      <c r="AP78" s="43">
        <v>52.0</v>
      </c>
      <c r="AQ78" s="43">
        <v>24.0</v>
      </c>
      <c r="AR78" s="43">
        <v>12.0</v>
      </c>
      <c r="AS78" s="43">
        <v>24.0</v>
      </c>
      <c r="AT78" s="4">
        <f t="shared" si="4"/>
        <v>377.0</v>
      </c>
      <c r="AU78" s="4">
        <f t="shared" si="5"/>
        <v>202.0</v>
      </c>
      <c r="AV78" s="4">
        <f t="shared" si="6"/>
        <v>222.2</v>
      </c>
      <c r="AW78" s="1">
        <f>AV78*$AW$4/$AV$4+4*$AW$82</f>
        <v>26.9904761904761</v>
      </c>
      <c r="AX78" s="1">
        <f>AV78*$AX$4/$AV$4+4*$AX$82</f>
        <v>33.7380952380952</v>
      </c>
      <c r="AY78" s="1">
        <f>AV78*$AY$4/$AV$4+4*$AY$82</f>
        <v>36.3333333333333</v>
      </c>
      <c r="AZ78" s="1">
        <f>AV78*$AZ$4/$AV$4+4*$AZ$82</f>
        <v>50.347619047619</v>
      </c>
      <c r="BA78" s="1">
        <f>AV78*$BA$4/$AV$4+4*$BA$82</f>
        <v>23.8761904761904</v>
      </c>
      <c r="BB78" s="1">
        <f>AV78*$BB$4/$AV$4+4*$BB$82</f>
        <v>46.7142857142856</v>
      </c>
      <c r="BC78" s="4">
        <f t="shared" si="13"/>
        <v>218.0</v>
      </c>
      <c r="BD78" s="3">
        <f>VLOOKUP(D78,FEB23SOH,2,false)</f>
        <v>314.0</v>
      </c>
      <c r="BE78" s="44">
        <f>VLOOKUP(D78,UNITVALUE,4,false)</f>
        <v>1.3816</v>
      </c>
      <c r="BF78" s="44">
        <f t="shared" si="16"/>
        <v>433.8224</v>
      </c>
      <c r="BI78" s="6">
        <f t="shared" si="177"/>
        <v>96.0</v>
      </c>
      <c r="BJ78" s="1">
        <v>1002.0</v>
      </c>
      <c r="BK78" s="51">
        <f>BJ78</f>
        <v>1002.0</v>
      </c>
      <c r="BL78" s="8" t="s">
        <v>9</v>
      </c>
      <c r="BM78" s="1">
        <f t="shared" si="178"/>
        <v>314.0</v>
      </c>
      <c r="BN78" s="1">
        <f t="shared" si="179"/>
        <v>26.9904761904761</v>
      </c>
      <c r="BP78" s="45">
        <f t="shared" si="180"/>
        <v>287.009523809523</v>
      </c>
      <c r="BQ78" s="5">
        <f t="shared" si="181"/>
        <v>396.53235809523</v>
      </c>
      <c r="BR78" s="1">
        <f t="shared" si="182"/>
        <v>33.7380952380952</v>
      </c>
      <c r="BS78" s="1">
        <f t="shared" si="183"/>
      </c>
      <c r="BT78" s="45">
        <f t="shared" si="184"/>
        <v>253.271428571428</v>
      </c>
      <c r="BU78" s="5">
        <f t="shared" si="185"/>
        <v>349.919805714284</v>
      </c>
      <c r="BV78" s="1">
        <f t="shared" si="186"/>
        <v>36.3333333333333</v>
      </c>
      <c r="BW78" s="1">
        <f t="shared" si="187"/>
      </c>
      <c r="BX78" s="45">
        <f t="shared" si="188"/>
        <v>216.938095238094</v>
      </c>
      <c r="BY78" s="5">
        <f t="shared" si="208"/>
        <v>299.72167238095</v>
      </c>
      <c r="BZ78" s="1">
        <f t="shared" si="189"/>
        <v>50.347619047619</v>
      </c>
      <c r="CB78" s="45">
        <f t="shared" si="190"/>
        <v>166.590476190475</v>
      </c>
      <c r="CC78" s="5">
        <f t="shared" si="209"/>
        <v>230.16140190476</v>
      </c>
      <c r="CD78" s="1">
        <f t="shared" si="191"/>
        <v>23.8761904761904</v>
      </c>
      <c r="CF78" s="45">
        <f t="shared" si="192"/>
        <v>142.714285714284</v>
      </c>
      <c r="CG78" s="5">
        <f t="shared" si="210"/>
        <v>197.174057142854</v>
      </c>
      <c r="CH78" s="1">
        <f t="shared" si="193"/>
        <v>46.7142857142856</v>
      </c>
      <c r="CJ78" s="45">
        <f t="shared" si="194"/>
        <v>95.9999999999983</v>
      </c>
      <c r="CK78" s="5">
        <f t="shared" si="211"/>
        <v>132.6336</v>
      </c>
    </row>
    <row r="79" ht="17.0">
      <c r="A79" s="41" t="s">
        <v>30</v>
      </c>
      <c r="B79" s="10" t="s">
        <v>138</v>
      </c>
      <c r="C79" s="56" t="s">
        <v>181</v>
      </c>
      <c r="D79" s="55" t="s">
        <v>182</v>
      </c>
      <c r="E79" s="41">
        <v>0.0</v>
      </c>
      <c r="F79" s="41">
        <v>0.0</v>
      </c>
      <c r="G79" s="41">
        <v>0.0</v>
      </c>
      <c r="H79" s="41">
        <v>0.0</v>
      </c>
      <c r="I79" s="41">
        <v>0.0</v>
      </c>
      <c r="J79" s="41">
        <v>0.0</v>
      </c>
      <c r="K79" s="41">
        <v>0.0</v>
      </c>
      <c r="L79" s="41">
        <v>0.0</v>
      </c>
      <c r="M79" s="41">
        <v>0.0</v>
      </c>
      <c r="N79" s="41">
        <v>0.0</v>
      </c>
      <c r="O79" s="41">
        <v>0.0</v>
      </c>
      <c r="P79" s="41">
        <v>0.0</v>
      </c>
      <c r="Q79" s="41">
        <v>0.0</v>
      </c>
      <c r="R79" s="41">
        <v>0.0</v>
      </c>
      <c r="S79" s="41">
        <v>0.0</v>
      </c>
      <c r="T79" s="41">
        <v>0.0</v>
      </c>
      <c r="U79" s="41">
        <v>0.0</v>
      </c>
      <c r="V79" s="41">
        <v>0.0</v>
      </c>
      <c r="W79" s="41">
        <v>0.0</v>
      </c>
      <c r="X79" s="41">
        <v>0.0</v>
      </c>
      <c r="Y79" s="41">
        <v>0.0</v>
      </c>
      <c r="Z79" s="41">
        <v>0.0</v>
      </c>
      <c r="AA79" s="41">
        <v>0.0</v>
      </c>
      <c r="AB79" s="41">
        <v>0.0</v>
      </c>
      <c r="AC79" s="41">
        <v>0.0</v>
      </c>
      <c r="AD79" s="41">
        <v>0.0</v>
      </c>
      <c r="AE79" s="41">
        <v>0.0</v>
      </c>
      <c r="AF79" s="41">
        <v>25.0</v>
      </c>
      <c r="AG79" s="41">
        <v>28.0</v>
      </c>
      <c r="AH79" s="41">
        <v>38.0</v>
      </c>
      <c r="AI79" s="41">
        <v>12.0</v>
      </c>
      <c r="AJ79" s="41">
        <v>12.0</v>
      </c>
      <c r="AK79" s="41">
        <v>0.0</v>
      </c>
      <c r="AL79" s="41">
        <v>0.0</v>
      </c>
      <c r="AM79" s="43">
        <v>8.0</v>
      </c>
      <c r="AN79" s="43">
        <v>4.0</v>
      </c>
      <c r="AO79" s="43">
        <v>15.0</v>
      </c>
      <c r="AP79" s="43">
        <v>20.0</v>
      </c>
      <c r="AQ79" s="43">
        <v>4.0</v>
      </c>
      <c r="AR79" s="43">
        <v>11.0</v>
      </c>
      <c r="AS79" s="43">
        <v>19.0</v>
      </c>
      <c r="AT79" s="4">
        <f t="shared" si="4"/>
        <v>143.0</v>
      </c>
      <c r="AU79" s="4">
        <f t="shared" si="5"/>
        <v>70.0</v>
      </c>
      <c r="AV79" s="4">
        <f t="shared" si="6"/>
        <v>77.0</v>
      </c>
      <c r="AW79" s="1">
        <f>AV79*$AW$4/$AV$4+4*$AW$83+4*$AW$85</f>
        <v>14.6095238095239</v>
      </c>
      <c r="AX79" s="1">
        <f>AV79*$AX$4/$AV$4+4*$AX$83+4*$AX$85</f>
        <v>18.2619047619047</v>
      </c>
      <c r="AY79" s="1">
        <f>AV79*$AY$4/$AV$4+4*$AY$83+4*$AY$85</f>
        <v>19.6666666666667</v>
      </c>
      <c r="AZ79" s="1">
        <f>AV79*$AZ$4/$AV$4+4*$AZ$83+4*$AZ$85</f>
        <v>27.2523809523809</v>
      </c>
      <c r="BA79" s="1">
        <f>AV79*$BA$4/$AV$4+4*$BA$83+4*$BA$85</f>
        <v>12.9238095238095</v>
      </c>
      <c r="BB79" s="1">
        <f>AV79*$BB$4/$AV$4+4*$BB$83+4*$BB$85</f>
        <v>25.2857142857142</v>
      </c>
      <c r="BC79" s="4">
        <f t="shared" si="13"/>
        <v>118.0</v>
      </c>
      <c r="BD79" s="3">
        <f>VLOOKUP(D79,FEB23SOH,2,false)</f>
        <v>691.0</v>
      </c>
      <c r="BE79" s="44">
        <f>VLOOKUP(D79,UNITVALUE,4,false)</f>
        <v>1.3808</v>
      </c>
      <c r="BF79" s="44">
        <f t="shared" si="16"/>
        <v>954.1328</v>
      </c>
      <c r="BI79" s="6">
        <f t="shared" si="177"/>
        <v>573.0</v>
      </c>
      <c r="BJ79" s="1">
        <v>1002.0</v>
      </c>
      <c r="BK79" s="53" t="s">
        <v>0</v>
      </c>
      <c r="BM79" s="1">
        <f t="shared" si="178"/>
        <v>691.0</v>
      </c>
      <c r="BN79" s="1">
        <f t="shared" si="179"/>
        <v>14.6095238095239</v>
      </c>
      <c r="BP79" s="45">
        <f t="shared" si="180"/>
        <v>676.390476190476</v>
      </c>
      <c r="BQ79" s="5">
        <f t="shared" si="181"/>
        <v>933.959969523809</v>
      </c>
      <c r="BR79" s="1">
        <f t="shared" si="182"/>
        <v>18.2619047619047</v>
      </c>
      <c r="BS79" s="1">
        <f t="shared" si="183"/>
      </c>
      <c r="BT79" s="45">
        <f t="shared" si="184"/>
        <v>658.128571428571</v>
      </c>
      <c r="BU79" s="5">
        <f t="shared" si="185"/>
        <v>908.74393142857</v>
      </c>
      <c r="BV79" s="1">
        <f t="shared" si="186"/>
        <v>19.6666666666667</v>
      </c>
      <c r="BW79" s="1">
        <f t="shared" si="187"/>
      </c>
      <c r="BX79" s="45">
        <f t="shared" si="188"/>
        <v>638.461904761904</v>
      </c>
      <c r="BY79" s="5">
        <f t="shared" si="208"/>
        <v>881.588198095237</v>
      </c>
      <c r="BZ79" s="1">
        <f t="shared" si="189"/>
        <v>27.2523809523809</v>
      </c>
      <c r="CB79" s="45">
        <f t="shared" si="190"/>
        <v>611.209523809523</v>
      </c>
      <c r="CC79" s="5">
        <f t="shared" si="209"/>
        <v>843.958110476189</v>
      </c>
      <c r="CD79" s="1">
        <f t="shared" si="191"/>
        <v>12.9238095238095</v>
      </c>
      <c r="CF79" s="45">
        <f t="shared" si="192"/>
        <v>598.285714285713</v>
      </c>
      <c r="CG79" s="5">
        <f t="shared" si="210"/>
        <v>826.112914285712</v>
      </c>
      <c r="CH79" s="1">
        <f t="shared" si="193"/>
        <v>25.2857142857142</v>
      </c>
      <c r="CJ79" s="45">
        <f t="shared" si="194"/>
        <v>572.999999999999</v>
      </c>
      <c r="CK79" s="5">
        <f t="shared" si="211"/>
        <v>791.198399999999</v>
      </c>
    </row>
    <row r="80" ht="17.0">
      <c r="A80" s="41" t="s">
        <v>30</v>
      </c>
      <c r="B80" s="10" t="s">
        <v>138</v>
      </c>
      <c r="C80" s="41" t="s">
        <v>183</v>
      </c>
      <c r="D80" s="58" t="s">
        <v>184</v>
      </c>
      <c r="E80" s="41">
        <v>0.0</v>
      </c>
      <c r="F80" s="41">
        <v>0.0</v>
      </c>
      <c r="G80" s="41">
        <v>0.0</v>
      </c>
      <c r="H80" s="41">
        <v>0.0</v>
      </c>
      <c r="I80" s="41">
        <v>0.0</v>
      </c>
      <c r="J80" s="41">
        <v>0.0</v>
      </c>
      <c r="K80" s="41">
        <v>0.0</v>
      </c>
      <c r="L80" s="41">
        <v>0.0</v>
      </c>
      <c r="M80" s="41">
        <v>0.0</v>
      </c>
      <c r="N80" s="41">
        <v>0.0</v>
      </c>
      <c r="O80" s="41">
        <v>0.0</v>
      </c>
      <c r="P80" s="41">
        <v>0.0</v>
      </c>
      <c r="Q80" s="41">
        <v>0.0</v>
      </c>
      <c r="R80" s="41">
        <v>0.0</v>
      </c>
      <c r="S80" s="41">
        <v>0.0</v>
      </c>
      <c r="T80" s="41">
        <v>0.0</v>
      </c>
      <c r="U80" s="41">
        <v>0.0</v>
      </c>
      <c r="V80" s="41">
        <v>0.0</v>
      </c>
      <c r="W80" s="41">
        <v>0.0</v>
      </c>
      <c r="X80" s="41">
        <v>0.0</v>
      </c>
      <c r="Y80" s="41">
        <v>0.0</v>
      </c>
      <c r="Z80" s="41">
        <v>0.0</v>
      </c>
      <c r="AA80" s="41">
        <v>0.0</v>
      </c>
      <c r="AB80" s="41">
        <v>0.0</v>
      </c>
      <c r="AC80" s="41">
        <v>0.0</v>
      </c>
      <c r="AD80" s="41">
        <v>0.0</v>
      </c>
      <c r="AE80" s="41">
        <v>0.0</v>
      </c>
      <c r="AF80" s="41">
        <v>37.0</v>
      </c>
      <c r="AG80" s="41">
        <v>72.0</v>
      </c>
      <c r="AH80" s="41">
        <v>52.0</v>
      </c>
      <c r="AI80" s="41">
        <v>15.0</v>
      </c>
      <c r="AJ80" s="41">
        <v>20.0</v>
      </c>
      <c r="AK80" s="41">
        <v>0.0</v>
      </c>
      <c r="AL80" s="41">
        <v>0.0</v>
      </c>
      <c r="AM80" s="43">
        <v>8.0</v>
      </c>
      <c r="AN80" s="43">
        <v>16.0</v>
      </c>
      <c r="AO80" s="43">
        <v>24.0</v>
      </c>
      <c r="AP80" s="43">
        <v>32.0</v>
      </c>
      <c r="AQ80" s="43">
        <v>28.0</v>
      </c>
      <c r="AR80" s="43">
        <v>12.0</v>
      </c>
      <c r="AS80" s="43">
        <v>15.0</v>
      </c>
      <c r="AT80" s="4">
        <f t="shared" si="4"/>
        <v>222.0</v>
      </c>
      <c r="AU80" s="4">
        <f t="shared" si="5"/>
        <v>95.0</v>
      </c>
      <c r="AV80" s="4">
        <f t="shared" si="6"/>
        <v>104.5</v>
      </c>
      <c r="AW80" s="1">
        <f t="shared" ref="AW80:AW81" si="303">AV80*$AW$4/$AV$4+4*$AW$84</f>
        <v>20.1809523809523</v>
      </c>
      <c r="AX80" s="1">
        <f t="shared" ref="AX80:AX81" si="304">AV80*$AX$4/$AV$4+4*$AX$84</f>
        <v>25.2261904761895</v>
      </c>
      <c r="AY80" s="1">
        <f t="shared" ref="AY80:AY81" si="305">AV80*$AY$4/$AV$4+4*$AY$84</f>
        <v>27.1666666666666</v>
      </c>
      <c r="AZ80" s="1">
        <f t="shared" ref="AZ80:AZ81" si="306">AV80*$AZ$4/$AV$4+4*$AZ$84</f>
        <v>37.645238095238</v>
      </c>
      <c r="BA80" s="1">
        <f t="shared" ref="BA80:BA81" si="307">AV80*$BA$4/$AV$4+4*$BA$84</f>
        <v>17.8523809523809</v>
      </c>
      <c r="BB80" s="1">
        <f t="shared" ref="BB80:BB81" si="308">AV80*$BB$4/$AV$4+4*$BB$84</f>
        <v>34.9285714285715</v>
      </c>
      <c r="BC80" s="4">
        <f t="shared" si="13"/>
        <v>162.999999999999</v>
      </c>
      <c r="BD80" s="3">
        <f>VLOOKUP(D80,FEB23SOH,2,false)</f>
        <v>486.0</v>
      </c>
      <c r="BE80" s="44">
        <f>VLOOKUP(D80,UNITVALUE,4,false)</f>
        <v>1.3811</v>
      </c>
      <c r="BF80" s="44">
        <f t="shared" si="16"/>
        <v>671.2146</v>
      </c>
      <c r="BI80" s="6">
        <f t="shared" si="177"/>
        <v>323.000000000001</v>
      </c>
      <c r="BJ80" s="1">
        <v>1002.0</v>
      </c>
      <c r="BK80" s="53" t="s">
        <v>0</v>
      </c>
      <c r="BM80" s="1">
        <f t="shared" si="178"/>
        <v>486.0</v>
      </c>
      <c r="BN80" s="1">
        <f t="shared" si="179"/>
        <v>20.1809523809523</v>
      </c>
      <c r="BP80" s="45">
        <f t="shared" si="180"/>
        <v>465.81904761904</v>
      </c>
      <c r="BQ80" s="5">
        <f t="shared" si="181"/>
        <v>643.342686666656</v>
      </c>
      <c r="BR80" s="1">
        <f t="shared" si="182"/>
        <v>25.2261904761895</v>
      </c>
      <c r="BS80" s="1">
        <f t="shared" si="183"/>
      </c>
      <c r="BT80" s="45">
        <f t="shared" si="184"/>
        <v>440.59285714285</v>
      </c>
      <c r="BU80" s="5">
        <f t="shared" si="185"/>
        <v>608.50279499999</v>
      </c>
      <c r="BV80" s="1">
        <f t="shared" si="186"/>
        <v>27.1666666666666</v>
      </c>
      <c r="BW80" s="1">
        <f t="shared" si="187"/>
      </c>
      <c r="BX80" s="45">
        <f t="shared" si="188"/>
        <v>413.426190476183</v>
      </c>
      <c r="BY80" s="5">
        <f t="shared" si="208"/>
        <v>570.982911666656</v>
      </c>
      <c r="BZ80" s="1">
        <f t="shared" si="189"/>
        <v>37.645238095238</v>
      </c>
      <c r="CB80" s="45">
        <f t="shared" si="190"/>
        <v>375.780952380945</v>
      </c>
      <c r="CC80" s="5">
        <f t="shared" si="209"/>
        <v>518.991073333323</v>
      </c>
      <c r="CD80" s="1">
        <f t="shared" si="191"/>
        <v>17.8523809523809</v>
      </c>
      <c r="CF80" s="45">
        <f t="shared" si="192"/>
        <v>357.928571428564</v>
      </c>
      <c r="CG80" s="5">
        <f t="shared" si="210"/>
        <v>494.33514999999</v>
      </c>
      <c r="CH80" s="1">
        <f t="shared" si="193"/>
        <v>34.9285714285715</v>
      </c>
      <c r="CJ80" s="45">
        <f t="shared" si="194"/>
        <v>322.999999999992</v>
      </c>
      <c r="CK80" s="5">
        <f t="shared" si="211"/>
        <v>446.09529999999</v>
      </c>
    </row>
    <row r="81" ht="17.0">
      <c r="A81" s="41" t="s">
        <v>30</v>
      </c>
      <c r="B81" s="10" t="s">
        <v>138</v>
      </c>
      <c r="C81" s="41" t="s">
        <v>185</v>
      </c>
      <c r="D81" s="58" t="s">
        <v>186</v>
      </c>
      <c r="E81" s="41">
        <v>0.0</v>
      </c>
      <c r="F81" s="41">
        <v>0.0</v>
      </c>
      <c r="G81" s="41">
        <v>0.0</v>
      </c>
      <c r="H81" s="41">
        <v>0.0</v>
      </c>
      <c r="I81" s="41">
        <v>0.0</v>
      </c>
      <c r="J81" s="41">
        <v>0.0</v>
      </c>
      <c r="K81" s="41">
        <v>0.0</v>
      </c>
      <c r="L81" s="41">
        <v>0.0</v>
      </c>
      <c r="M81" s="41">
        <v>0.0</v>
      </c>
      <c r="N81" s="41">
        <v>0.0</v>
      </c>
      <c r="O81" s="41">
        <v>0.0</v>
      </c>
      <c r="P81" s="41">
        <v>0.0</v>
      </c>
      <c r="Q81" s="41">
        <v>0.0</v>
      </c>
      <c r="R81" s="41">
        <v>0.0</v>
      </c>
      <c r="S81" s="41">
        <v>0.0</v>
      </c>
      <c r="T81" s="41">
        <v>0.0</v>
      </c>
      <c r="U81" s="41">
        <v>0.0</v>
      </c>
      <c r="V81" s="41">
        <v>0.0</v>
      </c>
      <c r="W81" s="41">
        <v>0.0</v>
      </c>
      <c r="X81" s="41">
        <v>0.0</v>
      </c>
      <c r="Y81" s="41">
        <v>0.0</v>
      </c>
      <c r="Z81" s="41">
        <v>0.0</v>
      </c>
      <c r="AA81" s="41">
        <v>0.0</v>
      </c>
      <c r="AB81" s="41">
        <v>0.0</v>
      </c>
      <c r="AC81" s="41">
        <v>0.0</v>
      </c>
      <c r="AD81" s="41">
        <v>0.0</v>
      </c>
      <c r="AE81" s="41">
        <v>0.0</v>
      </c>
      <c r="AF81" s="41">
        <v>33.0</v>
      </c>
      <c r="AG81" s="41">
        <v>84.0</v>
      </c>
      <c r="AH81" s="41">
        <v>52.0</v>
      </c>
      <c r="AI81" s="41">
        <v>16.0</v>
      </c>
      <c r="AJ81" s="41">
        <v>24.0</v>
      </c>
      <c r="AK81" s="41">
        <v>4.0</v>
      </c>
      <c r="AL81" s="41">
        <v>0.0</v>
      </c>
      <c r="AM81" s="43">
        <v>8.0</v>
      </c>
      <c r="AN81" s="43">
        <v>12.0</v>
      </c>
      <c r="AO81" s="43">
        <v>12.0</v>
      </c>
      <c r="AP81" s="43">
        <v>40.0</v>
      </c>
      <c r="AQ81" s="43">
        <v>12.0</v>
      </c>
      <c r="AR81" s="43">
        <v>12.0</v>
      </c>
      <c r="AS81" s="43">
        <v>15.0</v>
      </c>
      <c r="AT81" s="4">
        <f t="shared" si="4"/>
        <v>207.0</v>
      </c>
      <c r="AU81" s="4">
        <f t="shared" si="5"/>
        <v>104.0</v>
      </c>
      <c r="AV81" s="4">
        <f t="shared" si="6"/>
        <v>114.4</v>
      </c>
      <c r="AW81" s="1">
        <f t="shared" si="303"/>
        <v>21.295238095238</v>
      </c>
      <c r="AX81" s="1">
        <f t="shared" si="304"/>
        <v>26.6190476190475</v>
      </c>
      <c r="AY81" s="1">
        <f t="shared" si="305"/>
        <v>28.6666666666666</v>
      </c>
      <c r="AZ81" s="1">
        <f t="shared" si="306"/>
        <v>39.7238095238095</v>
      </c>
      <c r="BA81" s="1">
        <f t="shared" si="307"/>
        <v>18.8380952380951</v>
      </c>
      <c r="BB81" s="1">
        <f t="shared" si="308"/>
        <v>36.8571428571428</v>
      </c>
      <c r="BC81" s="4">
        <f t="shared" si="13"/>
        <v>172.0</v>
      </c>
      <c r="BD81" s="3">
        <f>VLOOKUP(D81,FEB23SOH,2,false)</f>
        <v>495.0</v>
      </c>
      <c r="BE81" s="44">
        <f>VLOOKUP(D81,UNITVALUE,4,false)</f>
        <v>1.3811</v>
      </c>
      <c r="BF81" s="44">
        <f t="shared" si="16"/>
        <v>683.6445</v>
      </c>
      <c r="BI81" s="6">
        <f t="shared" si="177"/>
        <v>323.0</v>
      </c>
      <c r="BJ81" s="1">
        <v>1002.0</v>
      </c>
      <c r="BK81" s="53" t="s">
        <v>0</v>
      </c>
      <c r="BM81" s="1">
        <f t="shared" si="178"/>
        <v>495.0</v>
      </c>
      <c r="BN81" s="1">
        <f t="shared" si="179"/>
        <v>21.295238095238</v>
      </c>
      <c r="BP81" s="45">
        <f t="shared" si="180"/>
        <v>473.704761904762</v>
      </c>
      <c r="BQ81" s="5">
        <f t="shared" si="181"/>
        <v>654.233646666667</v>
      </c>
      <c r="BR81" s="1">
        <f t="shared" si="182"/>
        <v>26.6190476190475</v>
      </c>
      <c r="BS81" s="1">
        <f t="shared" si="183"/>
      </c>
      <c r="BT81" s="45">
        <f t="shared" si="184"/>
        <v>447.085714285714</v>
      </c>
      <c r="BU81" s="5">
        <f t="shared" si="185"/>
        <v>617.47008</v>
      </c>
      <c r="BV81" s="1">
        <f t="shared" si="186"/>
        <v>28.6666666666666</v>
      </c>
      <c r="BW81" s="1">
        <f t="shared" si="187"/>
      </c>
      <c r="BX81" s="45">
        <f t="shared" si="188"/>
        <v>418.419047619047</v>
      </c>
      <c r="BY81" s="5">
        <f t="shared" si="208"/>
        <v>577.878546666666</v>
      </c>
      <c r="BZ81" s="1">
        <f t="shared" si="189"/>
        <v>39.7238095238095</v>
      </c>
      <c r="CB81" s="45">
        <f t="shared" si="190"/>
        <v>378.695238095237</v>
      </c>
      <c r="CC81" s="5">
        <f t="shared" si="209"/>
        <v>523.015993333331</v>
      </c>
      <c r="CD81" s="1">
        <f t="shared" si="191"/>
        <v>18.8380952380951</v>
      </c>
      <c r="CF81" s="45">
        <f t="shared" si="192"/>
        <v>359.857142857141</v>
      </c>
      <c r="CG81" s="5">
        <f t="shared" si="210"/>
        <v>496.998699999997</v>
      </c>
      <c r="CH81" s="1">
        <f t="shared" si="193"/>
        <v>36.8571428571428</v>
      </c>
      <c r="CJ81" s="45">
        <f t="shared" si="194"/>
        <v>322.999999999998</v>
      </c>
      <c r="CK81" s="5">
        <f t="shared" si="211"/>
        <v>446.095299999997</v>
      </c>
    </row>
    <row r="82" ht="17.0">
      <c r="A82" s="46" t="s">
        <v>30</v>
      </c>
      <c r="B82" s="46" t="s">
        <v>138</v>
      </c>
      <c r="C82" s="46" t="s">
        <v>187</v>
      </c>
      <c r="D82" s="60" t="s">
        <v>188</v>
      </c>
      <c r="E82" s="41">
        <v>0.0</v>
      </c>
      <c r="F82" s="41">
        <v>0.0</v>
      </c>
      <c r="G82" s="41">
        <v>0.0</v>
      </c>
      <c r="H82" s="41">
        <v>0.0</v>
      </c>
      <c r="I82" s="41">
        <v>0.0</v>
      </c>
      <c r="J82" s="41">
        <v>1.0</v>
      </c>
      <c r="K82" s="41">
        <v>2.0</v>
      </c>
      <c r="L82" s="41">
        <v>0.0</v>
      </c>
      <c r="M82" s="41">
        <v>1.0</v>
      </c>
      <c r="N82" s="41">
        <v>1.0</v>
      </c>
      <c r="O82" s="41">
        <v>1.0</v>
      </c>
      <c r="P82" s="41">
        <v>0.0</v>
      </c>
      <c r="Q82" s="41">
        <v>0.0</v>
      </c>
      <c r="R82" s="41">
        <v>1.0</v>
      </c>
      <c r="S82" s="41">
        <v>2.0</v>
      </c>
      <c r="T82" s="41">
        <v>1.0</v>
      </c>
      <c r="U82" s="41">
        <v>3.0</v>
      </c>
      <c r="V82" s="41">
        <v>1.0</v>
      </c>
      <c r="W82" s="41">
        <v>0.0</v>
      </c>
      <c r="X82" s="41">
        <v>0.0</v>
      </c>
      <c r="Y82" s="41">
        <v>6.0</v>
      </c>
      <c r="Z82" s="41">
        <v>3.0</v>
      </c>
      <c r="AA82" s="41">
        <v>8.0</v>
      </c>
      <c r="AB82" s="41">
        <v>23.0</v>
      </c>
      <c r="AC82" s="41">
        <v>6.0</v>
      </c>
      <c r="AD82" s="41">
        <v>0.0</v>
      </c>
      <c r="AE82" s="41">
        <v>0.0</v>
      </c>
      <c r="AF82" s="41">
        <v>1.0</v>
      </c>
      <c r="AG82" s="41">
        <v>2.0</v>
      </c>
      <c r="AH82" s="41">
        <v>1.0</v>
      </c>
      <c r="AI82" s="41">
        <v>2.0</v>
      </c>
      <c r="AJ82" s="41">
        <v>0.0</v>
      </c>
      <c r="AK82" s="41">
        <v>0.0</v>
      </c>
      <c r="AL82" s="41">
        <v>1.0</v>
      </c>
      <c r="AM82" s="43">
        <v>0.0</v>
      </c>
      <c r="AN82" s="43">
        <v>2.0</v>
      </c>
      <c r="AO82" s="43">
        <v>0.0</v>
      </c>
      <c r="AP82" s="43">
        <v>0.0</v>
      </c>
      <c r="AQ82" s="43">
        <v>1.0</v>
      </c>
      <c r="AR82" s="43">
        <v>0.0</v>
      </c>
      <c r="AS82" s="43">
        <v>0.0</v>
      </c>
      <c r="AT82" s="4">
        <f t="shared" si="4"/>
        <v>7.0</v>
      </c>
      <c r="AU82" s="4">
        <f t="shared" si="5"/>
        <v>4.0</v>
      </c>
      <c r="AV82" s="4">
        <f t="shared" si="6"/>
        <v>4.4</v>
      </c>
      <c r="AW82" s="48">
        <f t="shared" ref="AW82:AW92" si="309">AV82*$AW$4/$AV$4</f>
        <v>0.495238095238095</v>
      </c>
      <c r="AX82" s="48">
        <f t="shared" ref="AX82:AX92" si="310">AV82*$AX$4/$AV$4</f>
        <v>0.619047619047619</v>
      </c>
      <c r="AY82" s="48">
        <f t="shared" ref="AY82:AY92" si="311">AV82*$AY$4/$AV$4</f>
        <v>0.666666666666667</v>
      </c>
      <c r="AZ82" s="48">
        <f t="shared" ref="AZ82:AZ92" si="312">AV82*$AZ$4/$AV$4</f>
        <v>0.923809523809523</v>
      </c>
      <c r="BA82" s="48">
        <f t="shared" ref="BA82:BA92" si="313">AV82*$BA$4/$AV$4</f>
        <v>0.438095238095238</v>
      </c>
      <c r="BB82" s="48">
        <f t="shared" ref="BB82:BB92" si="314">AV82*$BB$4/$AV$4</f>
        <v>0.857142857142857</v>
      </c>
      <c r="BC82" s="4">
        <f t="shared" si="13"/>
        <v>4.0</v>
      </c>
      <c r="BD82" s="3">
        <f>VLOOKUP(D82,FEB23SOH,2,false)</f>
        <v>2.0</v>
      </c>
      <c r="BE82" s="44">
        <f>VLOOKUP(D82,UNITVALUE,4,false)</f>
        <v>63.12</v>
      </c>
      <c r="BF82" s="44">
        <f t="shared" si="16"/>
        <v>126.24</v>
      </c>
      <c r="BK82" s="50"/>
      <c r="BP82" s="45"/>
      <c r="BT82" s="45"/>
      <c r="BU82" s="5"/>
      <c r="BX82" s="45"/>
      <c r="BY82" s="5"/>
      <c r="CB82" s="45"/>
      <c r="CC82" s="5"/>
      <c r="CF82" s="45"/>
      <c r="CG82" s="5"/>
      <c r="CJ82" s="45"/>
      <c r="CK82" s="5"/>
      <c r="CL82" s="49"/>
      <c r="CM82" s="49"/>
      <c r="CN82" s="49"/>
      <c r="CO82" s="49"/>
      <c r="CP82" s="49"/>
      <c r="CQ82" s="49"/>
      <c r="CR82" s="49"/>
      <c r="CS82" s="49"/>
      <c r="CT82" s="49"/>
      <c r="CU82" s="49"/>
      <c r="CV82" s="49"/>
      <c r="CW82" s="49"/>
      <c r="CX82" s="49"/>
      <c r="CY82" s="49"/>
      <c r="CZ82" s="49"/>
      <c r="DA82" s="49"/>
      <c r="DB82" s="49"/>
      <c r="DC82" s="49"/>
      <c r="DD82" s="49"/>
      <c r="DE82" s="49"/>
      <c r="DF82" s="49"/>
      <c r="DG82" s="49"/>
      <c r="DH82" s="49"/>
      <c r="DI82" s="49"/>
      <c r="DJ82" s="49"/>
      <c r="DK82" s="49"/>
    </row>
    <row r="83" ht="17.0">
      <c r="A83" s="46" t="s">
        <v>30</v>
      </c>
      <c r="B83" s="46" t="s">
        <v>138</v>
      </c>
      <c r="C83" s="46" t="s">
        <v>189</v>
      </c>
      <c r="D83" s="61" t="s">
        <v>190</v>
      </c>
      <c r="E83" s="41">
        <v>0.0</v>
      </c>
      <c r="F83" s="41">
        <v>0.0</v>
      </c>
      <c r="G83" s="41">
        <v>0.0</v>
      </c>
      <c r="H83" s="41">
        <v>0.0</v>
      </c>
      <c r="I83" s="41">
        <v>0.0</v>
      </c>
      <c r="J83" s="41">
        <v>0.0</v>
      </c>
      <c r="K83" s="41">
        <v>0.0</v>
      </c>
      <c r="L83" s="41">
        <v>0.0</v>
      </c>
      <c r="M83" s="41">
        <v>0.0</v>
      </c>
      <c r="N83" s="41">
        <v>0.0</v>
      </c>
      <c r="O83" s="41">
        <v>0.0</v>
      </c>
      <c r="P83" s="41">
        <v>0.0</v>
      </c>
      <c r="Q83" s="41">
        <v>0.0</v>
      </c>
      <c r="R83" s="41">
        <v>0.0</v>
      </c>
      <c r="S83" s="41">
        <v>0.0</v>
      </c>
      <c r="T83" s="41">
        <v>0.0</v>
      </c>
      <c r="U83" s="41">
        <v>0.0</v>
      </c>
      <c r="V83" s="41">
        <v>0.0</v>
      </c>
      <c r="W83" s="41">
        <v>0.0</v>
      </c>
      <c r="X83" s="41">
        <v>0.0</v>
      </c>
      <c r="Y83" s="41">
        <v>0.0</v>
      </c>
      <c r="Z83" s="41">
        <v>0.0</v>
      </c>
      <c r="AA83" s="41">
        <v>0.0</v>
      </c>
      <c r="AB83" s="41">
        <v>0.0</v>
      </c>
      <c r="AC83" s="41">
        <v>0.0</v>
      </c>
      <c r="AD83" s="41">
        <v>0.0</v>
      </c>
      <c r="AE83" s="41">
        <v>0.0</v>
      </c>
      <c r="AF83" s="41">
        <v>0.0</v>
      </c>
      <c r="AG83" s="41">
        <v>1.0</v>
      </c>
      <c r="AH83" s="41">
        <v>0.0</v>
      </c>
      <c r="AI83" s="41">
        <v>0.0</v>
      </c>
      <c r="AJ83" s="41">
        <v>0.0</v>
      </c>
      <c r="AK83" s="41">
        <v>0.0</v>
      </c>
      <c r="AL83" s="41">
        <v>0.0</v>
      </c>
      <c r="AM83" s="43">
        <v>0.0</v>
      </c>
      <c r="AN83" s="43">
        <v>0.0</v>
      </c>
      <c r="AO83" s="43">
        <v>1.0</v>
      </c>
      <c r="AP83" s="43">
        <v>0.0</v>
      </c>
      <c r="AQ83" s="43">
        <v>1.0</v>
      </c>
      <c r="AR83" s="43">
        <v>0.0</v>
      </c>
      <c r="AS83" s="43">
        <v>0.0</v>
      </c>
      <c r="AT83" s="4">
        <f t="shared" si="4"/>
        <v>2.0</v>
      </c>
      <c r="AU83" s="4">
        <f t="shared" si="5"/>
        <v>0.0</v>
      </c>
      <c r="AV83" s="4">
        <f t="shared" si="6"/>
        <v>0.0</v>
      </c>
      <c r="AW83" s="48">
        <f t="shared" si="309"/>
        <v>0.0</v>
      </c>
      <c r="AX83" s="48">
        <f t="shared" si="310"/>
        <v>0.0</v>
      </c>
      <c r="AY83" s="48">
        <f t="shared" si="311"/>
        <v>0.0</v>
      </c>
      <c r="AZ83" s="48">
        <f t="shared" si="312"/>
        <v>0.0</v>
      </c>
      <c r="BA83" s="48">
        <f t="shared" si="313"/>
        <v>0.0</v>
      </c>
      <c r="BB83" s="48">
        <f t="shared" si="314"/>
        <v>0.0</v>
      </c>
      <c r="BC83" s="4">
        <f t="shared" si="13"/>
        <v>0.0</v>
      </c>
      <c r="BD83" s="3">
        <f>VLOOKUP(D83,FEB23SOH,2,false)</f>
        <v>2.0</v>
      </c>
      <c r="BE83" s="44">
        <f>VLOOKUP(D83,UNITVALUE,4,false)</f>
        <v>60.045</v>
      </c>
      <c r="BF83" s="44">
        <f t="shared" si="16"/>
        <v>120.09</v>
      </c>
      <c r="BK83" s="50"/>
      <c r="BP83" s="45"/>
      <c r="BT83" s="45"/>
      <c r="BU83" s="5"/>
      <c r="BX83" s="45"/>
      <c r="BY83" s="5"/>
      <c r="CB83" s="45"/>
      <c r="CC83" s="5"/>
      <c r="CF83" s="45"/>
      <c r="CG83" s="5"/>
      <c r="CJ83" s="45"/>
      <c r="CK83" s="5"/>
      <c r="CL83" s="49"/>
      <c r="CM83" s="49"/>
      <c r="CN83" s="49"/>
      <c r="CO83" s="49"/>
      <c r="CP83" s="49"/>
      <c r="CQ83" s="49"/>
      <c r="CR83" s="49"/>
      <c r="CS83" s="49"/>
      <c r="CT83" s="49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  <c r="DK83" s="49"/>
    </row>
    <row r="84" ht="17.0">
      <c r="A84" s="46" t="s">
        <v>30</v>
      </c>
      <c r="B84" s="46" t="s">
        <v>138</v>
      </c>
      <c r="C84" s="62" t="s">
        <v>191</v>
      </c>
      <c r="D84" s="63" t="s">
        <v>192</v>
      </c>
      <c r="E84" s="41">
        <v>0.0</v>
      </c>
      <c r="F84" s="41">
        <v>0.0</v>
      </c>
      <c r="G84" s="41">
        <v>0.0</v>
      </c>
      <c r="H84" s="41">
        <v>0.0</v>
      </c>
      <c r="I84" s="41">
        <v>0.0</v>
      </c>
      <c r="J84" s="41">
        <v>0.0</v>
      </c>
      <c r="K84" s="41">
        <v>0.0</v>
      </c>
      <c r="L84" s="41">
        <v>0.0</v>
      </c>
      <c r="M84" s="41">
        <v>0.0</v>
      </c>
      <c r="N84" s="41">
        <v>0.0</v>
      </c>
      <c r="O84" s="41">
        <v>0.0</v>
      </c>
      <c r="P84" s="41">
        <v>0.0</v>
      </c>
      <c r="Q84" s="41">
        <v>0.0</v>
      </c>
      <c r="R84" s="41">
        <v>0.0</v>
      </c>
      <c r="S84" s="41">
        <v>0.0</v>
      </c>
      <c r="T84" s="41">
        <v>0.0</v>
      </c>
      <c r="U84" s="41">
        <v>0.0</v>
      </c>
      <c r="V84" s="41">
        <v>0.0</v>
      </c>
      <c r="W84" s="41">
        <v>0.0</v>
      </c>
      <c r="X84" s="41">
        <v>0.0</v>
      </c>
      <c r="Y84" s="41">
        <v>0.0</v>
      </c>
      <c r="Z84" s="41">
        <v>0.0</v>
      </c>
      <c r="AA84" s="41">
        <v>0.0</v>
      </c>
      <c r="AB84" s="41">
        <v>0.0</v>
      </c>
      <c r="AC84" s="41">
        <v>0.0</v>
      </c>
      <c r="AD84" s="41">
        <v>0.0</v>
      </c>
      <c r="AE84" s="41">
        <v>0.0</v>
      </c>
      <c r="AF84" s="41">
        <v>8.0</v>
      </c>
      <c r="AG84" s="41">
        <v>19.0</v>
      </c>
      <c r="AH84" s="41">
        <v>11.0</v>
      </c>
      <c r="AI84" s="41">
        <v>5.0</v>
      </c>
      <c r="AJ84" s="41">
        <v>0.0</v>
      </c>
      <c r="AK84" s="41">
        <v>1.0</v>
      </c>
      <c r="AL84" s="41">
        <v>0.0</v>
      </c>
      <c r="AM84" s="43">
        <v>0.0</v>
      </c>
      <c r="AN84" s="43">
        <v>1.0</v>
      </c>
      <c r="AO84" s="43">
        <v>2.0</v>
      </c>
      <c r="AP84" s="43">
        <v>1.0</v>
      </c>
      <c r="AQ84" s="43">
        <v>2.0</v>
      </c>
      <c r="AR84" s="43">
        <v>0.0</v>
      </c>
      <c r="AS84" s="43">
        <v>0.0</v>
      </c>
      <c r="AT84" s="4">
        <f t="shared" si="4"/>
        <v>23.0</v>
      </c>
      <c r="AU84" s="4">
        <f t="shared" si="5"/>
        <v>17.0</v>
      </c>
      <c r="AV84" s="4">
        <f t="shared" si="6"/>
        <v>18.7</v>
      </c>
      <c r="AW84" s="48">
        <f t="shared" si="309"/>
        <v>2.1047619047619</v>
      </c>
      <c r="AX84" s="48">
        <f t="shared" si="310"/>
        <v>2.63095238095238</v>
      </c>
      <c r="AY84" s="48">
        <f t="shared" si="311"/>
        <v>2.83333333333333</v>
      </c>
      <c r="AZ84" s="48">
        <f t="shared" si="312"/>
        <v>3.92619047619048</v>
      </c>
      <c r="BA84" s="48">
        <f t="shared" si="313"/>
        <v>1.86190476190476</v>
      </c>
      <c r="BB84" s="48">
        <f t="shared" si="314"/>
        <v>3.64285714285714</v>
      </c>
      <c r="BC84" s="4">
        <f t="shared" si="13"/>
        <v>17.0</v>
      </c>
      <c r="BD84" s="3">
        <f>VLOOKUP(D84,FEB23SOH,2,false)</f>
        <v>1.0</v>
      </c>
      <c r="BE84" s="44">
        <f>VLOOKUP(D84,UNITVALUE,4,false)</f>
        <v>84.57</v>
      </c>
      <c r="BF84" s="44">
        <f t="shared" si="16"/>
        <v>84.57</v>
      </c>
      <c r="BK84" s="50"/>
      <c r="BP84" s="45"/>
      <c r="BT84" s="45"/>
      <c r="BU84" s="5"/>
      <c r="BX84" s="45"/>
      <c r="BY84" s="5"/>
      <c r="CB84" s="45"/>
      <c r="CC84" s="5"/>
      <c r="CF84" s="45"/>
      <c r="CG84" s="5"/>
      <c r="CJ84" s="45"/>
      <c r="CK84" s="5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  <c r="DC84" s="49"/>
      <c r="DD84" s="49"/>
      <c r="DE84" s="49"/>
      <c r="DF84" s="49"/>
      <c r="DG84" s="49"/>
      <c r="DH84" s="49"/>
      <c r="DI84" s="49"/>
      <c r="DJ84" s="49"/>
      <c r="DK84" s="49"/>
    </row>
    <row r="85" ht="17.0">
      <c r="A85" s="46" t="s">
        <v>30</v>
      </c>
      <c r="B85" s="46" t="s">
        <v>138</v>
      </c>
      <c r="C85" s="46" t="s">
        <v>193</v>
      </c>
      <c r="D85" s="64" t="s">
        <v>194</v>
      </c>
      <c r="E85" s="41">
        <v>0.0</v>
      </c>
      <c r="F85" s="41">
        <v>0.0</v>
      </c>
      <c r="G85" s="41">
        <v>0.0</v>
      </c>
      <c r="H85" s="41">
        <v>0.0</v>
      </c>
      <c r="I85" s="41">
        <v>0.0</v>
      </c>
      <c r="J85" s="41">
        <v>0.0</v>
      </c>
      <c r="K85" s="41">
        <v>0.0</v>
      </c>
      <c r="L85" s="41">
        <v>0.0</v>
      </c>
      <c r="M85" s="41">
        <v>0.0</v>
      </c>
      <c r="N85" s="41">
        <v>0.0</v>
      </c>
      <c r="O85" s="41">
        <v>0.0</v>
      </c>
      <c r="P85" s="41">
        <v>0.0</v>
      </c>
      <c r="Q85" s="41">
        <v>0.0</v>
      </c>
      <c r="R85" s="41">
        <v>0.0</v>
      </c>
      <c r="S85" s="41">
        <v>0.0</v>
      </c>
      <c r="T85" s="41">
        <v>0.0</v>
      </c>
      <c r="U85" s="41">
        <v>0.0</v>
      </c>
      <c r="V85" s="41">
        <v>0.0</v>
      </c>
      <c r="W85" s="41">
        <v>0.0</v>
      </c>
      <c r="X85" s="41">
        <v>0.0</v>
      </c>
      <c r="Y85" s="41">
        <v>0.0</v>
      </c>
      <c r="Z85" s="41">
        <v>0.0</v>
      </c>
      <c r="AA85" s="41">
        <v>0.0</v>
      </c>
      <c r="AB85" s="41">
        <v>0.0</v>
      </c>
      <c r="AC85" s="41">
        <v>0.0</v>
      </c>
      <c r="AD85" s="41">
        <v>0.0</v>
      </c>
      <c r="AE85" s="41">
        <v>0.0</v>
      </c>
      <c r="AF85" s="41">
        <v>0.0</v>
      </c>
      <c r="AG85" s="41">
        <v>2.0</v>
      </c>
      <c r="AH85" s="41">
        <v>4.0</v>
      </c>
      <c r="AI85" s="41">
        <v>1.0</v>
      </c>
      <c r="AJ85" s="41">
        <v>2.0</v>
      </c>
      <c r="AK85" s="41">
        <v>0.0</v>
      </c>
      <c r="AL85" s="41">
        <v>1.0</v>
      </c>
      <c r="AM85" s="43">
        <v>4.0</v>
      </c>
      <c r="AN85" s="43">
        <v>2.0</v>
      </c>
      <c r="AO85" s="43">
        <v>3.0</v>
      </c>
      <c r="AP85" s="43">
        <v>4.0</v>
      </c>
      <c r="AQ85" s="43">
        <v>1.0</v>
      </c>
      <c r="AR85" s="43">
        <v>0.0</v>
      </c>
      <c r="AS85" s="43">
        <v>1.0</v>
      </c>
      <c r="AT85" s="4">
        <f t="shared" si="4"/>
        <v>23.0</v>
      </c>
      <c r="AU85" s="4">
        <f t="shared" si="5"/>
        <v>12.0</v>
      </c>
      <c r="AV85" s="4">
        <f t="shared" si="6"/>
        <v>13.2</v>
      </c>
      <c r="AW85" s="48">
        <f t="shared" si="309"/>
        <v>1.48571428571429</v>
      </c>
      <c r="AX85" s="48">
        <f t="shared" si="310"/>
        <v>1.85714285714286</v>
      </c>
      <c r="AY85" s="48">
        <f t="shared" si="311"/>
        <v>2.0</v>
      </c>
      <c r="AZ85" s="48">
        <f t="shared" si="312"/>
        <v>2.77142857142857</v>
      </c>
      <c r="BA85" s="48">
        <f t="shared" si="313"/>
        <v>1.31428571428571</v>
      </c>
      <c r="BB85" s="48">
        <f t="shared" si="314"/>
        <v>2.57142857142857</v>
      </c>
      <c r="BC85" s="4">
        <f t="shared" si="13"/>
        <v>12.0</v>
      </c>
      <c r="BD85" s="3">
        <f>VLOOKUP(D85,FEB23SOH,2,false)</f>
        <v>1.0</v>
      </c>
      <c r="BE85" s="44">
        <f>VLOOKUP(D85,UNITVALUE,4,false)</f>
        <v>83.96</v>
      </c>
      <c r="BF85" s="44">
        <f t="shared" si="16"/>
        <v>83.96</v>
      </c>
      <c r="BK85" s="50"/>
      <c r="BP85" s="45"/>
      <c r="BT85" s="45"/>
      <c r="BU85" s="5"/>
      <c r="BX85" s="45"/>
      <c r="BY85" s="5"/>
      <c r="CB85" s="45"/>
      <c r="CC85" s="5"/>
      <c r="CF85" s="45"/>
      <c r="CG85" s="5"/>
      <c r="CJ85" s="45"/>
      <c r="CK85" s="5"/>
      <c r="CL85" s="49"/>
      <c r="CM85" s="49"/>
      <c r="CN85" s="49"/>
      <c r="CO85" s="49"/>
      <c r="CP85" s="49"/>
      <c r="CQ85" s="49"/>
      <c r="CR85" s="49"/>
      <c r="CS85" s="49"/>
      <c r="CT85" s="49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  <c r="DK85" s="49"/>
    </row>
    <row r="86" ht="17.0">
      <c r="A86" s="46" t="s">
        <v>30</v>
      </c>
      <c r="B86" s="46" t="s">
        <v>138</v>
      </c>
      <c r="C86" s="46" t="s">
        <v>195</v>
      </c>
      <c r="D86" s="65" t="s">
        <v>196</v>
      </c>
      <c r="E86" s="41">
        <v>0.0</v>
      </c>
      <c r="F86" s="41">
        <v>0.0</v>
      </c>
      <c r="G86" s="41">
        <v>0.0</v>
      </c>
      <c r="H86" s="41">
        <v>0.0</v>
      </c>
      <c r="I86" s="41">
        <v>0.0</v>
      </c>
      <c r="J86" s="41">
        <v>0.0</v>
      </c>
      <c r="K86" s="41">
        <v>0.0</v>
      </c>
      <c r="L86" s="41">
        <v>0.0</v>
      </c>
      <c r="M86" s="41">
        <v>0.0</v>
      </c>
      <c r="N86" s="41">
        <v>0.0</v>
      </c>
      <c r="O86" s="41">
        <v>0.0</v>
      </c>
      <c r="P86" s="41">
        <v>0.0</v>
      </c>
      <c r="Q86" s="41">
        <v>0.0</v>
      </c>
      <c r="R86" s="41">
        <v>0.0</v>
      </c>
      <c r="S86" s="41">
        <v>0.0</v>
      </c>
      <c r="T86" s="41">
        <v>0.0</v>
      </c>
      <c r="U86" s="41">
        <v>0.0</v>
      </c>
      <c r="V86" s="41">
        <v>0.0</v>
      </c>
      <c r="W86" s="41">
        <v>0.0</v>
      </c>
      <c r="X86" s="41">
        <v>0.0</v>
      </c>
      <c r="Y86" s="41">
        <v>0.0</v>
      </c>
      <c r="Z86" s="41">
        <v>0.0</v>
      </c>
      <c r="AA86" s="41">
        <v>0.0</v>
      </c>
      <c r="AB86" s="41">
        <v>0.0</v>
      </c>
      <c r="AC86" s="41">
        <v>0.0</v>
      </c>
      <c r="AD86" s="41">
        <v>0.0</v>
      </c>
      <c r="AE86" s="41">
        <v>0.0</v>
      </c>
      <c r="AF86" s="41">
        <v>0.0</v>
      </c>
      <c r="AG86" s="41">
        <v>20.0</v>
      </c>
      <c r="AH86" s="41">
        <v>24.0</v>
      </c>
      <c r="AI86" s="41">
        <v>18.0</v>
      </c>
      <c r="AJ86" s="41">
        <v>21.0</v>
      </c>
      <c r="AK86" s="41">
        <v>3.0</v>
      </c>
      <c r="AL86" s="41">
        <v>2.0</v>
      </c>
      <c r="AM86" s="43">
        <v>9.0</v>
      </c>
      <c r="AN86" s="43">
        <v>18.0</v>
      </c>
      <c r="AO86" s="43">
        <v>15.0</v>
      </c>
      <c r="AP86" s="43">
        <v>13.0</v>
      </c>
      <c r="AQ86" s="43">
        <v>2.0</v>
      </c>
      <c r="AR86" s="43">
        <v>6.0</v>
      </c>
      <c r="AS86" s="43">
        <v>15.0</v>
      </c>
      <c r="AT86" s="4">
        <f t="shared" si="4"/>
        <v>146.0</v>
      </c>
      <c r="AU86" s="4">
        <f t="shared" si="5"/>
        <v>77.0</v>
      </c>
      <c r="AV86" s="4">
        <f t="shared" si="6"/>
        <v>84.7</v>
      </c>
      <c r="AW86" s="48">
        <f t="shared" si="309"/>
        <v>9.53333333333333</v>
      </c>
      <c r="AX86" s="48">
        <f t="shared" si="310"/>
        <v>11.9166666666667</v>
      </c>
      <c r="AY86" s="48">
        <f t="shared" si="311"/>
        <v>12.8333333333333</v>
      </c>
      <c r="AZ86" s="48">
        <f t="shared" si="312"/>
        <v>17.7833333333333</v>
      </c>
      <c r="BA86" s="48">
        <f t="shared" si="313"/>
        <v>8.43333333333333</v>
      </c>
      <c r="BB86" s="48">
        <f t="shared" si="314"/>
        <v>16.5</v>
      </c>
      <c r="BC86" s="4">
        <f t="shared" si="13"/>
        <v>77.0</v>
      </c>
      <c r="BD86" s="3">
        <f>VLOOKUP(D86,FEB23SOH,2,false)</f>
        <v>5.0</v>
      </c>
      <c r="BE86" s="44">
        <f>VLOOKUP(D86,UNITVALUE,4,false)</f>
        <v>40.222</v>
      </c>
      <c r="BF86" s="44">
        <f t="shared" si="16"/>
        <v>201.11</v>
      </c>
      <c r="BK86" s="50"/>
      <c r="BP86" s="45"/>
      <c r="BT86" s="45"/>
      <c r="BU86" s="5"/>
      <c r="BX86" s="45"/>
      <c r="BY86" s="5"/>
      <c r="CB86" s="45"/>
      <c r="CC86" s="5"/>
      <c r="CF86" s="45"/>
      <c r="CG86" s="5"/>
      <c r="CJ86" s="45"/>
      <c r="CK86" s="5"/>
      <c r="CL86" s="49"/>
      <c r="CM86" s="49"/>
      <c r="CN86" s="49"/>
      <c r="CO86" s="49"/>
      <c r="CP86" s="49"/>
      <c r="CQ86" s="49"/>
      <c r="CR86" s="49"/>
      <c r="CS86" s="49"/>
      <c r="CT86" s="49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  <c r="DK86" s="49"/>
    </row>
    <row r="87" ht="17.0">
      <c r="A87" s="41" t="s">
        <v>30</v>
      </c>
      <c r="B87" s="41" t="s">
        <v>197</v>
      </c>
      <c r="C87" s="41" t="s">
        <v>198</v>
      </c>
      <c r="D87" s="42" t="s">
        <v>199</v>
      </c>
      <c r="E87" s="41">
        <v>0.0</v>
      </c>
      <c r="F87" s="41">
        <v>0.0</v>
      </c>
      <c r="G87" s="41">
        <v>0.0</v>
      </c>
      <c r="H87" s="41">
        <v>0.0</v>
      </c>
      <c r="I87" s="41">
        <v>0.0</v>
      </c>
      <c r="J87" s="41">
        <v>1.0</v>
      </c>
      <c r="K87" s="41">
        <v>0.0</v>
      </c>
      <c r="L87" s="41">
        <v>0.0</v>
      </c>
      <c r="M87" s="41">
        <v>0.0</v>
      </c>
      <c r="N87" s="41">
        <v>0.0</v>
      </c>
      <c r="O87" s="41">
        <v>0.0</v>
      </c>
      <c r="P87" s="41">
        <v>0.0</v>
      </c>
      <c r="Q87" s="41">
        <v>1.0</v>
      </c>
      <c r="R87" s="41">
        <v>1.0</v>
      </c>
      <c r="S87" s="41">
        <v>0.0</v>
      </c>
      <c r="T87" s="41">
        <v>0.0</v>
      </c>
      <c r="U87" s="41">
        <v>0.0</v>
      </c>
      <c r="V87" s="41">
        <v>5.0</v>
      </c>
      <c r="W87" s="41">
        <v>2.0</v>
      </c>
      <c r="X87" s="41">
        <v>0.0</v>
      </c>
      <c r="Y87" s="41">
        <v>1.0</v>
      </c>
      <c r="Z87" s="41">
        <v>3.0</v>
      </c>
      <c r="AA87" s="41">
        <v>2.0</v>
      </c>
      <c r="AB87" s="41">
        <v>0.0</v>
      </c>
      <c r="AC87" s="41">
        <v>1.0</v>
      </c>
      <c r="AD87" s="41">
        <v>0.0</v>
      </c>
      <c r="AE87" s="41">
        <v>0.0</v>
      </c>
      <c r="AF87" s="41">
        <v>0.0</v>
      </c>
      <c r="AG87" s="41">
        <v>0.0</v>
      </c>
      <c r="AH87" s="41">
        <v>0.0</v>
      </c>
      <c r="AI87" s="41">
        <v>0.0</v>
      </c>
      <c r="AJ87" s="41">
        <v>0.0</v>
      </c>
      <c r="AK87" s="41">
        <v>0.0</v>
      </c>
      <c r="AL87" s="41">
        <v>0.0</v>
      </c>
      <c r="AM87" s="43">
        <v>0.0</v>
      </c>
      <c r="AN87" s="43">
        <v>0.0</v>
      </c>
      <c r="AO87" s="43">
        <v>0.0</v>
      </c>
      <c r="AP87" s="43">
        <v>1.0</v>
      </c>
      <c r="AQ87" s="43">
        <v>0.0</v>
      </c>
      <c r="AR87" s="43">
        <v>0.0</v>
      </c>
      <c r="AS87" s="43">
        <v>0.0</v>
      </c>
      <c r="AT87" s="4">
        <f t="shared" si="4"/>
        <v>1.0</v>
      </c>
      <c r="AU87" s="4">
        <f t="shared" si="5"/>
        <v>0.0</v>
      </c>
      <c r="AV87" s="4">
        <f t="shared" si="6"/>
        <v>0.0</v>
      </c>
      <c r="AW87" s="1">
        <f t="shared" si="309"/>
        <v>0.0</v>
      </c>
      <c r="AX87" s="1">
        <f t="shared" si="310"/>
        <v>0.0</v>
      </c>
      <c r="AY87" s="1">
        <f t="shared" si="311"/>
        <v>0.0</v>
      </c>
      <c r="AZ87" s="1">
        <f t="shared" si="312"/>
        <v>0.0</v>
      </c>
      <c r="BA87" s="1">
        <f t="shared" si="313"/>
        <v>0.0</v>
      </c>
      <c r="BB87" s="1">
        <f t="shared" si="314"/>
        <v>0.0</v>
      </c>
      <c r="BC87" s="4">
        <f t="shared" si="13"/>
        <v>0.0</v>
      </c>
      <c r="BD87" s="3">
        <f>VLOOKUP(D87,FEB23SOH,2,false)</f>
        <v>19.0</v>
      </c>
      <c r="BE87" s="44">
        <f>VLOOKUP(D87,UNITVALUE,4,false)</f>
        <v>81.5432</v>
      </c>
      <c r="BF87" s="44">
        <f t="shared" si="16"/>
        <v>1549.3208</v>
      </c>
      <c r="BI87" s="6">
        <f>BD87+BG87+BH87-BC87</f>
        <v>19.0</v>
      </c>
      <c r="BJ87" s="1">
        <f>VLOOKUP(C87,MOQ,3,FALSE())</f>
        <v>250.0</v>
      </c>
      <c r="BM87" s="1">
        <f>BD87</f>
        <v>19.0</v>
      </c>
      <c r="BN87" s="1">
        <f>AW87</f>
        <v>0.0</v>
      </c>
      <c r="BP87" s="45">
        <f>BM87+BO87-BN87</f>
        <v>19.0</v>
      </c>
      <c r="BQ87" s="5">
        <f>BP87*BE87</f>
        <v>1549.3208</v>
      </c>
      <c r="BR87" s="1">
        <f>AX87</f>
        <v>0.0</v>
      </c>
      <c r="BS87" s="1">
        <f>BG87</f>
      </c>
      <c r="BT87" s="45">
        <f>BP87+BS87-BR87</f>
        <v>19.0</v>
      </c>
      <c r="BU87" s="5">
        <f>BT87*BE87</f>
        <v>1549.3208</v>
      </c>
      <c r="BV87" s="1">
        <f>AY87</f>
        <v>0.0</v>
      </c>
      <c r="BW87" s="1">
        <f>BG87</f>
      </c>
      <c r="BX87" s="45">
        <f>BT87+BW87-BV87</f>
        <v>19.0</v>
      </c>
      <c r="BY87" s="5">
        <f>BX87*BE87</f>
        <v>1549.3208</v>
      </c>
      <c r="BZ87" s="1">
        <f>AZ87</f>
        <v>0.0</v>
      </c>
      <c r="CB87" s="45">
        <f>BX87+CA87-BZ87</f>
        <v>19.0</v>
      </c>
      <c r="CC87" s="5">
        <f>CB87*BE87</f>
        <v>1549.3208</v>
      </c>
      <c r="CD87" s="1">
        <f>BA87</f>
        <v>0.0</v>
      </c>
      <c r="CF87" s="45">
        <f>CB87+CE87-CD87</f>
        <v>19.0</v>
      </c>
      <c r="CG87" s="5">
        <f>CF87*BE87</f>
        <v>1549.3208</v>
      </c>
      <c r="CH87" s="1">
        <f>BB87</f>
        <v>0.0</v>
      </c>
      <c r="CJ87" s="45">
        <f>CF87+CI87-CH87</f>
        <v>19.0</v>
      </c>
      <c r="CK87" s="5">
        <f>CJ87*BE87</f>
        <v>1549.3208</v>
      </c>
    </row>
    <row r="88" ht="17.0">
      <c r="A88" s="41" t="s">
        <v>30</v>
      </c>
      <c r="B88" s="41" t="s">
        <v>197</v>
      </c>
      <c r="C88" s="66" t="s">
        <v>200</v>
      </c>
      <c r="D88" s="42" t="s">
        <v>201</v>
      </c>
      <c r="E88" s="41">
        <v>0.0</v>
      </c>
      <c r="F88" s="41">
        <v>0.0</v>
      </c>
      <c r="G88" s="41">
        <v>0.0</v>
      </c>
      <c r="H88" s="41">
        <v>0.0</v>
      </c>
      <c r="I88" s="41">
        <v>0.0</v>
      </c>
      <c r="J88" s="41">
        <v>0.0</v>
      </c>
      <c r="K88" s="41">
        <v>1.0</v>
      </c>
      <c r="L88" s="41">
        <v>1.0</v>
      </c>
      <c r="M88" s="41">
        <v>0.0</v>
      </c>
      <c r="N88" s="41">
        <v>0.0</v>
      </c>
      <c r="O88" s="41">
        <v>0.0</v>
      </c>
      <c r="P88" s="41">
        <v>0.0</v>
      </c>
      <c r="Q88" s="41">
        <v>3.0</v>
      </c>
      <c r="R88" s="41">
        <v>0.0</v>
      </c>
      <c r="S88" s="41">
        <v>1.0</v>
      </c>
      <c r="T88" s="41">
        <v>0.0</v>
      </c>
      <c r="U88" s="41">
        <v>1.0</v>
      </c>
      <c r="V88" s="41">
        <v>0.0</v>
      </c>
      <c r="W88" s="41">
        <v>0.0</v>
      </c>
      <c r="X88" s="41">
        <v>0.0</v>
      </c>
      <c r="Y88" s="41">
        <v>0.0</v>
      </c>
      <c r="Z88" s="41">
        <v>0.0</v>
      </c>
      <c r="AA88" s="41">
        <v>0.0</v>
      </c>
      <c r="AB88" s="41">
        <v>0.0</v>
      </c>
      <c r="AC88" s="41">
        <v>0.0</v>
      </c>
      <c r="AD88" s="41">
        <v>0.0</v>
      </c>
      <c r="AE88" s="41">
        <v>0.0</v>
      </c>
      <c r="AF88" s="41">
        <v>0.0</v>
      </c>
      <c r="AG88" s="41">
        <v>0.0</v>
      </c>
      <c r="AH88" s="41">
        <v>2.0</v>
      </c>
      <c r="AI88" s="41">
        <v>12.0</v>
      </c>
      <c r="AJ88" s="41">
        <v>2.0</v>
      </c>
      <c r="AK88" s="41">
        <v>3.0</v>
      </c>
      <c r="AL88" s="41">
        <v>1.0</v>
      </c>
      <c r="AM88" s="43">
        <v>0.0</v>
      </c>
      <c r="AN88" s="43">
        <v>0.0</v>
      </c>
      <c r="AO88" s="43">
        <v>0.0</v>
      </c>
      <c r="AP88" s="43">
        <v>0.0</v>
      </c>
      <c r="AQ88" s="43">
        <v>0.0</v>
      </c>
      <c r="AR88" s="43">
        <v>0.0</v>
      </c>
      <c r="AS88" s="43">
        <v>0.0</v>
      </c>
      <c r="AT88" s="4">
        <f t="shared" si="4"/>
        <v>20.0</v>
      </c>
      <c r="AU88" s="4">
        <f t="shared" si="5"/>
        <v>20.0</v>
      </c>
      <c r="AV88" s="4">
        <f t="shared" si="6"/>
        <v>22.0</v>
      </c>
      <c r="AW88" s="1">
        <f t="shared" si="309"/>
        <v>2.4761904761904</v>
      </c>
      <c r="AX88" s="1">
        <f t="shared" si="310"/>
        <v>3.0952380952381</v>
      </c>
      <c r="AY88" s="1">
        <f t="shared" si="311"/>
        <v>3.33333333333333</v>
      </c>
      <c r="AZ88" s="1">
        <f t="shared" si="312"/>
        <v>4.61904761904761</v>
      </c>
      <c r="BA88" s="1">
        <f t="shared" si="313"/>
        <v>2.19047619047619</v>
      </c>
      <c r="BB88" s="1">
        <f t="shared" si="314"/>
        <v>4.28571428571429</v>
      </c>
      <c r="BC88" s="4">
        <f t="shared" si="13"/>
        <v>19.9999999999999</v>
      </c>
      <c r="BD88" s="3">
        <f>VLOOKUP(D88,FEB23SOH,2,false)</f>
        <v>18.0</v>
      </c>
      <c r="BE88" s="44">
        <f>VLOOKUP(D88,UNITVALUE,4,false)</f>
        <v>82.7372</v>
      </c>
      <c r="BF88" s="44">
        <f t="shared" si="16"/>
        <v>1489.2696</v>
      </c>
    </row>
    <row r="89" ht="17.0">
      <c r="A89" s="67" t="s">
        <v>30</v>
      </c>
      <c r="B89" s="67" t="s">
        <v>197</v>
      </c>
      <c r="C89" s="67" t="s">
        <v>202</v>
      </c>
      <c r="D89" s="67" t="s">
        <v>203</v>
      </c>
      <c r="E89" s="67">
        <v>0.0</v>
      </c>
      <c r="F89" s="67">
        <v>0.0</v>
      </c>
      <c r="G89" s="67">
        <v>0.0</v>
      </c>
      <c r="H89" s="67">
        <v>0.0</v>
      </c>
      <c r="I89" s="67">
        <v>0.0</v>
      </c>
      <c r="J89" s="67">
        <v>0.0</v>
      </c>
      <c r="K89" s="67">
        <v>0.0</v>
      </c>
      <c r="L89" s="67">
        <v>0.0</v>
      </c>
      <c r="M89" s="67">
        <v>0.0</v>
      </c>
      <c r="N89" s="67">
        <v>0.0</v>
      </c>
      <c r="O89" s="67">
        <v>0.0</v>
      </c>
      <c r="P89" s="67">
        <v>0.0</v>
      </c>
      <c r="Q89" s="67">
        <v>0.0</v>
      </c>
      <c r="R89" s="67">
        <v>0.0</v>
      </c>
      <c r="S89" s="67">
        <v>0.0</v>
      </c>
      <c r="T89" s="67">
        <v>0.0</v>
      </c>
      <c r="U89" s="67">
        <v>0.0</v>
      </c>
      <c r="V89" s="67">
        <v>0.0</v>
      </c>
      <c r="W89" s="67">
        <v>0.0</v>
      </c>
      <c r="X89" s="67">
        <v>0.0</v>
      </c>
      <c r="Y89" s="67">
        <v>0.0</v>
      </c>
      <c r="Z89" s="67">
        <v>0.0</v>
      </c>
      <c r="AA89" s="67">
        <v>0.0</v>
      </c>
      <c r="AB89" s="67">
        <v>0.0</v>
      </c>
      <c r="AC89" s="67">
        <v>0.0</v>
      </c>
      <c r="AD89" s="67">
        <v>0.0</v>
      </c>
      <c r="AE89" s="67">
        <v>0.0</v>
      </c>
      <c r="AF89" s="67">
        <v>0.0</v>
      </c>
      <c r="AG89" s="67">
        <v>0.0</v>
      </c>
      <c r="AH89" s="41">
        <v>0.0</v>
      </c>
      <c r="AI89" s="41">
        <v>0.0</v>
      </c>
      <c r="AJ89" s="41">
        <v>11.0</v>
      </c>
      <c r="AK89" s="41">
        <v>8.0</v>
      </c>
      <c r="AL89" s="41">
        <v>12.0</v>
      </c>
      <c r="AM89" s="43">
        <v>13.0</v>
      </c>
      <c r="AN89" s="43">
        <v>8.0</v>
      </c>
      <c r="AO89" s="43">
        <v>9.0</v>
      </c>
      <c r="AP89" s="43">
        <v>21.0</v>
      </c>
      <c r="AQ89" s="43">
        <v>2.0</v>
      </c>
      <c r="AR89" s="43">
        <v>2.0</v>
      </c>
      <c r="AS89" s="43">
        <v>11.0</v>
      </c>
      <c r="AT89" s="4">
        <f t="shared" si="4"/>
        <v>97.0</v>
      </c>
      <c r="AU89" s="4">
        <f t="shared" si="5"/>
        <v>44.0</v>
      </c>
      <c r="AV89" s="4">
        <f t="shared" si="6"/>
        <v>48.4</v>
      </c>
      <c r="AW89" s="1">
        <f t="shared" si="309"/>
        <v>5.44761904761904</v>
      </c>
      <c r="AX89" s="1">
        <f t="shared" si="310"/>
        <v>6.8095238095238</v>
      </c>
      <c r="AY89" s="1">
        <f t="shared" si="311"/>
        <v>7.33333333333333</v>
      </c>
      <c r="AZ89" s="1">
        <f t="shared" si="312"/>
        <v>10.161904761904</v>
      </c>
      <c r="BA89" s="1">
        <f t="shared" si="313"/>
        <v>4.81904761904761</v>
      </c>
      <c r="BB89" s="1">
        <f t="shared" si="314"/>
        <v>9.42857142857142</v>
      </c>
      <c r="BC89" s="4">
        <f t="shared" si="13"/>
        <v>43.9999999999992</v>
      </c>
      <c r="BD89" s="3">
        <f>VLOOKUP(D89,FEB23SOH,2,false)</f>
        <v>304.0</v>
      </c>
      <c r="BE89" s="44">
        <f>VLOOKUP(D89,UNITVALUE,4,false)</f>
        <v>23.6587</v>
      </c>
      <c r="BF89" s="44">
        <f t="shared" si="16"/>
        <v>7192.2448</v>
      </c>
      <c r="BI89" s="6">
        <f>BD89+BG89+BH89-BC89</f>
        <v>260.0</v>
      </c>
      <c r="BK89" s="50"/>
      <c r="BM89" s="1">
        <f>BD89</f>
        <v>304.0</v>
      </c>
      <c r="BN89" s="1">
        <f>AW89</f>
        <v>5.44761904761904</v>
      </c>
      <c r="BP89" s="45">
        <f>BM89+BO89-BN89</f>
        <v>298.552380952381</v>
      </c>
      <c r="BQ89" s="5">
        <f>BP89*BE89</f>
        <v>7063.3612152381</v>
      </c>
      <c r="BR89" s="1">
        <f>AX89</f>
        <v>6.8095238095238</v>
      </c>
      <c r="BS89" s="1">
        <f>BG89</f>
      </c>
      <c r="BT89" s="45">
        <f>BP89+BS89-BR89</f>
        <v>291.742857142857</v>
      </c>
      <c r="BU89" s="5">
        <f>BT89*BE89</f>
        <v>6902.25673428571</v>
      </c>
      <c r="BV89" s="1">
        <f>AY89</f>
        <v>7.33333333333333</v>
      </c>
      <c r="BX89" s="45">
        <f>BT89+BW89-BV89</f>
        <v>284.409523809523</v>
      </c>
      <c r="BY89" s="5">
        <f>BX89*BE89</f>
        <v>6728.75960095236</v>
      </c>
      <c r="BZ89" s="1">
        <f>AZ89</f>
        <v>10.161904761904</v>
      </c>
      <c r="CB89" s="45">
        <f>BX89+CA89-BZ89</f>
        <v>274.247619047619</v>
      </c>
      <c r="CC89" s="5">
        <f>CB89*BE89</f>
        <v>6488.3421447619</v>
      </c>
      <c r="CD89" s="1">
        <f>BA89</f>
        <v>4.81904761904761</v>
      </c>
      <c r="CF89" s="45">
        <f>CB89+CE89-CD89</f>
        <v>269.428571428571</v>
      </c>
      <c r="CG89" s="5">
        <f>CF89*BE89</f>
        <v>6374.32974285713</v>
      </c>
      <c r="CH89" s="1">
        <f>BB89</f>
        <v>9.42857142857142</v>
      </c>
      <c r="CJ89" s="45">
        <f>CF89+CI89-CH89</f>
        <v>260.0</v>
      </c>
      <c r="CK89" s="5">
        <f>CJ89*BE89</f>
        <v>6151.262</v>
      </c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  <c r="DK89" s="49"/>
    </row>
    <row r="90" ht="17.0">
      <c r="A90" s="46" t="s">
        <v>30</v>
      </c>
      <c r="B90" s="46" t="s">
        <v>204</v>
      </c>
      <c r="C90" s="46" t="s">
        <v>205</v>
      </c>
      <c r="D90" s="47" t="s">
        <v>206</v>
      </c>
      <c r="E90" s="41">
        <v>0.0</v>
      </c>
      <c r="F90" s="41">
        <v>0.0</v>
      </c>
      <c r="G90" s="41">
        <v>0.0</v>
      </c>
      <c r="H90" s="41">
        <v>0.0</v>
      </c>
      <c r="I90" s="41">
        <v>0.0</v>
      </c>
      <c r="J90" s="41">
        <v>0.0</v>
      </c>
      <c r="K90" s="41">
        <v>0.0</v>
      </c>
      <c r="L90" s="41">
        <v>0.0</v>
      </c>
      <c r="M90" s="41">
        <v>0.0</v>
      </c>
      <c r="N90" s="41">
        <v>0.0</v>
      </c>
      <c r="O90" s="41">
        <v>0.0</v>
      </c>
      <c r="P90" s="41">
        <v>0.0</v>
      </c>
      <c r="Q90" s="41">
        <v>0.0</v>
      </c>
      <c r="R90" s="41">
        <v>0.0</v>
      </c>
      <c r="S90" s="41">
        <v>1.0</v>
      </c>
      <c r="T90" s="41">
        <v>0.0</v>
      </c>
      <c r="U90" s="41">
        <v>0.0</v>
      </c>
      <c r="V90" s="41">
        <v>0.0</v>
      </c>
      <c r="W90" s="41">
        <v>0.0</v>
      </c>
      <c r="X90" s="41">
        <v>1.0</v>
      </c>
      <c r="Y90" s="41">
        <v>1.0</v>
      </c>
      <c r="Z90" s="41">
        <v>0.0</v>
      </c>
      <c r="AA90" s="41">
        <v>0.0</v>
      </c>
      <c r="AB90" s="41">
        <v>0.0</v>
      </c>
      <c r="AC90" s="41">
        <v>0.0</v>
      </c>
      <c r="AD90" s="41">
        <v>0.0</v>
      </c>
      <c r="AE90" s="41">
        <v>1.0</v>
      </c>
      <c r="AF90" s="41">
        <v>1.0</v>
      </c>
      <c r="AG90" s="41">
        <v>1.0</v>
      </c>
      <c r="AH90" s="41">
        <v>0.0</v>
      </c>
      <c r="AI90" s="41">
        <v>0.0</v>
      </c>
      <c r="AJ90" s="41">
        <v>0.0</v>
      </c>
      <c r="AK90" s="41">
        <v>0.0</v>
      </c>
      <c r="AL90" s="41">
        <v>0.0</v>
      </c>
      <c r="AM90" s="43">
        <v>0.0</v>
      </c>
      <c r="AN90" s="43">
        <v>0.0</v>
      </c>
      <c r="AO90" s="43">
        <v>0.0</v>
      </c>
      <c r="AP90" s="43">
        <v>1.0</v>
      </c>
      <c r="AQ90" s="43">
        <v>1.0</v>
      </c>
      <c r="AR90" s="43">
        <v>0.0</v>
      </c>
      <c r="AS90" s="43">
        <v>0.0</v>
      </c>
      <c r="AT90" s="4">
        <f t="shared" si="4"/>
        <v>2.0</v>
      </c>
      <c r="AU90" s="4">
        <f t="shared" si="5"/>
        <v>0.0</v>
      </c>
      <c r="AV90" s="4">
        <f t="shared" si="6"/>
        <v>0.0</v>
      </c>
      <c r="AW90" s="48">
        <f t="shared" si="309"/>
        <v>0.0</v>
      </c>
      <c r="AX90" s="48">
        <f t="shared" si="310"/>
        <v>0.0</v>
      </c>
      <c r="AY90" s="48">
        <f t="shared" si="311"/>
        <v>0.0</v>
      </c>
      <c r="AZ90" s="48">
        <f t="shared" si="312"/>
        <v>0.0</v>
      </c>
      <c r="BA90" s="48">
        <f t="shared" si="313"/>
        <v>0.0</v>
      </c>
      <c r="BB90" s="48">
        <f t="shared" si="314"/>
        <v>0.0</v>
      </c>
      <c r="BC90" s="4">
        <f t="shared" si="13"/>
        <v>0.0</v>
      </c>
      <c r="BD90" s="3">
        <f>VLOOKUP(D90,FEB23SOH,2,false)</f>
        <v>3.0</v>
      </c>
      <c r="BE90" s="44">
        <f>VLOOKUP(D90,UNITVALUE,4,false)</f>
        <v>48.1233</v>
      </c>
      <c r="BF90" s="44">
        <f t="shared" si="16"/>
        <v>144.3699</v>
      </c>
      <c r="BK90" s="50"/>
      <c r="BP90" s="45"/>
      <c r="BT90" s="45"/>
      <c r="BU90" s="5"/>
      <c r="BX90" s="45"/>
      <c r="BY90" s="5"/>
      <c r="CB90" s="45"/>
      <c r="CC90" s="5"/>
      <c r="CF90" s="45"/>
      <c r="CG90" s="5"/>
      <c r="CJ90" s="45"/>
      <c r="CK90" s="5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  <c r="DK90" s="49"/>
    </row>
    <row r="91" ht="17.0">
      <c r="A91" s="41" t="s">
        <v>30</v>
      </c>
      <c r="B91" s="10" t="s">
        <v>207</v>
      </c>
      <c r="C91" s="41" t="s">
        <v>208</v>
      </c>
      <c r="D91" s="42" t="s">
        <v>209</v>
      </c>
      <c r="E91" s="41">
        <v>0.0</v>
      </c>
      <c r="F91" s="41">
        <v>0.0</v>
      </c>
      <c r="G91" s="41">
        <v>0.0</v>
      </c>
      <c r="H91" s="41">
        <v>0.0</v>
      </c>
      <c r="I91" s="41">
        <v>0.0</v>
      </c>
      <c r="J91" s="41">
        <v>0.0</v>
      </c>
      <c r="K91" s="41">
        <v>0.0</v>
      </c>
      <c r="L91" s="41">
        <v>0.0</v>
      </c>
      <c r="M91" s="41">
        <v>0.0</v>
      </c>
      <c r="N91" s="41">
        <v>0.0</v>
      </c>
      <c r="O91" s="41">
        <v>0.0</v>
      </c>
      <c r="P91" s="41">
        <v>0.0</v>
      </c>
      <c r="Q91" s="41">
        <v>0.0</v>
      </c>
      <c r="R91" s="41">
        <v>0.0</v>
      </c>
      <c r="S91" s="41">
        <v>0.0</v>
      </c>
      <c r="T91" s="41">
        <v>4.0</v>
      </c>
      <c r="U91" s="41">
        <v>4.0</v>
      </c>
      <c r="V91" s="41">
        <v>8.0</v>
      </c>
      <c r="W91" s="41">
        <v>8.0</v>
      </c>
      <c r="X91" s="41">
        <v>8.0</v>
      </c>
      <c r="Y91" s="41">
        <v>0.0</v>
      </c>
      <c r="Z91" s="41">
        <v>0.0</v>
      </c>
      <c r="AA91" s="41">
        <v>0.0</v>
      </c>
      <c r="AB91" s="41">
        <v>4.0</v>
      </c>
      <c r="AC91" s="41">
        <v>8.0</v>
      </c>
      <c r="AD91" s="41">
        <v>12.0</v>
      </c>
      <c r="AE91" s="41">
        <v>0.0</v>
      </c>
      <c r="AF91" s="41">
        <v>0.0</v>
      </c>
      <c r="AG91" s="41">
        <v>0.0</v>
      </c>
      <c r="AH91" s="41">
        <v>0.0</v>
      </c>
      <c r="AI91" s="41">
        <v>0.0</v>
      </c>
      <c r="AJ91" s="41">
        <v>0.0</v>
      </c>
      <c r="AK91" s="41">
        <v>4.0</v>
      </c>
      <c r="AL91" s="41">
        <v>4.0</v>
      </c>
      <c r="AM91" s="43">
        <v>4.0</v>
      </c>
      <c r="AN91" s="43">
        <v>0.0</v>
      </c>
      <c r="AO91" s="43">
        <v>4.0</v>
      </c>
      <c r="AP91" s="43">
        <v>8.0</v>
      </c>
      <c r="AQ91" s="43">
        <v>0.0</v>
      </c>
      <c r="AR91" s="43">
        <v>0.0</v>
      </c>
      <c r="AS91" s="43">
        <v>0.0</v>
      </c>
      <c r="AT91" s="4">
        <f t="shared" si="4"/>
        <v>24.0</v>
      </c>
      <c r="AU91" s="4">
        <f t="shared" si="5"/>
        <v>12.0</v>
      </c>
      <c r="AV91" s="4">
        <f t="shared" si="6"/>
        <v>13.2</v>
      </c>
      <c r="AW91" s="1">
        <f t="shared" si="309"/>
        <v>1.48571428571429</v>
      </c>
      <c r="AX91" s="1">
        <f t="shared" si="310"/>
        <v>1.85714285714286</v>
      </c>
      <c r="AY91" s="1">
        <f t="shared" si="311"/>
        <v>2.0</v>
      </c>
      <c r="AZ91" s="1">
        <f t="shared" si="312"/>
        <v>2.77142857142857</v>
      </c>
      <c r="BA91" s="1">
        <f t="shared" si="313"/>
        <v>1.31428571428571</v>
      </c>
      <c r="BB91" s="1">
        <f t="shared" si="314"/>
        <v>2.57142857142857</v>
      </c>
      <c r="BC91" s="4">
        <f t="shared" si="13"/>
        <v>12.0</v>
      </c>
      <c r="BD91" s="3">
        <f>VLOOKUP(D91,FEB23SOH,2,false)</f>
        <v>420.0</v>
      </c>
      <c r="BE91" s="44">
        <f>VLOOKUP(D91,UNITVALUE,4,false)</f>
        <v>2.9886</v>
      </c>
      <c r="BF91" s="44">
        <f t="shared" si="16"/>
        <v>1255.212</v>
      </c>
      <c r="BI91" s="6">
        <f t="shared" ref="BI91:BI120" si="359">BD91+BG91+BH91-BC91</f>
        <v>408.0</v>
      </c>
      <c r="BJ91" s="1">
        <f>VLOOKUP(C91,MOQ,3,FALSE())</f>
        <v>500.0</v>
      </c>
      <c r="BK91" s="53" t="s">
        <v>0</v>
      </c>
      <c r="BM91" s="1">
        <f t="shared" ref="BM91:BM120" si="361">BD91</f>
        <v>420.0</v>
      </c>
      <c r="BN91" s="1">
        <f t="shared" ref="BN91:BN120" si="362">AW91</f>
        <v>1.48571428571429</v>
      </c>
      <c r="BP91" s="45">
        <f t="shared" ref="BP91:BP120" si="363">BM91+BO91-BN91</f>
        <v>418.514285714286</v>
      </c>
      <c r="BQ91" s="5">
        <f t="shared" ref="BQ91:BQ100" si="364">BP91*BE91</f>
        <v>1250.77179428571</v>
      </c>
      <c r="BR91" s="1">
        <f t="shared" ref="BR91:BR120" si="365">AX91</f>
        <v>1.85714285714286</v>
      </c>
      <c r="BS91" s="1">
        <f t="shared" ref="BS91:BS120" si="366">BG91</f>
      </c>
      <c r="BT91" s="45">
        <f t="shared" ref="BT91:BT120" si="367">BP91+BS91-BR91</f>
        <v>416.657142857143</v>
      </c>
      <c r="BU91" s="5">
        <f t="shared" ref="BU91:BU100" si="368">BT91*BE91</f>
        <v>1245.22153714286</v>
      </c>
      <c r="BV91" s="1">
        <f t="shared" ref="BV91:BV120" si="369">AY91</f>
        <v>2.0</v>
      </c>
      <c r="BW91" s="1">
        <f t="shared" ref="BW91:BW120" si="370">BG91</f>
      </c>
      <c r="BX91" s="45">
        <f t="shared" ref="BX91:BX120" si="371">BT91+BW91-BV91</f>
        <v>414.657142857143</v>
      </c>
      <c r="BY91" s="5">
        <f t="shared" ref="BY91:BY100" si="372">BX91*BE91</f>
        <v>1239.24433714286</v>
      </c>
      <c r="BZ91" s="1">
        <f t="shared" ref="BZ91:BZ120" si="373">AZ91</f>
        <v>2.77142857142857</v>
      </c>
      <c r="CB91" s="45">
        <f t="shared" ref="CB91:CB120" si="374">BX91+CA91-BZ91</f>
        <v>411.885714285714</v>
      </c>
      <c r="CC91" s="5">
        <f t="shared" ref="CC91:CC100" si="375">CB91*BE91</f>
        <v>1230.96164571429</v>
      </c>
      <c r="CD91" s="1">
        <f t="shared" ref="CD91:CD120" si="376">BA91</f>
        <v>1.31428571428571</v>
      </c>
      <c r="CF91" s="45">
        <f t="shared" ref="CF91:CF120" si="377">CB91+CE91-CD91</f>
        <v>410.571428571428</v>
      </c>
      <c r="CG91" s="5">
        <f t="shared" ref="CG91:CG100" si="378">CF91*BE91</f>
        <v>1227.03377142857</v>
      </c>
      <c r="CH91" s="1">
        <f t="shared" ref="CH91:CH120" si="379">BB91</f>
        <v>2.57142857142857</v>
      </c>
      <c r="CJ91" s="45">
        <f t="shared" ref="CJ91:CJ120" si="380">CF91+CI91-CH91</f>
        <v>407.999999999999</v>
      </c>
      <c r="CK91" s="5">
        <f t="shared" ref="CK91:CK100" si="381">CJ91*BE91</f>
        <v>1219.3488</v>
      </c>
    </row>
    <row r="92" ht="17.0">
      <c r="A92" s="41" t="s">
        <v>30</v>
      </c>
      <c r="B92" s="10" t="s">
        <v>207</v>
      </c>
      <c r="C92" s="41" t="s">
        <v>210</v>
      </c>
      <c r="D92" s="42" t="s">
        <v>211</v>
      </c>
      <c r="E92" s="41">
        <v>0.0</v>
      </c>
      <c r="F92" s="41">
        <v>0.0</v>
      </c>
      <c r="G92" s="41">
        <v>0.0</v>
      </c>
      <c r="H92" s="41">
        <v>0.0</v>
      </c>
      <c r="I92" s="41">
        <v>0.0</v>
      </c>
      <c r="J92" s="41">
        <v>0.0</v>
      </c>
      <c r="K92" s="41">
        <v>0.0</v>
      </c>
      <c r="L92" s="41">
        <v>0.0</v>
      </c>
      <c r="M92" s="41">
        <v>0.0</v>
      </c>
      <c r="N92" s="41">
        <v>0.0</v>
      </c>
      <c r="O92" s="41">
        <v>0.0</v>
      </c>
      <c r="P92" s="41">
        <v>0.0</v>
      </c>
      <c r="Q92" s="41">
        <v>24.0</v>
      </c>
      <c r="R92" s="41">
        <v>16.0</v>
      </c>
      <c r="S92" s="41">
        <v>12.0</v>
      </c>
      <c r="T92" s="41">
        <v>16.0</v>
      </c>
      <c r="U92" s="41">
        <v>24.0</v>
      </c>
      <c r="V92" s="41">
        <v>56.0</v>
      </c>
      <c r="W92" s="41">
        <v>32.0</v>
      </c>
      <c r="X92" s="41">
        <v>4.0</v>
      </c>
      <c r="Y92" s="41">
        <v>4.0</v>
      </c>
      <c r="Z92" s="41">
        <v>8.0</v>
      </c>
      <c r="AA92" s="41">
        <v>0.0</v>
      </c>
      <c r="AB92" s="41">
        <v>16.0</v>
      </c>
      <c r="AC92" s="41">
        <v>36.0</v>
      </c>
      <c r="AD92" s="41">
        <v>8.0</v>
      </c>
      <c r="AE92" s="41">
        <v>4.0</v>
      </c>
      <c r="AF92" s="41">
        <v>0.0</v>
      </c>
      <c r="AG92" s="41">
        <v>4.0</v>
      </c>
      <c r="AH92" s="41">
        <v>8.0</v>
      </c>
      <c r="AI92" s="41">
        <v>4.0</v>
      </c>
      <c r="AJ92" s="41">
        <v>4.0</v>
      </c>
      <c r="AK92" s="41">
        <v>0.0</v>
      </c>
      <c r="AL92" s="41">
        <v>0.0</v>
      </c>
      <c r="AM92" s="43">
        <v>4.0</v>
      </c>
      <c r="AN92" s="43">
        <v>12.0</v>
      </c>
      <c r="AO92" s="43">
        <v>20.0</v>
      </c>
      <c r="AP92" s="43">
        <v>8.0</v>
      </c>
      <c r="AQ92" s="43">
        <v>0.0</v>
      </c>
      <c r="AR92" s="43">
        <v>4.0</v>
      </c>
      <c r="AS92" s="43">
        <v>0.0</v>
      </c>
      <c r="AT92" s="4">
        <f t="shared" si="4"/>
        <v>64.0</v>
      </c>
      <c r="AU92" s="4">
        <f t="shared" si="5"/>
        <v>20.0</v>
      </c>
      <c r="AV92" s="4">
        <f t="shared" si="6"/>
        <v>22.0</v>
      </c>
      <c r="AW92" s="1">
        <f t="shared" si="309"/>
        <v>2.4761904761904</v>
      </c>
      <c r="AX92" s="1">
        <f t="shared" si="310"/>
        <v>3.0952380952381</v>
      </c>
      <c r="AY92" s="1">
        <f t="shared" si="311"/>
        <v>3.33333333333333</v>
      </c>
      <c r="AZ92" s="1">
        <f t="shared" si="312"/>
        <v>4.61904761904761</v>
      </c>
      <c r="BA92" s="1">
        <f t="shared" si="313"/>
        <v>2.19047619047619</v>
      </c>
      <c r="BB92" s="1">
        <f t="shared" si="314"/>
        <v>4.28571428571429</v>
      </c>
      <c r="BC92" s="4">
        <f t="shared" si="13"/>
        <v>19.9999999999999</v>
      </c>
      <c r="BD92" s="3">
        <f>VLOOKUP(D92,FEB23SOH,2,false)</f>
        <v>172.0</v>
      </c>
      <c r="BE92" s="44">
        <f>VLOOKUP(D92,UNITVALUE,4,false)</f>
        <v>2.9901</v>
      </c>
      <c r="BF92" s="44">
        <f t="shared" si="16"/>
        <v>514.2972</v>
      </c>
      <c r="BI92" s="6">
        <f t="shared" si="359"/>
        <v>152.0</v>
      </c>
      <c r="BJ92" s="1">
        <f>VLOOKUP(C92,MOQ,3,FALSE())</f>
        <v>500.0</v>
      </c>
      <c r="BK92" s="53" t="s">
        <v>0</v>
      </c>
      <c r="BM92" s="1">
        <f t="shared" si="361"/>
        <v>172.0</v>
      </c>
      <c r="BN92" s="1">
        <f t="shared" si="362"/>
        <v>2.4761904761904</v>
      </c>
      <c r="BP92" s="45">
        <f t="shared" si="363"/>
        <v>169.52380952381</v>
      </c>
      <c r="BQ92" s="5">
        <f t="shared" si="364"/>
        <v>506.893142857144</v>
      </c>
      <c r="BR92" s="1">
        <f t="shared" si="365"/>
        <v>3.0952380952381</v>
      </c>
      <c r="BS92" s="1">
        <f t="shared" si="366"/>
      </c>
      <c r="BT92" s="45">
        <f t="shared" si="367"/>
        <v>166.428571428571</v>
      </c>
      <c r="BU92" s="5">
        <f t="shared" si="368"/>
        <v>497.63807142857</v>
      </c>
      <c r="BV92" s="1">
        <f t="shared" si="369"/>
        <v>3.33333333333333</v>
      </c>
      <c r="BW92" s="1">
        <f t="shared" si="370"/>
      </c>
      <c r="BX92" s="45">
        <f t="shared" si="371"/>
        <v>163.095238095238</v>
      </c>
      <c r="BY92" s="5">
        <f t="shared" si="372"/>
        <v>487.671071428571</v>
      </c>
      <c r="BZ92" s="1">
        <f t="shared" si="373"/>
        <v>4.61904761904761</v>
      </c>
      <c r="CB92" s="45">
        <f t="shared" si="374"/>
        <v>158.47619047619</v>
      </c>
      <c r="CC92" s="5">
        <f t="shared" si="375"/>
        <v>473.859657142856</v>
      </c>
      <c r="CD92" s="1">
        <f t="shared" si="376"/>
        <v>2.19047619047619</v>
      </c>
      <c r="CF92" s="45">
        <f t="shared" si="377"/>
        <v>156.285714285713</v>
      </c>
      <c r="CG92" s="5">
        <f t="shared" si="378"/>
        <v>467.30991428571</v>
      </c>
      <c r="CH92" s="1">
        <f t="shared" si="379"/>
        <v>4.28571428571429</v>
      </c>
      <c r="CJ92" s="45">
        <f t="shared" si="380"/>
        <v>151.999999999999</v>
      </c>
      <c r="CK92" s="5">
        <f t="shared" si="381"/>
        <v>454.495199999997</v>
      </c>
    </row>
    <row r="93" ht="17.0">
      <c r="A93" s="41" t="s">
        <v>30</v>
      </c>
      <c r="B93" s="10" t="s">
        <v>207</v>
      </c>
      <c r="C93" s="41" t="s">
        <v>212</v>
      </c>
      <c r="D93" s="55" t="s">
        <v>213</v>
      </c>
      <c r="E93" s="41">
        <v>0.0</v>
      </c>
      <c r="F93" s="41">
        <v>0.0</v>
      </c>
      <c r="G93" s="41">
        <v>0.0</v>
      </c>
      <c r="H93" s="41">
        <v>0.0</v>
      </c>
      <c r="I93" s="41">
        <v>0.0</v>
      </c>
      <c r="J93" s="41">
        <v>0.0</v>
      </c>
      <c r="K93" s="41">
        <v>0.0</v>
      </c>
      <c r="L93" s="41">
        <v>0.0</v>
      </c>
      <c r="M93" s="41">
        <v>0.0</v>
      </c>
      <c r="N93" s="41">
        <v>0.0</v>
      </c>
      <c r="O93" s="41">
        <v>0.0</v>
      </c>
      <c r="P93" s="41">
        <v>0.0</v>
      </c>
      <c r="Q93" s="41">
        <v>124.0</v>
      </c>
      <c r="R93" s="41">
        <v>49.0</v>
      </c>
      <c r="S93" s="41">
        <v>12.0</v>
      </c>
      <c r="T93" s="41">
        <v>28.0</v>
      </c>
      <c r="U93" s="41">
        <v>28.0</v>
      </c>
      <c r="V93" s="41">
        <v>36.0</v>
      </c>
      <c r="W93" s="41">
        <v>44.0</v>
      </c>
      <c r="X93" s="41">
        <v>16.0</v>
      </c>
      <c r="Y93" s="41">
        <v>8.0</v>
      </c>
      <c r="Z93" s="41">
        <v>16.0</v>
      </c>
      <c r="AA93" s="41">
        <v>4.0</v>
      </c>
      <c r="AB93" s="41">
        <v>32.0</v>
      </c>
      <c r="AC93" s="41">
        <v>24.0</v>
      </c>
      <c r="AD93" s="41">
        <v>12.0</v>
      </c>
      <c r="AE93" s="41">
        <v>12.0</v>
      </c>
      <c r="AF93" s="41">
        <v>0.0</v>
      </c>
      <c r="AG93" s="41">
        <v>20.0</v>
      </c>
      <c r="AH93" s="41">
        <v>8.0</v>
      </c>
      <c r="AI93" s="41">
        <v>16.0</v>
      </c>
      <c r="AJ93" s="41">
        <v>8.0</v>
      </c>
      <c r="AK93" s="41">
        <v>4.0</v>
      </c>
      <c r="AL93" s="41">
        <v>4.0</v>
      </c>
      <c r="AM93" s="43">
        <v>8.0</v>
      </c>
      <c r="AN93" s="43">
        <v>16.0</v>
      </c>
      <c r="AO93" s="43">
        <v>4.0</v>
      </c>
      <c r="AP93" s="43">
        <v>16.0</v>
      </c>
      <c r="AQ93" s="43">
        <v>32.0</v>
      </c>
      <c r="AR93" s="43">
        <v>8.0</v>
      </c>
      <c r="AS93" s="43">
        <v>10.0</v>
      </c>
      <c r="AT93" s="4">
        <f t="shared" si="4"/>
        <v>134.0</v>
      </c>
      <c r="AU93" s="4">
        <f t="shared" si="5"/>
        <v>48.0</v>
      </c>
      <c r="AV93" s="4">
        <f t="shared" si="6"/>
        <v>52.8</v>
      </c>
      <c r="AW93" s="1">
        <f t="shared" ref="AW93:AW96" si="382">AV93*$AW$4/$AV$4+4*$AW$90</f>
        <v>5.94285714285714</v>
      </c>
      <c r="AX93" s="1">
        <f t="shared" ref="AX93:AX96" si="383">AV93*$AX$4/$AV$4+4*$AX$90</f>
        <v>7.42857142857142</v>
      </c>
      <c r="AY93" s="1">
        <f t="shared" ref="AY93:AY96" si="384">AV93*$AY$4/$AV$4+4*$AY$90</f>
        <v>8.0</v>
      </c>
      <c r="AZ93" s="1">
        <f t="shared" ref="AZ93:AZ96" si="385">AV93*$AZ$4/$AV$4+4*$AZ$90</f>
        <v>11.0857142857142</v>
      </c>
      <c r="BA93" s="1">
        <f t="shared" ref="BA93:BA96" si="386">AV93*$BA$4/$AV$4+4*$BA$90</f>
        <v>5.25714285714286</v>
      </c>
      <c r="BB93" s="1">
        <f t="shared" ref="BB93:BB96" si="387">AV93*$BB$4/$AV$4+4*$BB$90</f>
        <v>10.2857142857142</v>
      </c>
      <c r="BC93" s="4">
        <f t="shared" si="13"/>
        <v>47.9999999999998</v>
      </c>
      <c r="BD93" s="3">
        <f>VLOOKUP(D93,FEB23SOH,2,false)</f>
        <v>392.0</v>
      </c>
      <c r="BE93" s="44">
        <f>VLOOKUP(D93,UNITVALUE,4,false)</f>
        <v>3.0134</v>
      </c>
      <c r="BF93" s="44">
        <f t="shared" si="16"/>
        <v>1181.2528</v>
      </c>
      <c r="BI93" s="6">
        <f t="shared" si="359"/>
        <v>344.0</v>
      </c>
      <c r="BJ93" s="1">
        <f>VLOOKUP(C93,MOQ,3,FALSE())</f>
        <v>500.0</v>
      </c>
      <c r="BK93" s="53" t="s">
        <v>0</v>
      </c>
      <c r="BM93" s="1">
        <f t="shared" si="361"/>
        <v>392.0</v>
      </c>
      <c r="BN93" s="1">
        <f t="shared" si="362"/>
        <v>5.94285714285714</v>
      </c>
      <c r="BP93" s="45">
        <f t="shared" si="363"/>
        <v>386.057142857142</v>
      </c>
      <c r="BQ93" s="5">
        <f t="shared" si="364"/>
        <v>1163.34459428571</v>
      </c>
      <c r="BR93" s="1">
        <f t="shared" si="365"/>
        <v>7.42857142857142</v>
      </c>
      <c r="BS93" s="1">
        <f t="shared" si="366"/>
      </c>
      <c r="BT93" s="45">
        <f t="shared" si="367"/>
        <v>378.62857142857</v>
      </c>
      <c r="BU93" s="5">
        <f t="shared" si="368"/>
        <v>1140.95933714285</v>
      </c>
      <c r="BV93" s="1">
        <f t="shared" si="369"/>
        <v>8.0</v>
      </c>
      <c r="BW93" s="1">
        <f t="shared" si="370"/>
      </c>
      <c r="BX93" s="45">
        <f t="shared" si="371"/>
        <v>370.62857142857</v>
      </c>
      <c r="BY93" s="5">
        <f t="shared" si="372"/>
        <v>1116.85213714285</v>
      </c>
      <c r="BZ93" s="1">
        <f t="shared" si="373"/>
        <v>11.0857142857142</v>
      </c>
      <c r="CB93" s="45">
        <f t="shared" si="374"/>
        <v>359.542857142856</v>
      </c>
      <c r="CC93" s="5">
        <f t="shared" si="375"/>
        <v>1083.44644571428</v>
      </c>
      <c r="CD93" s="1">
        <f t="shared" si="376"/>
        <v>5.25714285714286</v>
      </c>
      <c r="CF93" s="45">
        <f t="shared" si="377"/>
        <v>354.285714285713</v>
      </c>
      <c r="CG93" s="5">
        <f t="shared" si="378"/>
        <v>1067.60457142857</v>
      </c>
      <c r="CH93" s="1">
        <f t="shared" si="379"/>
        <v>10.2857142857142</v>
      </c>
      <c r="CJ93" s="45">
        <f t="shared" si="380"/>
        <v>344.0</v>
      </c>
      <c r="CK93" s="5">
        <f t="shared" si="381"/>
        <v>1036.6096</v>
      </c>
    </row>
    <row r="94" ht="17.0">
      <c r="A94" s="41" t="s">
        <v>30</v>
      </c>
      <c r="B94" s="41" t="s">
        <v>207</v>
      </c>
      <c r="C94" s="41" t="s">
        <v>214</v>
      </c>
      <c r="D94" s="55" t="s">
        <v>215</v>
      </c>
      <c r="E94" s="41">
        <v>0.0</v>
      </c>
      <c r="F94" s="41">
        <v>0.0</v>
      </c>
      <c r="G94" s="41">
        <v>0.0</v>
      </c>
      <c r="H94" s="41">
        <v>0.0</v>
      </c>
      <c r="I94" s="41">
        <v>0.0</v>
      </c>
      <c r="J94" s="41">
        <v>0.0</v>
      </c>
      <c r="K94" s="41">
        <v>0.0</v>
      </c>
      <c r="L94" s="41">
        <v>0.0</v>
      </c>
      <c r="M94" s="41">
        <v>0.0</v>
      </c>
      <c r="N94" s="41">
        <v>0.0</v>
      </c>
      <c r="O94" s="41">
        <v>0.0</v>
      </c>
      <c r="P94" s="41">
        <v>0.0</v>
      </c>
      <c r="Q94" s="41">
        <v>160.0</v>
      </c>
      <c r="R94" s="41">
        <v>107.0</v>
      </c>
      <c r="S94" s="41">
        <v>40.0</v>
      </c>
      <c r="T94" s="41">
        <v>40.0</v>
      </c>
      <c r="U94" s="41">
        <v>88.0</v>
      </c>
      <c r="V94" s="41">
        <v>55.0</v>
      </c>
      <c r="W94" s="41">
        <v>0.0</v>
      </c>
      <c r="X94" s="41">
        <v>0.0</v>
      </c>
      <c r="Y94" s="41">
        <v>0.0</v>
      </c>
      <c r="Z94" s="41">
        <v>0.0</v>
      </c>
      <c r="AA94" s="41">
        <v>16.0</v>
      </c>
      <c r="AB94" s="41">
        <v>56.0</v>
      </c>
      <c r="AC94" s="41">
        <v>52.0</v>
      </c>
      <c r="AD94" s="41">
        <v>40.0</v>
      </c>
      <c r="AE94" s="41">
        <v>40.0</v>
      </c>
      <c r="AF94" s="41">
        <v>18.0</v>
      </c>
      <c r="AG94" s="41">
        <v>36.0</v>
      </c>
      <c r="AH94" s="41">
        <v>40.0</v>
      </c>
      <c r="AI94" s="41">
        <v>24.0</v>
      </c>
      <c r="AJ94" s="41">
        <v>28.0</v>
      </c>
      <c r="AK94" s="41">
        <v>8.0</v>
      </c>
      <c r="AL94" s="41">
        <v>8.0</v>
      </c>
      <c r="AM94" s="43">
        <v>12.0</v>
      </c>
      <c r="AN94" s="43">
        <v>32.0</v>
      </c>
      <c r="AO94" s="43">
        <v>24.0</v>
      </c>
      <c r="AP94" s="43">
        <v>16.0</v>
      </c>
      <c r="AQ94" s="43">
        <v>32.0</v>
      </c>
      <c r="AR94" s="43">
        <v>16.0</v>
      </c>
      <c r="AS94" s="43">
        <v>29.0</v>
      </c>
      <c r="AT94" s="4">
        <f t="shared" si="4"/>
        <v>269.0</v>
      </c>
      <c r="AU94" s="4">
        <f t="shared" si="5"/>
        <v>120.0</v>
      </c>
      <c r="AV94" s="4">
        <f t="shared" si="6"/>
        <v>132.0</v>
      </c>
      <c r="AW94" s="1">
        <f t="shared" si="382"/>
        <v>14.8571428571429</v>
      </c>
      <c r="AX94" s="1">
        <f t="shared" si="383"/>
        <v>18.571428571429</v>
      </c>
      <c r="AY94" s="1">
        <f t="shared" si="384"/>
        <v>20.0</v>
      </c>
      <c r="AZ94" s="1">
        <f t="shared" si="385"/>
        <v>27.7142857142857</v>
      </c>
      <c r="BA94" s="1">
        <f t="shared" si="386"/>
        <v>13.1428571428571</v>
      </c>
      <c r="BB94" s="1">
        <f t="shared" si="387"/>
        <v>25.7142857142857</v>
      </c>
      <c r="BC94" s="4">
        <f t="shared" si="13"/>
        <v>120.0</v>
      </c>
      <c r="BD94" s="3">
        <f>VLOOKUP(D94,FEB23SOH,2,false)</f>
        <v>182.0</v>
      </c>
      <c r="BE94" s="44">
        <f>VLOOKUP(D94,UNITVALUE,4,false)</f>
        <v>3.0154</v>
      </c>
      <c r="BF94" s="44">
        <f t="shared" si="16"/>
        <v>548.8028</v>
      </c>
      <c r="BI94" s="6">
        <f t="shared" si="359"/>
        <v>62.0</v>
      </c>
      <c r="BJ94" s="1">
        <f>VLOOKUP(C94,MOQ,3,FALSE())</f>
        <v>500.0</v>
      </c>
      <c r="BM94" s="1">
        <f t="shared" si="361"/>
        <v>182.0</v>
      </c>
      <c r="BN94" s="1">
        <f t="shared" si="362"/>
        <v>14.8571428571429</v>
      </c>
      <c r="BP94" s="45">
        <f t="shared" si="363"/>
        <v>167.142857142857</v>
      </c>
      <c r="BQ94" s="5">
        <f t="shared" si="364"/>
        <v>504.002571428571</v>
      </c>
      <c r="BR94" s="1">
        <f t="shared" si="365"/>
        <v>18.571428571429</v>
      </c>
      <c r="BS94" s="1">
        <f t="shared" si="366"/>
      </c>
      <c r="BT94" s="45">
        <f t="shared" si="367"/>
        <v>148.571428571428</v>
      </c>
      <c r="BU94" s="5">
        <f t="shared" si="368"/>
        <v>448.002285714283</v>
      </c>
      <c r="BV94" s="1">
        <f t="shared" si="369"/>
        <v>20.0</v>
      </c>
      <c r="BW94" s="1">
        <f t="shared" si="370"/>
      </c>
      <c r="BX94" s="45">
        <f t="shared" si="371"/>
        <v>128.571428571428</v>
      </c>
      <c r="BY94" s="5">
        <f t="shared" si="372"/>
        <v>387.694285714284</v>
      </c>
      <c r="BZ94" s="1">
        <f t="shared" si="373"/>
        <v>27.7142857142857</v>
      </c>
      <c r="CB94" s="45">
        <f t="shared" si="374"/>
        <v>100.857142857142</v>
      </c>
      <c r="CC94" s="5">
        <f t="shared" si="375"/>
        <v>304.124628571426</v>
      </c>
      <c r="CD94" s="1">
        <f t="shared" si="376"/>
        <v>13.1428571428571</v>
      </c>
      <c r="CF94" s="45">
        <f t="shared" si="377"/>
        <v>87.7142857142849</v>
      </c>
      <c r="CG94" s="5">
        <f t="shared" si="378"/>
        <v>264.493657142854</v>
      </c>
      <c r="CH94" s="1">
        <f t="shared" si="379"/>
        <v>25.7142857142857</v>
      </c>
      <c r="CJ94" s="45">
        <f t="shared" si="380"/>
        <v>61.9999999999992</v>
      </c>
      <c r="CK94" s="5">
        <f t="shared" si="381"/>
        <v>186.954799999998</v>
      </c>
    </row>
    <row r="95" ht="17.0">
      <c r="A95" s="41" t="s">
        <v>30</v>
      </c>
      <c r="B95" s="10" t="s">
        <v>207</v>
      </c>
      <c r="C95" s="41" t="s">
        <v>216</v>
      </c>
      <c r="D95" s="55" t="s">
        <v>217</v>
      </c>
      <c r="E95" s="41">
        <v>0.0</v>
      </c>
      <c r="F95" s="41">
        <v>0.0</v>
      </c>
      <c r="G95" s="41">
        <v>0.0</v>
      </c>
      <c r="H95" s="41">
        <v>0.0</v>
      </c>
      <c r="I95" s="41">
        <v>0.0</v>
      </c>
      <c r="J95" s="41">
        <v>0.0</v>
      </c>
      <c r="K95" s="41">
        <v>0.0</v>
      </c>
      <c r="L95" s="41">
        <v>0.0</v>
      </c>
      <c r="M95" s="41">
        <v>0.0</v>
      </c>
      <c r="N95" s="41">
        <v>0.0</v>
      </c>
      <c r="O95" s="41">
        <v>0.0</v>
      </c>
      <c r="P95" s="41">
        <v>0.0</v>
      </c>
      <c r="Q95" s="41">
        <v>64.0</v>
      </c>
      <c r="R95" s="41">
        <v>80.0</v>
      </c>
      <c r="S95" s="41">
        <v>16.0</v>
      </c>
      <c r="T95" s="41">
        <v>20.0</v>
      </c>
      <c r="U95" s="41">
        <v>68.0</v>
      </c>
      <c r="V95" s="41">
        <v>64.0</v>
      </c>
      <c r="W95" s="41">
        <v>64.0</v>
      </c>
      <c r="X95" s="41">
        <v>33.0</v>
      </c>
      <c r="Y95" s="41">
        <v>8.0</v>
      </c>
      <c r="Z95" s="41">
        <v>48.0</v>
      </c>
      <c r="AA95" s="41">
        <v>12.0</v>
      </c>
      <c r="AB95" s="41">
        <v>12.0</v>
      </c>
      <c r="AC95" s="41">
        <v>40.0</v>
      </c>
      <c r="AD95" s="41">
        <v>28.0</v>
      </c>
      <c r="AE95" s="41">
        <v>8.0</v>
      </c>
      <c r="AF95" s="41">
        <v>16.0</v>
      </c>
      <c r="AG95" s="41">
        <v>24.0</v>
      </c>
      <c r="AH95" s="41">
        <v>4.0</v>
      </c>
      <c r="AI95" s="41">
        <v>20.0</v>
      </c>
      <c r="AJ95" s="41">
        <v>20.0</v>
      </c>
      <c r="AK95" s="41">
        <v>8.0</v>
      </c>
      <c r="AL95" s="41">
        <v>0.0</v>
      </c>
      <c r="AM95" s="43">
        <v>4.0</v>
      </c>
      <c r="AN95" s="43">
        <v>32.0</v>
      </c>
      <c r="AO95" s="43">
        <v>12.0</v>
      </c>
      <c r="AP95" s="43">
        <v>20.0</v>
      </c>
      <c r="AQ95" s="43">
        <v>8.0</v>
      </c>
      <c r="AR95" s="43">
        <v>4.0</v>
      </c>
      <c r="AS95" s="43">
        <v>15.0</v>
      </c>
      <c r="AT95" s="4">
        <f t="shared" si="4"/>
        <v>147.0</v>
      </c>
      <c r="AU95" s="4">
        <f t="shared" si="5"/>
        <v>56.0</v>
      </c>
      <c r="AV95" s="4">
        <f t="shared" si="6"/>
        <v>61.6</v>
      </c>
      <c r="AW95" s="1">
        <f t="shared" si="382"/>
        <v>6.93333333333333</v>
      </c>
      <c r="AX95" s="1">
        <f t="shared" si="383"/>
        <v>8.6666666666667</v>
      </c>
      <c r="AY95" s="1">
        <f t="shared" si="384"/>
        <v>9.33333333333333</v>
      </c>
      <c r="AZ95" s="1">
        <f t="shared" si="385"/>
        <v>12.9333333333333</v>
      </c>
      <c r="BA95" s="1">
        <f t="shared" si="386"/>
        <v>6.13333333333333</v>
      </c>
      <c r="BB95" s="1">
        <f t="shared" si="387"/>
        <v>12.0</v>
      </c>
      <c r="BC95" s="4">
        <f t="shared" si="13"/>
        <v>56.0</v>
      </c>
      <c r="BD95" s="3">
        <f>VLOOKUP(D95,FEB23SOH,2,false)</f>
        <v>235.0</v>
      </c>
      <c r="BE95" s="44">
        <f>VLOOKUP(D95,UNITVALUE,4,false)</f>
        <v>3.0141</v>
      </c>
      <c r="BF95" s="44">
        <f t="shared" si="16"/>
        <v>708.3135</v>
      </c>
      <c r="BI95" s="6">
        <f t="shared" si="359"/>
        <v>179.0</v>
      </c>
      <c r="BJ95" s="1">
        <f>VLOOKUP(C95,MOQ,3,FALSE())</f>
        <v>500.0</v>
      </c>
      <c r="BK95" s="53" t="s">
        <v>0</v>
      </c>
      <c r="BM95" s="1">
        <f t="shared" si="361"/>
        <v>235.0</v>
      </c>
      <c r="BN95" s="1">
        <f t="shared" si="362"/>
        <v>6.93333333333333</v>
      </c>
      <c r="BP95" s="45">
        <f t="shared" si="363"/>
        <v>228.066666666667</v>
      </c>
      <c r="BQ95" s="5">
        <f t="shared" si="364"/>
        <v>687.415740000001</v>
      </c>
      <c r="BR95" s="1">
        <f t="shared" si="365"/>
        <v>8.6666666666667</v>
      </c>
      <c r="BS95" s="1">
        <f t="shared" si="366"/>
      </c>
      <c r="BT95" s="45">
        <f t="shared" si="367"/>
        <v>219.4</v>
      </c>
      <c r="BU95" s="5">
        <f t="shared" si="368"/>
        <v>661.29354</v>
      </c>
      <c r="BV95" s="1">
        <f t="shared" si="369"/>
        <v>9.33333333333333</v>
      </c>
      <c r="BW95" s="1">
        <f t="shared" si="370"/>
      </c>
      <c r="BX95" s="45">
        <f t="shared" si="371"/>
        <v>210.066666666667</v>
      </c>
      <c r="BY95" s="5">
        <f t="shared" si="372"/>
        <v>633.161940000001</v>
      </c>
      <c r="BZ95" s="1">
        <f t="shared" si="373"/>
        <v>12.9333333333333</v>
      </c>
      <c r="CB95" s="45">
        <f t="shared" si="374"/>
        <v>197.133333333333</v>
      </c>
      <c r="CC95" s="5">
        <f t="shared" si="375"/>
        <v>594.179579999999</v>
      </c>
      <c r="CD95" s="1">
        <f t="shared" si="376"/>
        <v>6.13333333333333</v>
      </c>
      <c r="CF95" s="45">
        <f t="shared" si="377"/>
        <v>191.0</v>
      </c>
      <c r="CG95" s="5">
        <f t="shared" si="378"/>
        <v>575.6931</v>
      </c>
      <c r="CH95" s="1">
        <f t="shared" si="379"/>
        <v>12.0</v>
      </c>
      <c r="CJ95" s="45">
        <f t="shared" si="380"/>
        <v>179.0</v>
      </c>
      <c r="CK95" s="5">
        <f t="shared" si="381"/>
        <v>539.5239</v>
      </c>
    </row>
    <row r="96" ht="17.0">
      <c r="A96" s="41" t="s">
        <v>30</v>
      </c>
      <c r="B96" s="10" t="s">
        <v>207</v>
      </c>
      <c r="C96" s="41" t="s">
        <v>218</v>
      </c>
      <c r="D96" s="55" t="s">
        <v>219</v>
      </c>
      <c r="E96" s="41">
        <v>0.0</v>
      </c>
      <c r="F96" s="41">
        <v>0.0</v>
      </c>
      <c r="G96" s="41">
        <v>0.0</v>
      </c>
      <c r="H96" s="41">
        <v>0.0</v>
      </c>
      <c r="I96" s="41">
        <v>0.0</v>
      </c>
      <c r="J96" s="41">
        <v>0.0</v>
      </c>
      <c r="K96" s="41">
        <v>0.0</v>
      </c>
      <c r="L96" s="41">
        <v>0.0</v>
      </c>
      <c r="M96" s="41">
        <v>0.0</v>
      </c>
      <c r="N96" s="41">
        <v>0.0</v>
      </c>
      <c r="O96" s="41">
        <v>0.0</v>
      </c>
      <c r="P96" s="41">
        <v>0.0</v>
      </c>
      <c r="Q96" s="41">
        <v>24.0</v>
      </c>
      <c r="R96" s="41">
        <v>56.0</v>
      </c>
      <c r="S96" s="41">
        <v>12.0</v>
      </c>
      <c r="T96" s="41">
        <v>12.0</v>
      </c>
      <c r="U96" s="41">
        <v>24.0</v>
      </c>
      <c r="V96" s="41">
        <v>12.0</v>
      </c>
      <c r="W96" s="41">
        <v>32.0</v>
      </c>
      <c r="X96" s="41">
        <v>13.0</v>
      </c>
      <c r="Y96" s="41">
        <v>8.0</v>
      </c>
      <c r="Z96" s="41">
        <v>8.0</v>
      </c>
      <c r="AA96" s="41">
        <v>0.0</v>
      </c>
      <c r="AB96" s="41">
        <v>0.0</v>
      </c>
      <c r="AC96" s="41">
        <v>8.0</v>
      </c>
      <c r="AD96" s="41">
        <v>4.0</v>
      </c>
      <c r="AE96" s="41">
        <v>4.0</v>
      </c>
      <c r="AF96" s="41">
        <v>4.0</v>
      </c>
      <c r="AG96" s="41">
        <v>4.0</v>
      </c>
      <c r="AH96" s="41">
        <v>8.0</v>
      </c>
      <c r="AI96" s="41">
        <v>12.0</v>
      </c>
      <c r="AJ96" s="41">
        <v>12.0</v>
      </c>
      <c r="AK96" s="41">
        <v>8.0</v>
      </c>
      <c r="AL96" s="41">
        <v>0.0</v>
      </c>
      <c r="AM96" s="43">
        <v>8.0</v>
      </c>
      <c r="AN96" s="43">
        <v>4.0</v>
      </c>
      <c r="AO96" s="43">
        <v>0.0</v>
      </c>
      <c r="AP96" s="43">
        <v>12.0</v>
      </c>
      <c r="AQ96" s="43">
        <v>4.0</v>
      </c>
      <c r="AR96" s="43">
        <v>4.0</v>
      </c>
      <c r="AS96" s="43">
        <v>5.0</v>
      </c>
      <c r="AT96" s="4">
        <f t="shared" si="4"/>
        <v>77.0</v>
      </c>
      <c r="AU96" s="4">
        <f t="shared" si="5"/>
        <v>48.0</v>
      </c>
      <c r="AV96" s="4">
        <f t="shared" si="6"/>
        <v>52.8</v>
      </c>
      <c r="AW96" s="1">
        <f t="shared" si="382"/>
        <v>5.94285714285714</v>
      </c>
      <c r="AX96" s="1">
        <f t="shared" si="383"/>
        <v>7.42857142857142</v>
      </c>
      <c r="AY96" s="1">
        <f t="shared" si="384"/>
        <v>8.0</v>
      </c>
      <c r="AZ96" s="1">
        <f t="shared" si="385"/>
        <v>11.0857142857142</v>
      </c>
      <c r="BA96" s="1">
        <f t="shared" si="386"/>
        <v>5.25714285714286</v>
      </c>
      <c r="BB96" s="1">
        <f t="shared" si="387"/>
        <v>10.2857142857142</v>
      </c>
      <c r="BC96" s="4">
        <f t="shared" si="13"/>
        <v>47.9999999999998</v>
      </c>
      <c r="BD96" s="3">
        <f>VLOOKUP(D96,FEB23SOH,2,false)</f>
        <v>183.0</v>
      </c>
      <c r="BE96" s="44">
        <f>VLOOKUP(D96,UNITVALUE,4,false)</f>
        <v>2.9898</v>
      </c>
      <c r="BF96" s="44">
        <f t="shared" si="16"/>
        <v>547.1334</v>
      </c>
      <c r="BI96" s="6">
        <f t="shared" si="359"/>
        <v>135.0</v>
      </c>
      <c r="BJ96" s="1">
        <f>VLOOKUP(C96,MOQ,3,FALSE())</f>
        <v>500.0</v>
      </c>
      <c r="BK96" s="53" t="s">
        <v>0</v>
      </c>
      <c r="BM96" s="1">
        <f t="shared" si="361"/>
        <v>183.0</v>
      </c>
      <c r="BN96" s="1">
        <f t="shared" si="362"/>
        <v>5.94285714285714</v>
      </c>
      <c r="BP96" s="45">
        <f t="shared" si="363"/>
        <v>177.057142857142</v>
      </c>
      <c r="BQ96" s="5">
        <f t="shared" si="364"/>
        <v>529.365445714283</v>
      </c>
      <c r="BR96" s="1">
        <f t="shared" si="365"/>
        <v>7.42857142857142</v>
      </c>
      <c r="BS96" s="1">
        <f t="shared" si="366"/>
      </c>
      <c r="BT96" s="45">
        <f t="shared" si="367"/>
        <v>169.62857142857</v>
      </c>
      <c r="BU96" s="5">
        <f t="shared" si="368"/>
        <v>507.155502857139</v>
      </c>
      <c r="BV96" s="1">
        <f t="shared" si="369"/>
        <v>8.0</v>
      </c>
      <c r="BW96" s="1">
        <f t="shared" si="370"/>
      </c>
      <c r="BX96" s="45">
        <f t="shared" si="371"/>
        <v>161.62857142857</v>
      </c>
      <c r="BY96" s="5">
        <f t="shared" si="372"/>
        <v>483.237102857139</v>
      </c>
      <c r="BZ96" s="1">
        <f t="shared" si="373"/>
        <v>11.0857142857142</v>
      </c>
      <c r="CB96" s="45">
        <f t="shared" si="374"/>
        <v>150.542857142856</v>
      </c>
      <c r="CC96" s="5">
        <f t="shared" si="375"/>
        <v>450.09303428571</v>
      </c>
      <c r="CD96" s="1">
        <f t="shared" si="376"/>
        <v>5.25714285714286</v>
      </c>
      <c r="CF96" s="45">
        <f t="shared" si="377"/>
        <v>145.285714285713</v>
      </c>
      <c r="CG96" s="5">
        <f t="shared" si="378"/>
        <v>434.375228571424</v>
      </c>
      <c r="CH96" s="1">
        <f t="shared" si="379"/>
        <v>10.2857142857142</v>
      </c>
      <c r="CJ96" s="45">
        <f t="shared" si="380"/>
        <v>134.999999999999</v>
      </c>
      <c r="CK96" s="5">
        <f t="shared" si="381"/>
        <v>403.622999999997</v>
      </c>
    </row>
    <row r="97" ht="17.0">
      <c r="A97" s="41" t="s">
        <v>30</v>
      </c>
      <c r="B97" s="10" t="s">
        <v>207</v>
      </c>
      <c r="C97" s="41" t="s">
        <v>220</v>
      </c>
      <c r="D97" s="42" t="s">
        <v>221</v>
      </c>
      <c r="E97" s="41">
        <v>0.0</v>
      </c>
      <c r="F97" s="41">
        <v>0.0</v>
      </c>
      <c r="G97" s="41">
        <v>0.0</v>
      </c>
      <c r="H97" s="41">
        <v>0.0</v>
      </c>
      <c r="I97" s="41">
        <v>0.0</v>
      </c>
      <c r="J97" s="41">
        <v>0.0</v>
      </c>
      <c r="K97" s="41">
        <v>0.0</v>
      </c>
      <c r="L97" s="41">
        <v>0.0</v>
      </c>
      <c r="M97" s="41">
        <v>0.0</v>
      </c>
      <c r="N97" s="41">
        <v>0.0</v>
      </c>
      <c r="O97" s="41">
        <v>0.0</v>
      </c>
      <c r="P97" s="41">
        <v>0.0</v>
      </c>
      <c r="Q97" s="41">
        <v>0.0</v>
      </c>
      <c r="R97" s="41">
        <v>0.0</v>
      </c>
      <c r="S97" s="41">
        <v>0.0</v>
      </c>
      <c r="T97" s="41">
        <v>0.0</v>
      </c>
      <c r="U97" s="41">
        <v>0.0</v>
      </c>
      <c r="V97" s="41">
        <v>0.0</v>
      </c>
      <c r="W97" s="41">
        <v>0.0</v>
      </c>
      <c r="X97" s="41">
        <v>0.0</v>
      </c>
      <c r="Y97" s="41">
        <v>0.0</v>
      </c>
      <c r="Z97" s="41">
        <v>0.0</v>
      </c>
      <c r="AA97" s="41">
        <v>16.0</v>
      </c>
      <c r="AB97" s="41">
        <v>36.0</v>
      </c>
      <c r="AC97" s="41">
        <v>60.0</v>
      </c>
      <c r="AD97" s="41">
        <v>56.0</v>
      </c>
      <c r="AE97" s="41">
        <v>24.0</v>
      </c>
      <c r="AF97" s="41">
        <v>12.0</v>
      </c>
      <c r="AG97" s="41">
        <v>24.0</v>
      </c>
      <c r="AH97" s="41">
        <v>32.0</v>
      </c>
      <c r="AI97" s="41">
        <v>28.0</v>
      </c>
      <c r="AJ97" s="41">
        <v>16.0</v>
      </c>
      <c r="AK97" s="41">
        <v>4.0</v>
      </c>
      <c r="AL97" s="41">
        <v>8.0</v>
      </c>
      <c r="AM97" s="43">
        <v>4.0</v>
      </c>
      <c r="AN97" s="43">
        <v>16.0</v>
      </c>
      <c r="AO97" s="43">
        <v>16.0</v>
      </c>
      <c r="AP97" s="43">
        <v>28.0</v>
      </c>
      <c r="AQ97" s="43">
        <v>28.0</v>
      </c>
      <c r="AR97" s="43">
        <v>8.0</v>
      </c>
      <c r="AS97" s="43">
        <v>5.0</v>
      </c>
      <c r="AT97" s="4">
        <f t="shared" si="4"/>
        <v>193.0</v>
      </c>
      <c r="AU97" s="4">
        <f t="shared" si="5"/>
        <v>92.0</v>
      </c>
      <c r="AV97" s="4">
        <f t="shared" si="6"/>
        <v>101.2</v>
      </c>
      <c r="AW97" s="1">
        <f t="shared" ref="AW97:AW102" si="388">AV97*$AW$4/$AV$4</f>
        <v>11.3904761904761</v>
      </c>
      <c r="AX97" s="1">
        <f t="shared" ref="AX97:AX102" si="389">AV97*$AX$4/$AV$4</f>
        <v>14.2380952380952</v>
      </c>
      <c r="AY97" s="1">
        <f t="shared" ref="AY97:AY102" si="390">AV97*$AY$4/$AV$4</f>
        <v>15.3333333333333</v>
      </c>
      <c r="AZ97" s="1">
        <f t="shared" ref="AZ97:AZ102" si="391">AV97*$AZ$4/$AV$4</f>
        <v>21.247619047619</v>
      </c>
      <c r="BA97" s="1">
        <f t="shared" ref="BA97:BA102" si="392">AV97*$BA$4/$AV$4</f>
        <v>10.0761904761904</v>
      </c>
      <c r="BB97" s="1">
        <f t="shared" ref="BB97:BB102" si="393">AV97*$BB$4/$AV$4</f>
        <v>19.7142857142857</v>
      </c>
      <c r="BC97" s="4">
        <f t="shared" si="13"/>
        <v>91.9999999999997</v>
      </c>
      <c r="BD97" s="3">
        <f>VLOOKUP(D97,FEB23SOH,2,false)</f>
        <v>80.0</v>
      </c>
      <c r="BE97" s="44">
        <f>VLOOKUP(D97,UNITVALUE,4,false)</f>
        <v>3.0173</v>
      </c>
      <c r="BF97" s="44">
        <f t="shared" si="16"/>
        <v>241.384</v>
      </c>
      <c r="BI97" s="6">
        <f t="shared" si="359"/>
        <v>-11.9999999999997</v>
      </c>
      <c r="BJ97" s="1">
        <v>500.0</v>
      </c>
      <c r="BK97" s="53" t="s">
        <v>0</v>
      </c>
      <c r="BL97" s="8" t="s">
        <v>10</v>
      </c>
      <c r="BM97" s="1">
        <f t="shared" si="361"/>
        <v>80.0</v>
      </c>
      <c r="BN97" s="1">
        <f t="shared" si="362"/>
        <v>11.3904761904761</v>
      </c>
      <c r="BP97" s="45">
        <f t="shared" si="363"/>
        <v>68.609523809523</v>
      </c>
      <c r="BQ97" s="5">
        <f t="shared" si="364"/>
        <v>207.015516190473</v>
      </c>
      <c r="BR97" s="1">
        <f t="shared" si="365"/>
        <v>14.2380952380952</v>
      </c>
      <c r="BS97" s="1">
        <f t="shared" si="366"/>
      </c>
      <c r="BT97" s="45">
        <f t="shared" si="367"/>
        <v>54.3714285714278</v>
      </c>
      <c r="BU97" s="5">
        <f t="shared" si="368"/>
        <v>164.054911428569</v>
      </c>
      <c r="BV97" s="1">
        <f t="shared" si="369"/>
        <v>15.3333333333333</v>
      </c>
      <c r="BW97" s="1">
        <f t="shared" si="370"/>
      </c>
      <c r="BX97" s="45">
        <f t="shared" si="371"/>
        <v>39.0380952380945</v>
      </c>
      <c r="BY97" s="5">
        <f t="shared" si="372"/>
        <v>117.789644761902</v>
      </c>
      <c r="BZ97" s="1">
        <f t="shared" si="373"/>
        <v>21.247619047619</v>
      </c>
      <c r="CB97" s="45">
        <f t="shared" si="374"/>
        <v>17.7904761904755</v>
      </c>
      <c r="CC97" s="5">
        <f t="shared" si="375"/>
        <v>53.6792038095217</v>
      </c>
      <c r="CD97" s="1">
        <f t="shared" si="376"/>
        <v>10.0761904761904</v>
      </c>
      <c r="CF97" s="45">
        <f t="shared" si="377"/>
        <v>7.7142857142851</v>
      </c>
      <c r="CG97" s="5">
        <f t="shared" si="378"/>
        <v>23.2763142857124</v>
      </c>
      <c r="CH97" s="1">
        <f t="shared" si="379"/>
        <v>19.7142857142857</v>
      </c>
      <c r="CJ97" s="45">
        <f t="shared" si="380"/>
        <v>-12.0000000000006</v>
      </c>
      <c r="CK97" s="5">
        <f t="shared" si="381"/>
        <v>-36.2076000000018</v>
      </c>
    </row>
    <row r="98" ht="17.0">
      <c r="A98" s="41" t="s">
        <v>30</v>
      </c>
      <c r="B98" s="10" t="s">
        <v>207</v>
      </c>
      <c r="C98" s="41" t="s">
        <v>222</v>
      </c>
      <c r="D98" s="42" t="s">
        <v>223</v>
      </c>
      <c r="E98" s="41">
        <v>0.0</v>
      </c>
      <c r="F98" s="41">
        <v>0.0</v>
      </c>
      <c r="G98" s="41">
        <v>0.0</v>
      </c>
      <c r="H98" s="41">
        <v>0.0</v>
      </c>
      <c r="I98" s="41">
        <v>0.0</v>
      </c>
      <c r="J98" s="41">
        <v>0.0</v>
      </c>
      <c r="K98" s="41">
        <v>0.0</v>
      </c>
      <c r="L98" s="41">
        <v>0.0</v>
      </c>
      <c r="M98" s="41">
        <v>0.0</v>
      </c>
      <c r="N98" s="41">
        <v>0.0</v>
      </c>
      <c r="O98" s="41">
        <v>0.0</v>
      </c>
      <c r="P98" s="41">
        <v>0.0</v>
      </c>
      <c r="Q98" s="41">
        <v>0.0</v>
      </c>
      <c r="R98" s="41">
        <v>0.0</v>
      </c>
      <c r="S98" s="41">
        <v>0.0</v>
      </c>
      <c r="T98" s="41">
        <v>0.0</v>
      </c>
      <c r="U98" s="41">
        <v>0.0</v>
      </c>
      <c r="V98" s="41">
        <v>0.0</v>
      </c>
      <c r="W98" s="41">
        <v>0.0</v>
      </c>
      <c r="X98" s="41">
        <v>0.0</v>
      </c>
      <c r="Y98" s="41">
        <v>0.0</v>
      </c>
      <c r="Z98" s="41">
        <v>0.0</v>
      </c>
      <c r="AA98" s="41">
        <v>20.0</v>
      </c>
      <c r="AB98" s="41">
        <v>44.0</v>
      </c>
      <c r="AC98" s="41">
        <v>48.0</v>
      </c>
      <c r="AD98" s="41">
        <v>60.0</v>
      </c>
      <c r="AE98" s="41">
        <v>16.0</v>
      </c>
      <c r="AF98" s="41">
        <v>12.0</v>
      </c>
      <c r="AG98" s="41">
        <v>36.0</v>
      </c>
      <c r="AH98" s="41">
        <v>24.0</v>
      </c>
      <c r="AI98" s="41">
        <v>28.0</v>
      </c>
      <c r="AJ98" s="41">
        <v>20.0</v>
      </c>
      <c r="AK98" s="41">
        <v>12.0</v>
      </c>
      <c r="AL98" s="41">
        <v>4.0</v>
      </c>
      <c r="AM98" s="43">
        <v>8.0</v>
      </c>
      <c r="AN98" s="43">
        <v>12.0</v>
      </c>
      <c r="AO98" s="43">
        <v>16.0</v>
      </c>
      <c r="AP98" s="43">
        <v>28.0</v>
      </c>
      <c r="AQ98" s="43">
        <v>12.0</v>
      </c>
      <c r="AR98" s="43">
        <v>16.0</v>
      </c>
      <c r="AS98" s="43">
        <v>15.0</v>
      </c>
      <c r="AT98" s="4">
        <f t="shared" si="4"/>
        <v>195.0</v>
      </c>
      <c r="AU98" s="4">
        <f t="shared" si="5"/>
        <v>96.0</v>
      </c>
      <c r="AV98" s="4">
        <f t="shared" si="6"/>
        <v>105.6</v>
      </c>
      <c r="AW98" s="1">
        <f t="shared" si="388"/>
        <v>11.8857142857142</v>
      </c>
      <c r="AX98" s="1">
        <f t="shared" si="389"/>
        <v>14.8571428571429</v>
      </c>
      <c r="AY98" s="1">
        <f t="shared" si="390"/>
        <v>16.0</v>
      </c>
      <c r="AZ98" s="1">
        <f t="shared" si="391"/>
        <v>22.1714285714286</v>
      </c>
      <c r="BA98" s="1">
        <f t="shared" si="392"/>
        <v>10.5142857142857</v>
      </c>
      <c r="BB98" s="1">
        <f t="shared" si="393"/>
        <v>20.571428571429</v>
      </c>
      <c r="BC98" s="4">
        <f t="shared" si="13"/>
        <v>96.0000000000004</v>
      </c>
      <c r="BD98" s="3">
        <f>VLOOKUP(D98,FEB23SOH,2,false)</f>
        <v>76.0</v>
      </c>
      <c r="BE98" s="44">
        <f>VLOOKUP(D98,UNITVALUE,4,false)</f>
        <v>3.0176</v>
      </c>
      <c r="BF98" s="44">
        <f t="shared" si="16"/>
        <v>229.3376</v>
      </c>
      <c r="BI98" s="6">
        <f t="shared" si="359"/>
        <v>-20.0000000000003</v>
      </c>
      <c r="BJ98" s="1">
        <v>500.0</v>
      </c>
      <c r="BK98" s="53" t="s">
        <v>0</v>
      </c>
      <c r="BL98" s="8" t="s">
        <v>10</v>
      </c>
      <c r="BM98" s="1">
        <f t="shared" si="361"/>
        <v>76.0</v>
      </c>
      <c r="BN98" s="1">
        <f t="shared" si="362"/>
        <v>11.8857142857142</v>
      </c>
      <c r="BP98" s="45">
        <f t="shared" si="363"/>
        <v>64.1142857142858</v>
      </c>
      <c r="BQ98" s="5">
        <f t="shared" si="364"/>
        <v>193.471268571429</v>
      </c>
      <c r="BR98" s="1">
        <f t="shared" si="365"/>
        <v>14.8571428571429</v>
      </c>
      <c r="BS98" s="1">
        <f t="shared" si="366"/>
      </c>
      <c r="BT98" s="45">
        <f t="shared" si="367"/>
        <v>49.2571428571429</v>
      </c>
      <c r="BU98" s="5">
        <f t="shared" si="368"/>
        <v>148.638354285714</v>
      </c>
      <c r="BV98" s="1">
        <f t="shared" si="369"/>
        <v>16.0</v>
      </c>
      <c r="BW98" s="1">
        <f t="shared" si="370"/>
      </c>
      <c r="BX98" s="45">
        <f t="shared" si="371"/>
        <v>33.2571428571429</v>
      </c>
      <c r="BY98" s="5">
        <f t="shared" si="372"/>
        <v>100.356754285714</v>
      </c>
      <c r="BZ98" s="1">
        <f t="shared" si="373"/>
        <v>22.1714285714286</v>
      </c>
      <c r="CB98" s="45">
        <f t="shared" si="374"/>
        <v>11.0857142857143</v>
      </c>
      <c r="CC98" s="5">
        <f t="shared" si="375"/>
        <v>33.4522514285714</v>
      </c>
      <c r="CD98" s="1">
        <f t="shared" si="376"/>
        <v>10.5142857142857</v>
      </c>
      <c r="CF98" s="45">
        <f t="shared" si="377"/>
        <v>0.5714285714286</v>
      </c>
      <c r="CG98" s="5">
        <f t="shared" si="378"/>
        <v>1.72434285714294</v>
      </c>
      <c r="CH98" s="1">
        <f t="shared" si="379"/>
        <v>20.571428571429</v>
      </c>
      <c r="CJ98" s="45">
        <f t="shared" si="380"/>
        <v>-20.0000000000003</v>
      </c>
      <c r="CK98" s="5">
        <f t="shared" si="381"/>
        <v>-60.3520000000009</v>
      </c>
    </row>
    <row r="99" ht="17.0">
      <c r="A99" s="41" t="s">
        <v>30</v>
      </c>
      <c r="B99" s="10" t="s">
        <v>207</v>
      </c>
      <c r="C99" s="41" t="s">
        <v>224</v>
      </c>
      <c r="D99" s="42" t="s">
        <v>225</v>
      </c>
      <c r="E99" s="41">
        <v>0.0</v>
      </c>
      <c r="F99" s="41">
        <v>0.0</v>
      </c>
      <c r="G99" s="41">
        <v>0.0</v>
      </c>
      <c r="H99" s="41">
        <v>0.0</v>
      </c>
      <c r="I99" s="41">
        <v>0.0</v>
      </c>
      <c r="J99" s="41">
        <v>0.0</v>
      </c>
      <c r="K99" s="41">
        <v>0.0</v>
      </c>
      <c r="L99" s="41">
        <v>0.0</v>
      </c>
      <c r="M99" s="41">
        <v>0.0</v>
      </c>
      <c r="N99" s="41">
        <v>0.0</v>
      </c>
      <c r="O99" s="41">
        <v>0.0</v>
      </c>
      <c r="P99" s="41">
        <v>0.0</v>
      </c>
      <c r="Q99" s="41">
        <v>0.0</v>
      </c>
      <c r="R99" s="41">
        <v>0.0</v>
      </c>
      <c r="S99" s="41">
        <v>0.0</v>
      </c>
      <c r="T99" s="41">
        <v>0.0</v>
      </c>
      <c r="U99" s="41">
        <v>0.0</v>
      </c>
      <c r="V99" s="41">
        <v>0.0</v>
      </c>
      <c r="W99" s="41">
        <v>0.0</v>
      </c>
      <c r="X99" s="41">
        <v>0.0</v>
      </c>
      <c r="Y99" s="41">
        <v>0.0</v>
      </c>
      <c r="Z99" s="41">
        <v>0.0</v>
      </c>
      <c r="AA99" s="41">
        <v>8.0</v>
      </c>
      <c r="AB99" s="41">
        <v>8.0</v>
      </c>
      <c r="AC99" s="41">
        <v>12.0</v>
      </c>
      <c r="AD99" s="41">
        <v>12.0</v>
      </c>
      <c r="AE99" s="41">
        <v>12.0</v>
      </c>
      <c r="AF99" s="41">
        <v>0.0</v>
      </c>
      <c r="AG99" s="41">
        <v>4.0</v>
      </c>
      <c r="AH99" s="41">
        <v>16.0</v>
      </c>
      <c r="AI99" s="41">
        <v>124.0</v>
      </c>
      <c r="AJ99" s="41">
        <v>4.0</v>
      </c>
      <c r="AK99" s="41">
        <v>0.0</v>
      </c>
      <c r="AL99" s="41">
        <v>0.0</v>
      </c>
      <c r="AM99" s="43">
        <v>8.0</v>
      </c>
      <c r="AN99" s="43">
        <v>0.0</v>
      </c>
      <c r="AO99" s="43">
        <v>8.0</v>
      </c>
      <c r="AP99" s="43">
        <v>8.0</v>
      </c>
      <c r="AQ99" s="43">
        <v>4.0</v>
      </c>
      <c r="AR99" s="43">
        <v>4.0</v>
      </c>
      <c r="AS99" s="43">
        <v>5.0</v>
      </c>
      <c r="AT99" s="4">
        <f t="shared" si="4"/>
        <v>181.0</v>
      </c>
      <c r="AU99" s="4">
        <f t="shared" si="5"/>
        <v>152.0</v>
      </c>
      <c r="AV99" s="4">
        <f t="shared" si="6"/>
        <v>167.2</v>
      </c>
      <c r="AW99" s="1">
        <f t="shared" si="388"/>
        <v>18.8190476190476</v>
      </c>
      <c r="AX99" s="1">
        <f t="shared" si="389"/>
        <v>23.5238095238095</v>
      </c>
      <c r="AY99" s="1">
        <f t="shared" si="390"/>
        <v>25.3333333333333</v>
      </c>
      <c r="AZ99" s="1">
        <f t="shared" si="391"/>
        <v>35.1047619047619</v>
      </c>
      <c r="BA99" s="1">
        <f t="shared" si="392"/>
        <v>16.647619047619</v>
      </c>
      <c r="BB99" s="1">
        <f t="shared" si="393"/>
        <v>32.5714285714286</v>
      </c>
      <c r="BC99" s="4">
        <f t="shared" si="13"/>
        <v>152.0</v>
      </c>
      <c r="BD99" s="3">
        <f>VLOOKUP(D99,FEB23SOH,2,false)</f>
        <v>264.0</v>
      </c>
      <c r="BE99" s="44">
        <f>VLOOKUP(D99,UNITVALUE,4,false)</f>
        <v>3.0136</v>
      </c>
      <c r="BF99" s="44">
        <f t="shared" si="16"/>
        <v>795.5904</v>
      </c>
      <c r="BI99" s="6">
        <f t="shared" si="359"/>
        <v>112.0</v>
      </c>
      <c r="BJ99" s="1">
        <v>500.0</v>
      </c>
      <c r="BK99" s="53" t="s">
        <v>0</v>
      </c>
      <c r="BM99" s="1">
        <f t="shared" si="361"/>
        <v>264.0</v>
      </c>
      <c r="BN99" s="1">
        <f t="shared" si="362"/>
        <v>18.8190476190476</v>
      </c>
      <c r="BP99" s="45">
        <f t="shared" si="363"/>
        <v>245.180952380952</v>
      </c>
      <c r="BQ99" s="5">
        <f t="shared" si="364"/>
        <v>738.877318095237</v>
      </c>
      <c r="BR99" s="1">
        <f t="shared" si="365"/>
        <v>23.5238095238095</v>
      </c>
      <c r="BS99" s="1">
        <f t="shared" si="366"/>
      </c>
      <c r="BT99" s="45">
        <f t="shared" si="367"/>
        <v>221.657142857142</v>
      </c>
      <c r="BU99" s="5">
        <f t="shared" si="368"/>
        <v>667.985965714283</v>
      </c>
      <c r="BV99" s="1">
        <f t="shared" si="369"/>
        <v>25.3333333333333</v>
      </c>
      <c r="BW99" s="1">
        <f t="shared" si="370"/>
      </c>
      <c r="BX99" s="45">
        <f t="shared" si="371"/>
        <v>196.323809523809</v>
      </c>
      <c r="BY99" s="5">
        <f t="shared" si="372"/>
        <v>591.64143238095</v>
      </c>
      <c r="BZ99" s="1">
        <f t="shared" si="373"/>
        <v>35.1047619047619</v>
      </c>
      <c r="CB99" s="45">
        <f t="shared" si="374"/>
        <v>161.219047619047</v>
      </c>
      <c r="CC99" s="5">
        <f t="shared" si="375"/>
        <v>485.84972190476</v>
      </c>
      <c r="CD99" s="1">
        <f t="shared" si="376"/>
        <v>16.647619047619</v>
      </c>
      <c r="CF99" s="45">
        <f t="shared" si="377"/>
        <v>144.571428571428</v>
      </c>
      <c r="CG99" s="5">
        <f t="shared" si="378"/>
        <v>435.680457142855</v>
      </c>
      <c r="CH99" s="1">
        <f t="shared" si="379"/>
        <v>32.5714285714286</v>
      </c>
      <c r="CJ99" s="45">
        <f t="shared" si="380"/>
        <v>111.999999999999</v>
      </c>
      <c r="CK99" s="5">
        <f t="shared" si="381"/>
        <v>337.523199999997</v>
      </c>
    </row>
    <row r="100" ht="17.0">
      <c r="A100" s="41" t="s">
        <v>30</v>
      </c>
      <c r="B100" s="10" t="s">
        <v>207</v>
      </c>
      <c r="C100" s="41" t="s">
        <v>226</v>
      </c>
      <c r="D100" s="42" t="s">
        <v>227</v>
      </c>
      <c r="E100" s="41">
        <v>0.0</v>
      </c>
      <c r="F100" s="41">
        <v>0.0</v>
      </c>
      <c r="G100" s="41">
        <v>0.0</v>
      </c>
      <c r="H100" s="41">
        <v>0.0</v>
      </c>
      <c r="I100" s="41">
        <v>0.0</v>
      </c>
      <c r="J100" s="41">
        <v>0.0</v>
      </c>
      <c r="K100" s="41">
        <v>0.0</v>
      </c>
      <c r="L100" s="41">
        <v>0.0</v>
      </c>
      <c r="M100" s="41">
        <v>0.0</v>
      </c>
      <c r="N100" s="41">
        <v>0.0</v>
      </c>
      <c r="O100" s="41">
        <v>0.0</v>
      </c>
      <c r="P100" s="41">
        <v>0.0</v>
      </c>
      <c r="Q100" s="41">
        <v>0.0</v>
      </c>
      <c r="R100" s="41">
        <v>0.0</v>
      </c>
      <c r="S100" s="41">
        <v>0.0</v>
      </c>
      <c r="T100" s="41">
        <v>0.0</v>
      </c>
      <c r="U100" s="41">
        <v>0.0</v>
      </c>
      <c r="V100" s="41">
        <v>0.0</v>
      </c>
      <c r="W100" s="41">
        <v>0.0</v>
      </c>
      <c r="X100" s="41">
        <v>0.0</v>
      </c>
      <c r="Y100" s="41">
        <v>0.0</v>
      </c>
      <c r="Z100" s="41">
        <v>0.0</v>
      </c>
      <c r="AA100" s="41">
        <v>8.0</v>
      </c>
      <c r="AB100" s="41">
        <v>12.0</v>
      </c>
      <c r="AC100" s="41">
        <v>32.0</v>
      </c>
      <c r="AD100" s="41">
        <v>36.0</v>
      </c>
      <c r="AE100" s="41">
        <v>16.0</v>
      </c>
      <c r="AF100" s="41">
        <v>16.0</v>
      </c>
      <c r="AG100" s="41">
        <v>8.0</v>
      </c>
      <c r="AH100" s="41">
        <v>28.0</v>
      </c>
      <c r="AI100" s="41">
        <v>16.0</v>
      </c>
      <c r="AJ100" s="41">
        <v>8.0</v>
      </c>
      <c r="AK100" s="41">
        <v>8.0</v>
      </c>
      <c r="AL100" s="41">
        <v>4.0</v>
      </c>
      <c r="AM100" s="43">
        <v>4.0</v>
      </c>
      <c r="AN100" s="43">
        <v>16.0</v>
      </c>
      <c r="AO100" s="43">
        <v>20.0</v>
      </c>
      <c r="AP100" s="43">
        <v>16.0</v>
      </c>
      <c r="AQ100" s="43">
        <v>0.0</v>
      </c>
      <c r="AR100" s="43">
        <v>12.0</v>
      </c>
      <c r="AS100" s="43">
        <v>15.0</v>
      </c>
      <c r="AT100" s="4">
        <f t="shared" si="4"/>
        <v>147.0</v>
      </c>
      <c r="AU100" s="4">
        <f t="shared" si="5"/>
        <v>68.0</v>
      </c>
      <c r="AV100" s="4">
        <f t="shared" si="6"/>
        <v>74.8</v>
      </c>
      <c r="AW100" s="1">
        <f t="shared" si="388"/>
        <v>8.41904761904762</v>
      </c>
      <c r="AX100" s="1">
        <f t="shared" si="389"/>
        <v>10.5238095238095</v>
      </c>
      <c r="AY100" s="1">
        <f t="shared" si="390"/>
        <v>11.3333333333333</v>
      </c>
      <c r="AZ100" s="1">
        <f t="shared" si="391"/>
        <v>15.7047619047619</v>
      </c>
      <c r="BA100" s="1">
        <f t="shared" si="392"/>
        <v>7.44761904761904</v>
      </c>
      <c r="BB100" s="1">
        <f t="shared" si="393"/>
        <v>14.5714285714286</v>
      </c>
      <c r="BC100" s="4">
        <f t="shared" si="13"/>
        <v>68.0</v>
      </c>
      <c r="BD100" s="3">
        <f>VLOOKUP(D100,FEB23SOH,2,false)</f>
        <v>228.0</v>
      </c>
      <c r="BE100" s="44">
        <f>VLOOKUP(D100,UNITVALUE,4,false)</f>
        <v>3.0141</v>
      </c>
      <c r="BF100" s="44">
        <f t="shared" si="16"/>
        <v>687.2148</v>
      </c>
      <c r="BI100" s="6">
        <f t="shared" si="359"/>
        <v>160.0</v>
      </c>
      <c r="BJ100" s="1">
        <v>500.0</v>
      </c>
      <c r="BK100" s="53" t="s">
        <v>0</v>
      </c>
      <c r="BM100" s="1">
        <f t="shared" si="361"/>
        <v>228.0</v>
      </c>
      <c r="BN100" s="1">
        <f t="shared" si="362"/>
        <v>8.41904761904762</v>
      </c>
      <c r="BP100" s="45">
        <f t="shared" si="363"/>
        <v>219.580952380952</v>
      </c>
      <c r="BQ100" s="5">
        <f t="shared" si="364"/>
        <v>661.838948571427</v>
      </c>
      <c r="BR100" s="1">
        <f t="shared" si="365"/>
        <v>10.5238095238095</v>
      </c>
      <c r="BS100" s="1">
        <f t="shared" si="366"/>
      </c>
      <c r="BT100" s="45">
        <f t="shared" si="367"/>
        <v>209.057142857142</v>
      </c>
      <c r="BU100" s="5">
        <f t="shared" si="368"/>
        <v>630.119134285711</v>
      </c>
      <c r="BV100" s="1">
        <f t="shared" si="369"/>
        <v>11.3333333333333</v>
      </c>
      <c r="BW100" s="1">
        <f t="shared" si="370"/>
      </c>
      <c r="BX100" s="45">
        <f t="shared" si="371"/>
        <v>197.723809523809</v>
      </c>
      <c r="BY100" s="5">
        <f t="shared" si="372"/>
        <v>595.959334285712</v>
      </c>
      <c r="BZ100" s="1">
        <f t="shared" si="373"/>
        <v>15.7047619047619</v>
      </c>
      <c r="CB100" s="45">
        <f t="shared" si="374"/>
        <v>182.019047619047</v>
      </c>
      <c r="CC100" s="5">
        <f t="shared" si="375"/>
        <v>548.62361142857</v>
      </c>
      <c r="CD100" s="1">
        <f t="shared" si="376"/>
        <v>7.44761904761904</v>
      </c>
      <c r="CF100" s="45">
        <f t="shared" si="377"/>
        <v>174.571428571428</v>
      </c>
      <c r="CG100" s="5">
        <f t="shared" si="378"/>
        <v>526.175742857141</v>
      </c>
      <c r="CH100" s="1">
        <f t="shared" si="379"/>
        <v>14.5714285714286</v>
      </c>
      <c r="CJ100" s="45">
        <f t="shared" si="380"/>
        <v>159.999999999999</v>
      </c>
      <c r="CK100" s="5">
        <f t="shared" si="381"/>
        <v>482.255999999997</v>
      </c>
    </row>
    <row r="101" ht="17.0">
      <c r="A101" s="41" t="s">
        <v>30</v>
      </c>
      <c r="B101" s="10" t="s">
        <v>228</v>
      </c>
      <c r="C101" s="41" t="s">
        <v>229</v>
      </c>
      <c r="D101" s="42" t="s">
        <v>230</v>
      </c>
      <c r="E101" s="41">
        <v>28.0</v>
      </c>
      <c r="F101" s="41">
        <v>16.0</v>
      </c>
      <c r="G101" s="41">
        <v>8.0</v>
      </c>
      <c r="H101" s="41">
        <v>4.0</v>
      </c>
      <c r="I101" s="41">
        <v>14.0</v>
      </c>
      <c r="J101" s="41">
        <v>5.0</v>
      </c>
      <c r="K101" s="41">
        <v>0.0</v>
      </c>
      <c r="L101" s="41">
        <v>4.0</v>
      </c>
      <c r="M101" s="41">
        <v>4.0</v>
      </c>
      <c r="N101" s="41">
        <v>8.0</v>
      </c>
      <c r="O101" s="41">
        <v>12.0</v>
      </c>
      <c r="P101" s="41">
        <v>12.0</v>
      </c>
      <c r="Q101" s="41">
        <v>12.0</v>
      </c>
      <c r="R101" s="41">
        <v>11.0</v>
      </c>
      <c r="S101" s="41">
        <v>0.0</v>
      </c>
      <c r="T101" s="41">
        <v>0.0</v>
      </c>
      <c r="U101" s="41">
        <v>0.0</v>
      </c>
      <c r="V101" s="41">
        <v>12.0</v>
      </c>
      <c r="W101" s="41">
        <v>16.0</v>
      </c>
      <c r="X101" s="41">
        <v>4.0</v>
      </c>
      <c r="Y101" s="41">
        <v>12.0</v>
      </c>
      <c r="Z101" s="41">
        <v>4.0</v>
      </c>
      <c r="AA101" s="41">
        <v>8.0</v>
      </c>
      <c r="AB101" s="41">
        <v>16.0</v>
      </c>
      <c r="AC101" s="41">
        <v>8.0</v>
      </c>
      <c r="AD101" s="41">
        <v>8.0</v>
      </c>
      <c r="AE101" s="41">
        <v>8.0</v>
      </c>
      <c r="AF101" s="41">
        <v>4.0</v>
      </c>
      <c r="AG101" s="41">
        <v>12.0</v>
      </c>
      <c r="AH101" s="41">
        <v>0.0</v>
      </c>
      <c r="AI101" s="41">
        <v>0.0</v>
      </c>
      <c r="AJ101" s="41">
        <v>4.0</v>
      </c>
      <c r="AK101" s="41">
        <v>0.0</v>
      </c>
      <c r="AL101" s="41">
        <v>4.0</v>
      </c>
      <c r="AM101" s="43">
        <v>0.0</v>
      </c>
      <c r="AN101" s="43">
        <v>0.0</v>
      </c>
      <c r="AO101" s="43">
        <v>0.0</v>
      </c>
      <c r="AP101" s="43">
        <v>0.0</v>
      </c>
      <c r="AQ101" s="43">
        <v>0.0</v>
      </c>
      <c r="AR101" s="43">
        <v>0.0</v>
      </c>
      <c r="AS101" s="43">
        <v>0.0</v>
      </c>
      <c r="AT101" s="4">
        <f t="shared" si="4"/>
        <v>8.0</v>
      </c>
      <c r="AU101" s="4">
        <f t="shared" si="5"/>
        <v>8.0</v>
      </c>
      <c r="AV101" s="4">
        <f t="shared" si="6"/>
        <v>8.8</v>
      </c>
      <c r="AW101" s="1">
        <f t="shared" si="388"/>
        <v>0.99047619047619</v>
      </c>
      <c r="AX101" s="1">
        <f t="shared" si="389"/>
        <v>1.23809523809523</v>
      </c>
      <c r="AY101" s="1">
        <f t="shared" si="390"/>
        <v>1.33333333333333</v>
      </c>
      <c r="AZ101" s="1">
        <f t="shared" si="391"/>
        <v>1.84761904761904</v>
      </c>
      <c r="BA101" s="1">
        <f t="shared" si="392"/>
        <v>0.876190476190476</v>
      </c>
      <c r="BB101" s="1">
        <f t="shared" si="393"/>
        <v>1.71428571428571</v>
      </c>
      <c r="BC101" s="4">
        <f t="shared" si="13"/>
        <v>7.99999999999998</v>
      </c>
      <c r="BD101" s="3">
        <f>VLOOKUP(D101,FEB23SOH,2,false)</f>
        <v>0.0</v>
      </c>
      <c r="BE101" s="44">
        <f>VLOOKUP(D101,UNITVALUE,4,false)</f>
      </c>
      <c r="BF101" s="44">
        <f t="shared" si="16"/>
        <v>0.0</v>
      </c>
      <c r="BI101" s="6">
        <f t="shared" si="359"/>
        <v>-7.99999999999998</v>
      </c>
      <c r="BJ101" s="1">
        <f>VLOOKUP(C101,MOQ,3,FALSE())</f>
        <v>1000.0</v>
      </c>
      <c r="BK101" s="53" t="s">
        <v>0</v>
      </c>
      <c r="BL101" s="8" t="s">
        <v>68</v>
      </c>
      <c r="BM101" s="1">
        <f t="shared" si="361"/>
        <v>0.0</v>
      </c>
      <c r="BN101" s="1">
        <f t="shared" si="362"/>
        <v>0.99047619047619</v>
      </c>
      <c r="BP101" s="45">
        <f t="shared" si="363"/>
        <v>-0.99047619047619</v>
      </c>
      <c r="BR101" s="1">
        <f t="shared" si="365"/>
        <v>1.23809523809523</v>
      </c>
      <c r="BS101" s="1">
        <f t="shared" si="366"/>
      </c>
      <c r="BT101" s="45">
        <f t="shared" si="367"/>
        <v>-2.22857142857141</v>
      </c>
      <c r="BU101" s="5"/>
      <c r="BV101" s="1">
        <f t="shared" si="369"/>
        <v>1.33333333333333</v>
      </c>
      <c r="BW101" s="1">
        <f t="shared" si="370"/>
      </c>
      <c r="BX101" s="45">
        <f t="shared" si="371"/>
        <v>-3.56190476190474</v>
      </c>
      <c r="BY101" s="5"/>
      <c r="BZ101" s="1">
        <f t="shared" si="373"/>
        <v>1.84761904761904</v>
      </c>
      <c r="CB101" s="45">
        <f t="shared" si="374"/>
        <v>-5.40952380952378</v>
      </c>
      <c r="CC101" s="5"/>
      <c r="CD101" s="1">
        <f t="shared" si="376"/>
        <v>0.876190476190476</v>
      </c>
      <c r="CF101" s="45">
        <f t="shared" si="377"/>
        <v>-6.28571428571424</v>
      </c>
      <c r="CG101" s="5"/>
      <c r="CH101" s="1">
        <f t="shared" si="379"/>
        <v>1.71428571428571</v>
      </c>
      <c r="CJ101" s="45">
        <f t="shared" si="380"/>
        <v>-7.99999999999995</v>
      </c>
      <c r="CK101" s="5"/>
    </row>
    <row r="102" ht="17.0">
      <c r="A102" s="41" t="s">
        <v>30</v>
      </c>
      <c r="B102" s="41" t="s">
        <v>228</v>
      </c>
      <c r="C102" s="41" t="s">
        <v>231</v>
      </c>
      <c r="D102" s="42" t="s">
        <v>232</v>
      </c>
      <c r="E102" s="41">
        <v>52.0</v>
      </c>
      <c r="F102" s="41">
        <v>33.0</v>
      </c>
      <c r="G102" s="41">
        <v>24.0</v>
      </c>
      <c r="H102" s="41">
        <v>8.0</v>
      </c>
      <c r="I102" s="41">
        <v>95.0</v>
      </c>
      <c r="J102" s="41">
        <v>13.0</v>
      </c>
      <c r="K102" s="41">
        <v>13.0</v>
      </c>
      <c r="L102" s="41">
        <v>9.0</v>
      </c>
      <c r="M102" s="41">
        <v>24.0</v>
      </c>
      <c r="N102" s="41">
        <v>8.0</v>
      </c>
      <c r="O102" s="41">
        <v>4.0</v>
      </c>
      <c r="P102" s="41">
        <v>20.0</v>
      </c>
      <c r="Q102" s="41">
        <v>36.0</v>
      </c>
      <c r="R102" s="41">
        <v>28.0</v>
      </c>
      <c r="S102" s="41">
        <v>20.0</v>
      </c>
      <c r="T102" s="41">
        <v>0.0</v>
      </c>
      <c r="U102" s="41">
        <v>8.0</v>
      </c>
      <c r="V102" s="41">
        <v>4.0</v>
      </c>
      <c r="W102" s="41">
        <v>12.0</v>
      </c>
      <c r="X102" s="41">
        <v>0.0</v>
      </c>
      <c r="Y102" s="41">
        <v>4.0</v>
      </c>
      <c r="Z102" s="41">
        <v>5.0</v>
      </c>
      <c r="AA102" s="41">
        <v>4.0</v>
      </c>
      <c r="AB102" s="41">
        <v>12.0</v>
      </c>
      <c r="AC102" s="41">
        <v>16.0</v>
      </c>
      <c r="AD102" s="41">
        <v>4.0</v>
      </c>
      <c r="AE102" s="41">
        <v>4.0</v>
      </c>
      <c r="AF102" s="41">
        <v>12.0</v>
      </c>
      <c r="AG102" s="41">
        <v>8.0</v>
      </c>
      <c r="AH102" s="41">
        <v>8.0</v>
      </c>
      <c r="AI102" s="41">
        <v>0.0</v>
      </c>
      <c r="AJ102" s="41">
        <v>8.0</v>
      </c>
      <c r="AK102" s="41">
        <v>12.0</v>
      </c>
      <c r="AL102" s="41">
        <v>0.0</v>
      </c>
      <c r="AM102" s="43">
        <v>16.0</v>
      </c>
      <c r="AN102" s="43">
        <v>4.0</v>
      </c>
      <c r="AO102" s="43">
        <v>16.0</v>
      </c>
      <c r="AP102" s="43">
        <v>12.0</v>
      </c>
      <c r="AQ102" s="43">
        <v>12.0</v>
      </c>
      <c r="AR102" s="43">
        <v>0.0</v>
      </c>
      <c r="AS102" s="43">
        <v>16.0</v>
      </c>
      <c r="AT102" s="4">
        <f t="shared" si="4"/>
        <v>104.0</v>
      </c>
      <c r="AU102" s="4">
        <f t="shared" si="5"/>
        <v>44.0</v>
      </c>
      <c r="AV102" s="4">
        <f t="shared" si="6"/>
        <v>48.4</v>
      </c>
      <c r="AW102" s="1">
        <f t="shared" si="388"/>
        <v>5.44761904761904</v>
      </c>
      <c r="AX102" s="1">
        <f t="shared" si="389"/>
        <v>6.8095238095238</v>
      </c>
      <c r="AY102" s="1">
        <f t="shared" si="390"/>
        <v>7.33333333333333</v>
      </c>
      <c r="AZ102" s="1">
        <f t="shared" si="391"/>
        <v>10.161904761904</v>
      </c>
      <c r="BA102" s="1">
        <f t="shared" si="392"/>
        <v>4.81904761904761</v>
      </c>
      <c r="BB102" s="1">
        <f t="shared" si="393"/>
        <v>9.42857142857142</v>
      </c>
      <c r="BC102" s="4">
        <f t="shared" si="13"/>
        <v>43.9999999999992</v>
      </c>
      <c r="BD102" s="3">
        <f>VLOOKUP(D102,FEB23SOH,2,false)</f>
        <v>684.0</v>
      </c>
      <c r="BE102" s="44">
        <f>VLOOKUP(D102,UNITVALUE,4,false)</f>
        <v>7.4863</v>
      </c>
      <c r="BF102" s="44">
        <f t="shared" si="16"/>
        <v>5120.6292</v>
      </c>
      <c r="BI102" s="6">
        <f t="shared" si="359"/>
        <v>640.0</v>
      </c>
      <c r="BJ102" s="1">
        <f>VLOOKUP(C102,MOQ,3,FALSE())</f>
        <v>1000.0</v>
      </c>
      <c r="BM102" s="1">
        <f t="shared" si="361"/>
        <v>684.0</v>
      </c>
      <c r="BN102" s="1">
        <f t="shared" si="362"/>
        <v>5.44761904761904</v>
      </c>
      <c r="BP102" s="45">
        <f t="shared" si="363"/>
        <v>678.552380952381</v>
      </c>
      <c r="BQ102" s="5">
        <f t="shared" ref="BQ102:BQ120" si="395">BP102*BE102</f>
        <v>5079.84668952381</v>
      </c>
      <c r="BR102" s="1">
        <f t="shared" si="365"/>
        <v>6.8095238095238</v>
      </c>
      <c r="BS102" s="1">
        <f t="shared" si="366"/>
      </c>
      <c r="BT102" s="45">
        <f t="shared" si="367"/>
        <v>671.742857142857</v>
      </c>
      <c r="BU102" s="5">
        <f t="shared" ref="BU102:BU120" si="396">BT102*BE102</f>
        <v>5028.86855142857</v>
      </c>
      <c r="BV102" s="1">
        <f t="shared" si="369"/>
        <v>7.33333333333333</v>
      </c>
      <c r="BW102" s="1">
        <f t="shared" si="370"/>
      </c>
      <c r="BX102" s="45">
        <f t="shared" si="371"/>
        <v>664.409523809523</v>
      </c>
      <c r="BY102" s="5">
        <f t="shared" ref="BY102:BY109" si="397">BX102*BE102</f>
        <v>4973.96901809523</v>
      </c>
      <c r="BZ102" s="1">
        <f t="shared" si="373"/>
        <v>10.161904761904</v>
      </c>
      <c r="CB102" s="45">
        <f t="shared" si="374"/>
        <v>654.247619047619</v>
      </c>
      <c r="CC102" s="5">
        <f t="shared" ref="CC102:CC109" si="398">CB102*BE102</f>
        <v>4897.89395047619</v>
      </c>
      <c r="CD102" s="1">
        <f t="shared" si="376"/>
        <v>4.81904761904761</v>
      </c>
      <c r="CF102" s="45">
        <f t="shared" si="377"/>
        <v>649.428571428571</v>
      </c>
      <c r="CG102" s="5">
        <f t="shared" ref="CG102:CG109" si="399">CF102*BE102</f>
        <v>4861.81711428571</v>
      </c>
      <c r="CH102" s="1">
        <f t="shared" si="379"/>
        <v>9.42857142857142</v>
      </c>
      <c r="CJ102" s="45">
        <f t="shared" si="380"/>
        <v>640.0</v>
      </c>
      <c r="CK102" s="5">
        <f t="shared" ref="CK102:CK109" si="400">CJ102*BE102</f>
        <v>4791.232</v>
      </c>
    </row>
    <row r="103" ht="17.0">
      <c r="A103" s="41" t="s">
        <v>30</v>
      </c>
      <c r="B103" s="41" t="s">
        <v>228</v>
      </c>
      <c r="C103" s="41" t="s">
        <v>233</v>
      </c>
      <c r="D103" s="55" t="s">
        <v>234</v>
      </c>
      <c r="E103" s="41">
        <v>168.0</v>
      </c>
      <c r="F103" s="41">
        <v>229.0</v>
      </c>
      <c r="G103" s="41">
        <v>36.0</v>
      </c>
      <c r="H103" s="41">
        <v>0.0</v>
      </c>
      <c r="I103" s="41">
        <v>87.0</v>
      </c>
      <c r="J103" s="41">
        <v>49.0</v>
      </c>
      <c r="K103" s="41">
        <v>24.0</v>
      </c>
      <c r="L103" s="41">
        <v>48.0</v>
      </c>
      <c r="M103" s="41">
        <v>48.0</v>
      </c>
      <c r="N103" s="41">
        <v>108.0</v>
      </c>
      <c r="O103" s="41">
        <v>84.0</v>
      </c>
      <c r="P103" s="41">
        <v>84.0</v>
      </c>
      <c r="Q103" s="41">
        <v>204.0</v>
      </c>
      <c r="R103" s="41">
        <v>180.0</v>
      </c>
      <c r="S103" s="41">
        <v>120.0</v>
      </c>
      <c r="T103" s="41">
        <v>0.0</v>
      </c>
      <c r="U103" s="41">
        <v>48.0</v>
      </c>
      <c r="V103" s="41">
        <v>60.0</v>
      </c>
      <c r="W103" s="41">
        <v>96.0</v>
      </c>
      <c r="X103" s="41">
        <v>36.0</v>
      </c>
      <c r="Y103" s="41">
        <v>64.0</v>
      </c>
      <c r="Z103" s="41">
        <v>60.0</v>
      </c>
      <c r="AA103" s="41">
        <v>84.0</v>
      </c>
      <c r="AB103" s="41">
        <v>72.0</v>
      </c>
      <c r="AC103" s="41">
        <v>108.0</v>
      </c>
      <c r="AD103" s="41">
        <v>72.0</v>
      </c>
      <c r="AE103" s="41">
        <v>60.0</v>
      </c>
      <c r="AF103" s="41">
        <v>36.0</v>
      </c>
      <c r="AG103" s="41">
        <v>37.0</v>
      </c>
      <c r="AH103" s="41">
        <v>12.0</v>
      </c>
      <c r="AI103" s="41">
        <v>0.0</v>
      </c>
      <c r="AJ103" s="41">
        <v>12.0</v>
      </c>
      <c r="AK103" s="41">
        <v>12.0</v>
      </c>
      <c r="AL103" s="41">
        <v>48.0</v>
      </c>
      <c r="AM103" s="43">
        <v>48.0</v>
      </c>
      <c r="AN103" s="43">
        <v>72.0</v>
      </c>
      <c r="AO103" s="43">
        <v>120.0</v>
      </c>
      <c r="AP103" s="43">
        <v>145.0</v>
      </c>
      <c r="AQ103" s="43">
        <v>72.0</v>
      </c>
      <c r="AR103" s="43">
        <v>24.0</v>
      </c>
      <c r="AS103" s="43">
        <v>102.0</v>
      </c>
      <c r="AT103" s="4">
        <f t="shared" si="4"/>
        <v>667.0</v>
      </c>
      <c r="AU103" s="4">
        <f t="shared" si="5"/>
        <v>132.0</v>
      </c>
      <c r="AV103" s="4">
        <f t="shared" si="6"/>
        <v>145.2</v>
      </c>
      <c r="AW103" s="1">
        <f t="shared" ref="AW103:AW104" si="401">AV103*$AW$4/$AV$4+12*$AW$121</f>
        <v>20.7999999999999</v>
      </c>
      <c r="AX103" s="1">
        <f t="shared" ref="AX103:AX104" si="402">AV103*$AX$4/$AV$4+12*$AX$121</f>
        <v>26.0000000000003</v>
      </c>
      <c r="AY103" s="1">
        <f t="shared" ref="AY103:AY104" si="403">AV103*$AY$4/$AV$4+12*$AY$121</f>
        <v>28.0</v>
      </c>
      <c r="AZ103" s="1">
        <f t="shared" ref="AZ103:AZ104" si="404">AV103*$AZ$4/$AV$4+12*$AZ$121</f>
        <v>38.7999999999999</v>
      </c>
      <c r="BA103" s="1">
        <f t="shared" ref="BA103:BA104" si="405">AV103*$BA$4/$AV$4+12*$BA$121</f>
        <v>18.4</v>
      </c>
      <c r="BB103" s="1">
        <f t="shared" ref="BB103:BB104" si="406">AV103*$BB$4/$AV$4+12*$BB$121</f>
        <v>35.9999999999999</v>
      </c>
      <c r="BC103" s="4">
        <f t="shared" si="13"/>
        <v>168.0</v>
      </c>
      <c r="BD103" s="3">
        <f>VLOOKUP(D103,FEB23SOH,2,false)</f>
        <v>302.0</v>
      </c>
      <c r="BE103" s="44">
        <f>VLOOKUP(D103,UNITVALUE,4,false)</f>
        <v>1.407</v>
      </c>
      <c r="BF103" s="44">
        <f t="shared" si="16"/>
        <v>424.914</v>
      </c>
      <c r="BI103" s="6">
        <f t="shared" si="359"/>
        <v>134.0</v>
      </c>
      <c r="BJ103" s="1">
        <f>VLOOKUP(C103,MOQ,3,FALSE())</f>
        <v>2016.0</v>
      </c>
      <c r="BM103" s="1">
        <f t="shared" si="361"/>
        <v>302.0</v>
      </c>
      <c r="BN103" s="1">
        <f t="shared" si="362"/>
        <v>20.7999999999999</v>
      </c>
      <c r="BP103" s="45">
        <f t="shared" si="363"/>
        <v>281.2</v>
      </c>
      <c r="BQ103" s="5">
        <f t="shared" si="395"/>
        <v>395.6484</v>
      </c>
      <c r="BR103" s="1">
        <f t="shared" si="365"/>
        <v>26.0000000000003</v>
      </c>
      <c r="BS103" s="1">
        <f t="shared" si="366"/>
      </c>
      <c r="BT103" s="45">
        <f t="shared" si="367"/>
        <v>255.2</v>
      </c>
      <c r="BU103" s="5">
        <f t="shared" si="396"/>
        <v>359.0664</v>
      </c>
      <c r="BV103" s="1">
        <f t="shared" si="369"/>
        <v>28.0</v>
      </c>
      <c r="BW103" s="1">
        <f t="shared" si="370"/>
      </c>
      <c r="BX103" s="45">
        <f t="shared" si="371"/>
        <v>227.2</v>
      </c>
      <c r="BY103" s="5">
        <f t="shared" si="397"/>
        <v>319.6704</v>
      </c>
      <c r="BZ103" s="1">
        <f t="shared" si="373"/>
        <v>38.7999999999999</v>
      </c>
      <c r="CB103" s="45">
        <f t="shared" si="374"/>
        <v>188.4</v>
      </c>
      <c r="CC103" s="5">
        <f t="shared" si="398"/>
        <v>265.0788</v>
      </c>
      <c r="CD103" s="1">
        <f t="shared" si="376"/>
        <v>18.4</v>
      </c>
      <c r="CF103" s="45">
        <f t="shared" si="377"/>
        <v>170.0</v>
      </c>
      <c r="CG103" s="5">
        <f t="shared" si="399"/>
        <v>239.19</v>
      </c>
      <c r="CH103" s="1">
        <f t="shared" si="379"/>
        <v>35.9999999999999</v>
      </c>
      <c r="CJ103" s="45">
        <f t="shared" si="380"/>
        <v>134.0</v>
      </c>
      <c r="CK103" s="5">
        <f t="shared" si="400"/>
        <v>188.538</v>
      </c>
    </row>
    <row r="104" ht="17.0">
      <c r="A104" s="41" t="s">
        <v>30</v>
      </c>
      <c r="B104" s="41" t="s">
        <v>228</v>
      </c>
      <c r="C104" s="41" t="s">
        <v>235</v>
      </c>
      <c r="D104" s="55" t="s">
        <v>236</v>
      </c>
      <c r="E104" s="41">
        <v>216.0</v>
      </c>
      <c r="F104" s="41">
        <v>240.0</v>
      </c>
      <c r="G104" s="41">
        <v>108.0</v>
      </c>
      <c r="H104" s="41">
        <v>12.0</v>
      </c>
      <c r="I104" s="41">
        <v>84.0</v>
      </c>
      <c r="J104" s="41">
        <v>37.0</v>
      </c>
      <c r="K104" s="41">
        <v>24.0</v>
      </c>
      <c r="L104" s="41">
        <v>49.0</v>
      </c>
      <c r="M104" s="41">
        <v>73.0</v>
      </c>
      <c r="N104" s="41">
        <v>60.0</v>
      </c>
      <c r="O104" s="41">
        <v>48.0</v>
      </c>
      <c r="P104" s="41">
        <v>84.0</v>
      </c>
      <c r="Q104" s="41">
        <v>193.0</v>
      </c>
      <c r="R104" s="41">
        <v>134.0</v>
      </c>
      <c r="S104" s="41">
        <v>108.0</v>
      </c>
      <c r="T104" s="41">
        <v>24.0</v>
      </c>
      <c r="U104" s="41">
        <v>60.0</v>
      </c>
      <c r="V104" s="41">
        <v>48.0</v>
      </c>
      <c r="W104" s="41">
        <v>72.0</v>
      </c>
      <c r="X104" s="41">
        <v>48.0</v>
      </c>
      <c r="Y104" s="41">
        <v>60.0</v>
      </c>
      <c r="Z104" s="41">
        <v>36.0</v>
      </c>
      <c r="AA104" s="41">
        <v>36.0</v>
      </c>
      <c r="AB104" s="41">
        <v>84.0</v>
      </c>
      <c r="AC104" s="41">
        <v>84.0</v>
      </c>
      <c r="AD104" s="41">
        <v>96.0</v>
      </c>
      <c r="AE104" s="41">
        <v>24.0</v>
      </c>
      <c r="AF104" s="41">
        <v>48.0</v>
      </c>
      <c r="AG104" s="41">
        <v>84.0</v>
      </c>
      <c r="AH104" s="41">
        <v>0.0</v>
      </c>
      <c r="AI104" s="41">
        <v>24.0</v>
      </c>
      <c r="AJ104" s="41">
        <v>24.0</v>
      </c>
      <c r="AK104" s="41">
        <v>36.0</v>
      </c>
      <c r="AL104" s="41">
        <v>37.0</v>
      </c>
      <c r="AM104" s="43">
        <v>48.0</v>
      </c>
      <c r="AN104" s="43">
        <v>85.0</v>
      </c>
      <c r="AO104" s="43">
        <v>132.0</v>
      </c>
      <c r="AP104" s="43">
        <v>204.0</v>
      </c>
      <c r="AQ104" s="43">
        <v>96.0</v>
      </c>
      <c r="AR104" s="43">
        <v>0.0</v>
      </c>
      <c r="AS104" s="43">
        <v>58.0</v>
      </c>
      <c r="AT104" s="4">
        <f t="shared" si="4"/>
        <v>744.0</v>
      </c>
      <c r="AU104" s="4">
        <f t="shared" si="5"/>
        <v>169.0</v>
      </c>
      <c r="AV104" s="4">
        <f t="shared" si="6"/>
        <v>185.9</v>
      </c>
      <c r="AW104" s="1">
        <f t="shared" si="401"/>
        <v>25.3809523809523</v>
      </c>
      <c r="AX104" s="1">
        <f t="shared" si="402"/>
        <v>31.7261904761909</v>
      </c>
      <c r="AY104" s="1">
        <f t="shared" si="403"/>
        <v>34.1666666666667</v>
      </c>
      <c r="AZ104" s="1">
        <f t="shared" si="404"/>
        <v>47.345238095238</v>
      </c>
      <c r="BA104" s="1">
        <f t="shared" si="405"/>
        <v>22.4523809523809</v>
      </c>
      <c r="BB104" s="1">
        <f t="shared" si="406"/>
        <v>43.9285714285714</v>
      </c>
      <c r="BC104" s="4">
        <f t="shared" si="13"/>
        <v>205.0</v>
      </c>
      <c r="BD104" s="3">
        <f>VLOOKUP(D104,FEB23SOH,2,false)</f>
        <v>439.0</v>
      </c>
      <c r="BE104" s="44">
        <f>VLOOKUP(D104,UNITVALUE,4,false)</f>
        <v>0.9546</v>
      </c>
      <c r="BF104" s="44">
        <f t="shared" si="16"/>
        <v>419.0694</v>
      </c>
      <c r="BI104" s="6">
        <f t="shared" si="359"/>
        <v>234.0</v>
      </c>
      <c r="BJ104" s="1">
        <f>VLOOKUP(C104,MOQ,3,FALSE())</f>
        <v>2016.0</v>
      </c>
      <c r="BM104" s="1">
        <f t="shared" si="361"/>
        <v>439.0</v>
      </c>
      <c r="BN104" s="1">
        <f t="shared" si="362"/>
        <v>25.3809523809523</v>
      </c>
      <c r="BP104" s="45">
        <f t="shared" si="363"/>
        <v>413.61904761904</v>
      </c>
      <c r="BQ104" s="5">
        <f t="shared" si="395"/>
        <v>394.84074285713</v>
      </c>
      <c r="BR104" s="1">
        <f t="shared" si="365"/>
        <v>31.7261904761909</v>
      </c>
      <c r="BS104" s="1">
        <f t="shared" si="366"/>
      </c>
      <c r="BT104" s="45">
        <f t="shared" si="367"/>
        <v>381.892857142849</v>
      </c>
      <c r="BU104" s="5">
        <f t="shared" si="396"/>
        <v>364.554921428563</v>
      </c>
      <c r="BV104" s="1">
        <f t="shared" si="369"/>
        <v>34.1666666666667</v>
      </c>
      <c r="BW104" s="1">
        <f t="shared" si="370"/>
      </c>
      <c r="BX104" s="45">
        <f t="shared" si="371"/>
        <v>347.726190476182</v>
      </c>
      <c r="BY104" s="5">
        <f t="shared" si="397"/>
        <v>331.939421428563</v>
      </c>
      <c r="BZ104" s="1">
        <f t="shared" si="373"/>
        <v>47.345238095238</v>
      </c>
      <c r="CB104" s="45">
        <f t="shared" si="374"/>
        <v>300.380952380944</v>
      </c>
      <c r="CC104" s="5">
        <f t="shared" si="398"/>
        <v>286.743657142849</v>
      </c>
      <c r="CD104" s="1">
        <f t="shared" si="376"/>
        <v>22.4523809523809</v>
      </c>
      <c r="CF104" s="45">
        <f t="shared" si="377"/>
        <v>277.928571428563</v>
      </c>
      <c r="CG104" s="5">
        <f t="shared" si="399"/>
        <v>265.310614285706</v>
      </c>
      <c r="CH104" s="1">
        <f t="shared" si="379"/>
        <v>43.9285714285714</v>
      </c>
      <c r="CJ104" s="45">
        <f t="shared" si="380"/>
        <v>233.999999999991</v>
      </c>
      <c r="CK104" s="5">
        <f t="shared" si="400"/>
        <v>223.376399999991</v>
      </c>
    </row>
    <row r="105" ht="17.0">
      <c r="A105" s="41" t="s">
        <v>30</v>
      </c>
      <c r="B105" s="41" t="s">
        <v>228</v>
      </c>
      <c r="C105" s="41" t="s">
        <v>237</v>
      </c>
      <c r="D105" s="42" t="s">
        <v>238</v>
      </c>
      <c r="E105" s="41">
        <v>312.0</v>
      </c>
      <c r="F105" s="41">
        <v>349.0</v>
      </c>
      <c r="G105" s="41">
        <v>133.0</v>
      </c>
      <c r="H105" s="41">
        <v>24.0</v>
      </c>
      <c r="I105" s="41">
        <v>121.0</v>
      </c>
      <c r="J105" s="41">
        <v>49.0</v>
      </c>
      <c r="K105" s="41">
        <v>60.0</v>
      </c>
      <c r="L105" s="41">
        <v>109.0</v>
      </c>
      <c r="M105" s="41">
        <v>60.0</v>
      </c>
      <c r="N105" s="41">
        <v>24.0</v>
      </c>
      <c r="O105" s="41">
        <v>12.0</v>
      </c>
      <c r="P105" s="41">
        <v>0.0</v>
      </c>
      <c r="Q105" s="41">
        <v>12.0</v>
      </c>
      <c r="R105" s="41">
        <v>312.0</v>
      </c>
      <c r="S105" s="41">
        <v>156.0</v>
      </c>
      <c r="T105" s="41">
        <v>48.0</v>
      </c>
      <c r="U105" s="41">
        <v>72.0</v>
      </c>
      <c r="V105" s="41">
        <v>84.0</v>
      </c>
      <c r="W105" s="41">
        <v>48.0</v>
      </c>
      <c r="X105" s="41">
        <v>120.0</v>
      </c>
      <c r="Y105" s="41">
        <v>72.0</v>
      </c>
      <c r="Z105" s="41">
        <v>72.0</v>
      </c>
      <c r="AA105" s="41">
        <v>204.0</v>
      </c>
      <c r="AB105" s="41">
        <v>192.0</v>
      </c>
      <c r="AC105" s="41">
        <v>216.0</v>
      </c>
      <c r="AD105" s="41">
        <v>92.0</v>
      </c>
      <c r="AE105" s="41">
        <v>12.0</v>
      </c>
      <c r="AF105" s="41">
        <v>0.0</v>
      </c>
      <c r="AG105" s="41">
        <v>0.0</v>
      </c>
      <c r="AH105" s="41">
        <v>0.0</v>
      </c>
      <c r="AI105" s="41">
        <v>0.0</v>
      </c>
      <c r="AJ105" s="41">
        <v>0.0</v>
      </c>
      <c r="AK105" s="41">
        <v>0.0</v>
      </c>
      <c r="AL105" s="41">
        <v>0.0</v>
      </c>
      <c r="AM105" s="43">
        <v>0.0</v>
      </c>
      <c r="AN105" s="43">
        <v>25.0</v>
      </c>
      <c r="AO105" s="43">
        <v>108.0</v>
      </c>
      <c r="AP105" s="43">
        <v>204.0</v>
      </c>
      <c r="AQ105" s="43">
        <v>120.0</v>
      </c>
      <c r="AR105" s="43">
        <v>36.0</v>
      </c>
      <c r="AS105" s="43">
        <v>44.0</v>
      </c>
      <c r="AT105" s="4">
        <f t="shared" si="4"/>
        <v>537.0</v>
      </c>
      <c r="AU105" s="4">
        <f t="shared" si="5"/>
        <v>0.0</v>
      </c>
      <c r="AV105" s="4">
        <f t="shared" si="6"/>
        <v>0.0</v>
      </c>
      <c r="AW105" s="1">
        <f t="shared" ref="AW105:AW107" si="407">AV105*$AW$4/$AV$4</f>
        <v>0.0</v>
      </c>
      <c r="AX105" s="1">
        <f t="shared" ref="AX105:AX107" si="408">AV105*$AX$4/$AV$4</f>
        <v>0.0</v>
      </c>
      <c r="AY105" s="1">
        <f t="shared" ref="AY105:AY107" si="409">AV105*$AY$4/$AV$4</f>
        <v>0.0</v>
      </c>
      <c r="AZ105" s="1">
        <f t="shared" ref="AZ105:AZ107" si="410">AV105*$AZ$4/$AV$4</f>
        <v>0.0</v>
      </c>
      <c r="BA105" s="1">
        <f t="shared" ref="BA105:BA107" si="411">AV105*$BA$4/$AV$4</f>
        <v>0.0</v>
      </c>
      <c r="BB105" s="1">
        <f t="shared" ref="BB105:BB107" si="412">AV105*$BB$4/$AV$4</f>
        <v>0.0</v>
      </c>
      <c r="BC105" s="4">
        <f t="shared" si="13"/>
        <v>0.0</v>
      </c>
      <c r="BD105" s="3">
        <f>VLOOKUP(D105,FEB23SOH,2,false)</f>
        <v>383.0</v>
      </c>
      <c r="BE105" s="44">
        <f>VLOOKUP(D105,UNITVALUE,4,false)</f>
        <v>1.5818</v>
      </c>
      <c r="BF105" s="44">
        <f t="shared" si="16"/>
        <v>605.8294</v>
      </c>
      <c r="BI105" s="6">
        <f t="shared" si="359"/>
        <v>383.0</v>
      </c>
      <c r="BJ105" s="1">
        <f>VLOOKUP(C105,MOQ,3,FALSE())</f>
        <v>2016.0</v>
      </c>
      <c r="BM105" s="1">
        <f t="shared" si="361"/>
        <v>383.0</v>
      </c>
      <c r="BN105" s="1">
        <f t="shared" si="362"/>
        <v>0.0</v>
      </c>
      <c r="BP105" s="45">
        <f t="shared" si="363"/>
        <v>383.0</v>
      </c>
      <c r="BQ105" s="5">
        <f t="shared" si="395"/>
        <v>605.8294</v>
      </c>
      <c r="BR105" s="1">
        <f t="shared" si="365"/>
        <v>0.0</v>
      </c>
      <c r="BS105" s="1">
        <f t="shared" si="366"/>
      </c>
      <c r="BT105" s="45">
        <f t="shared" si="367"/>
        <v>383.0</v>
      </c>
      <c r="BU105" s="5">
        <f t="shared" si="396"/>
        <v>605.8294</v>
      </c>
      <c r="BV105" s="1">
        <f t="shared" si="369"/>
        <v>0.0</v>
      </c>
      <c r="BW105" s="1">
        <f t="shared" si="370"/>
      </c>
      <c r="BX105" s="45">
        <f t="shared" si="371"/>
        <v>383.0</v>
      </c>
      <c r="BY105" s="5">
        <f t="shared" si="397"/>
        <v>605.8294</v>
      </c>
      <c r="BZ105" s="1">
        <f t="shared" si="373"/>
        <v>0.0</v>
      </c>
      <c r="CB105" s="45">
        <f t="shared" si="374"/>
        <v>383.0</v>
      </c>
      <c r="CC105" s="5">
        <f t="shared" si="398"/>
        <v>605.8294</v>
      </c>
      <c r="CD105" s="1">
        <f t="shared" si="376"/>
        <v>0.0</v>
      </c>
      <c r="CF105" s="45">
        <f t="shared" si="377"/>
        <v>383.0</v>
      </c>
      <c r="CG105" s="5">
        <f t="shared" si="399"/>
        <v>605.8294</v>
      </c>
      <c r="CH105" s="1">
        <f t="shared" si="379"/>
        <v>0.0</v>
      </c>
      <c r="CJ105" s="45">
        <f t="shared" si="380"/>
        <v>383.0</v>
      </c>
      <c r="CK105" s="5">
        <f t="shared" si="400"/>
        <v>605.8294</v>
      </c>
    </row>
    <row r="106" ht="17.0">
      <c r="A106" s="41" t="s">
        <v>30</v>
      </c>
      <c r="B106" s="41" t="s">
        <v>228</v>
      </c>
      <c r="C106" s="41" t="s">
        <v>239</v>
      </c>
      <c r="D106" s="42" t="s">
        <v>240</v>
      </c>
      <c r="E106" s="41">
        <v>44.0</v>
      </c>
      <c r="F106" s="41">
        <v>24.0</v>
      </c>
      <c r="G106" s="41">
        <v>20.0</v>
      </c>
      <c r="H106" s="41">
        <v>4.0</v>
      </c>
      <c r="I106" s="41">
        <v>18.0</v>
      </c>
      <c r="J106" s="41">
        <v>1.0</v>
      </c>
      <c r="K106" s="41">
        <v>4.0</v>
      </c>
      <c r="L106" s="41">
        <v>6.0</v>
      </c>
      <c r="M106" s="41">
        <v>4.0</v>
      </c>
      <c r="N106" s="41">
        <v>8.0</v>
      </c>
      <c r="O106" s="41">
        <v>12.0</v>
      </c>
      <c r="P106" s="41">
        <v>20.0</v>
      </c>
      <c r="Q106" s="41">
        <v>24.0</v>
      </c>
      <c r="R106" s="41">
        <v>24.0</v>
      </c>
      <c r="S106" s="41">
        <v>4.0</v>
      </c>
      <c r="T106" s="41">
        <v>0.0</v>
      </c>
      <c r="U106" s="41">
        <v>4.0</v>
      </c>
      <c r="V106" s="41">
        <v>4.0</v>
      </c>
      <c r="W106" s="41">
        <v>8.0</v>
      </c>
      <c r="X106" s="41">
        <v>4.0</v>
      </c>
      <c r="Y106" s="41">
        <v>-4.0</v>
      </c>
      <c r="Z106" s="41">
        <v>1.0</v>
      </c>
      <c r="AA106" s="41">
        <v>4.0</v>
      </c>
      <c r="AB106" s="41">
        <v>16.0</v>
      </c>
      <c r="AC106" s="41">
        <v>8.0</v>
      </c>
      <c r="AD106" s="41">
        <v>8.0</v>
      </c>
      <c r="AE106" s="41">
        <v>12.0</v>
      </c>
      <c r="AF106" s="41">
        <v>4.0</v>
      </c>
      <c r="AG106" s="41">
        <v>4.0</v>
      </c>
      <c r="AH106" s="41">
        <v>0.0</v>
      </c>
      <c r="AI106" s="41">
        <v>-1.0</v>
      </c>
      <c r="AJ106" s="41">
        <v>0.0</v>
      </c>
      <c r="AK106" s="41">
        <v>1.0</v>
      </c>
      <c r="AL106" s="41">
        <v>8.0</v>
      </c>
      <c r="AM106" s="43">
        <v>4.0</v>
      </c>
      <c r="AN106" s="43">
        <v>5.0</v>
      </c>
      <c r="AO106" s="43">
        <v>20.0</v>
      </c>
      <c r="AP106" s="43">
        <v>20.0</v>
      </c>
      <c r="AQ106" s="43">
        <v>0.0</v>
      </c>
      <c r="AR106" s="43">
        <v>4.0</v>
      </c>
      <c r="AS106" s="43">
        <v>0.0</v>
      </c>
      <c r="AT106" s="4">
        <f t="shared" si="4"/>
        <v>61.0</v>
      </c>
      <c r="AU106" s="4">
        <f t="shared" si="5"/>
        <v>12.0</v>
      </c>
      <c r="AV106" s="4">
        <f t="shared" si="6"/>
        <v>13.2</v>
      </c>
      <c r="AW106" s="1">
        <f t="shared" si="407"/>
        <v>1.48571428571429</v>
      </c>
      <c r="AX106" s="1">
        <f t="shared" si="408"/>
        <v>1.85714285714286</v>
      </c>
      <c r="AY106" s="1">
        <f t="shared" si="409"/>
        <v>2.0</v>
      </c>
      <c r="AZ106" s="1">
        <f t="shared" si="410"/>
        <v>2.77142857142857</v>
      </c>
      <c r="BA106" s="1">
        <f t="shared" si="411"/>
        <v>1.31428571428571</v>
      </c>
      <c r="BB106" s="1">
        <f t="shared" si="412"/>
        <v>2.57142857142857</v>
      </c>
      <c r="BC106" s="4">
        <f t="shared" si="13"/>
        <v>12.0</v>
      </c>
      <c r="BD106" s="3">
        <f>VLOOKUP(D106,FEB23SOH,2,false)</f>
        <v>150.0</v>
      </c>
      <c r="BE106" s="44">
        <f>VLOOKUP(D106,UNITVALUE,4,false)</f>
        <v>6.607</v>
      </c>
      <c r="BF106" s="44">
        <f t="shared" si="16"/>
        <v>991.05</v>
      </c>
      <c r="BI106" s="6">
        <f t="shared" si="359"/>
        <v>138.0</v>
      </c>
      <c r="BJ106" s="1">
        <f>VLOOKUP(C106,MOQ,3,FALSE())</f>
        <v>1008.0</v>
      </c>
      <c r="BM106" s="1">
        <f t="shared" si="361"/>
        <v>150.0</v>
      </c>
      <c r="BN106" s="1">
        <f t="shared" si="362"/>
        <v>1.48571428571429</v>
      </c>
      <c r="BP106" s="45">
        <f t="shared" si="363"/>
        <v>148.514285714286</v>
      </c>
      <c r="BQ106" s="5">
        <f t="shared" si="395"/>
        <v>981.233885714288</v>
      </c>
      <c r="BR106" s="1">
        <f t="shared" si="365"/>
        <v>1.85714285714286</v>
      </c>
      <c r="BS106" s="1">
        <f t="shared" si="366"/>
      </c>
      <c r="BT106" s="45">
        <f t="shared" si="367"/>
        <v>146.657142857143</v>
      </c>
      <c r="BU106" s="5">
        <f t="shared" si="396"/>
        <v>968.963742857143</v>
      </c>
      <c r="BV106" s="1">
        <f t="shared" si="369"/>
        <v>2.0</v>
      </c>
      <c r="BW106" s="1">
        <f t="shared" si="370"/>
      </c>
      <c r="BX106" s="45">
        <f t="shared" si="371"/>
        <v>144.657142857143</v>
      </c>
      <c r="BY106" s="5">
        <f t="shared" si="397"/>
        <v>955.749742857143</v>
      </c>
      <c r="BZ106" s="1">
        <f t="shared" si="373"/>
        <v>2.77142857142857</v>
      </c>
      <c r="CB106" s="45">
        <f t="shared" si="374"/>
        <v>141.885714285714</v>
      </c>
      <c r="CC106" s="5">
        <f t="shared" si="398"/>
        <v>937.438914285712</v>
      </c>
      <c r="CD106" s="1">
        <f t="shared" si="376"/>
        <v>1.31428571428571</v>
      </c>
      <c r="CF106" s="45">
        <f t="shared" si="377"/>
        <v>140.571428571428</v>
      </c>
      <c r="CG106" s="5">
        <f t="shared" si="399"/>
        <v>928.755428571424</v>
      </c>
      <c r="CH106" s="1">
        <f t="shared" si="379"/>
        <v>2.57142857142857</v>
      </c>
      <c r="CJ106" s="45">
        <f t="shared" si="380"/>
        <v>137.999999999999</v>
      </c>
      <c r="CK106" s="5">
        <f t="shared" si="400"/>
        <v>911.765999999993</v>
      </c>
    </row>
    <row r="107" ht="17.0">
      <c r="A107" s="41" t="s">
        <v>30</v>
      </c>
      <c r="B107" s="41" t="s">
        <v>228</v>
      </c>
      <c r="C107" s="41" t="s">
        <v>241</v>
      </c>
      <c r="D107" s="42" t="s">
        <v>242</v>
      </c>
      <c r="E107" s="41">
        <v>24.0</v>
      </c>
      <c r="F107" s="41">
        <v>32.0</v>
      </c>
      <c r="G107" s="41">
        <v>4.0</v>
      </c>
      <c r="H107" s="41">
        <v>4.0</v>
      </c>
      <c r="I107" s="41">
        <v>4.0</v>
      </c>
      <c r="J107" s="41">
        <v>4.0</v>
      </c>
      <c r="K107" s="41">
        <v>0.0</v>
      </c>
      <c r="L107" s="41">
        <v>4.0</v>
      </c>
      <c r="M107" s="41">
        <v>12.0</v>
      </c>
      <c r="N107" s="41">
        <v>8.0</v>
      </c>
      <c r="O107" s="41">
        <v>12.0</v>
      </c>
      <c r="P107" s="41">
        <v>28.0</v>
      </c>
      <c r="Q107" s="41">
        <v>28.0</v>
      </c>
      <c r="R107" s="41">
        <v>40.0</v>
      </c>
      <c r="S107" s="41">
        <v>24.0</v>
      </c>
      <c r="T107" s="41">
        <v>0.0</v>
      </c>
      <c r="U107" s="41">
        <v>4.0</v>
      </c>
      <c r="V107" s="41">
        <v>8.0</v>
      </c>
      <c r="W107" s="41">
        <v>4.0</v>
      </c>
      <c r="X107" s="41">
        <v>0.0</v>
      </c>
      <c r="Y107" s="41">
        <v>0.0</v>
      </c>
      <c r="Z107" s="41">
        <v>2.0</v>
      </c>
      <c r="AA107" s="41">
        <v>0.0</v>
      </c>
      <c r="AB107" s="41">
        <v>16.0</v>
      </c>
      <c r="AC107" s="41">
        <v>8.0</v>
      </c>
      <c r="AD107" s="41">
        <v>12.0</v>
      </c>
      <c r="AE107" s="41">
        <v>4.0</v>
      </c>
      <c r="AF107" s="41">
        <v>0.0</v>
      </c>
      <c r="AG107" s="41">
        <v>0.0</v>
      </c>
      <c r="AH107" s="41">
        <v>4.0</v>
      </c>
      <c r="AI107" s="41">
        <v>0.0</v>
      </c>
      <c r="AJ107" s="41">
        <v>0.0</v>
      </c>
      <c r="AK107" s="41">
        <v>0.0</v>
      </c>
      <c r="AL107" s="41">
        <v>4.0</v>
      </c>
      <c r="AM107" s="43">
        <v>8.0</v>
      </c>
      <c r="AN107" s="43">
        <v>8.0</v>
      </c>
      <c r="AO107" s="43">
        <v>12.0</v>
      </c>
      <c r="AP107" s="43">
        <v>32.0</v>
      </c>
      <c r="AQ107" s="43">
        <v>16.0</v>
      </c>
      <c r="AR107" s="43">
        <v>4.0</v>
      </c>
      <c r="AS107" s="43">
        <v>19.0</v>
      </c>
      <c r="AT107" s="4">
        <f t="shared" si="4"/>
        <v>107.0</v>
      </c>
      <c r="AU107" s="4">
        <f t="shared" si="5"/>
        <v>16.0</v>
      </c>
      <c r="AV107" s="4">
        <f t="shared" si="6"/>
        <v>17.6</v>
      </c>
      <c r="AW107" s="1">
        <f t="shared" si="407"/>
        <v>1.98095238095238</v>
      </c>
      <c r="AX107" s="1">
        <f t="shared" si="408"/>
        <v>2.4761904761904</v>
      </c>
      <c r="AY107" s="1">
        <f t="shared" si="409"/>
        <v>2.66666666666667</v>
      </c>
      <c r="AZ107" s="1">
        <f t="shared" si="410"/>
        <v>3.6952380952381</v>
      </c>
      <c r="BA107" s="1">
        <f t="shared" si="411"/>
        <v>1.75238095238095</v>
      </c>
      <c r="BB107" s="1">
        <f t="shared" si="412"/>
        <v>3.42857142857142</v>
      </c>
      <c r="BC107" s="4">
        <f t="shared" si="13"/>
        <v>15.9999999999999</v>
      </c>
      <c r="BD107" s="3">
        <f>VLOOKUP(D107,FEB23SOH,2,false)</f>
        <v>50.0</v>
      </c>
      <c r="BE107" s="44">
        <f>VLOOKUP(D107,UNITVALUE,4,false)</f>
        <v>4.0246</v>
      </c>
      <c r="BF107" s="44">
        <f t="shared" si="16"/>
        <v>201.23</v>
      </c>
      <c r="BI107" s="6">
        <f t="shared" si="359"/>
        <v>34.0000000000001</v>
      </c>
      <c r="BJ107" s="1">
        <f>VLOOKUP(C107,MOQ,3,FALSE())</f>
        <v>1008.0</v>
      </c>
      <c r="BM107" s="1">
        <f t="shared" si="361"/>
        <v>50.0</v>
      </c>
      <c r="BN107" s="1">
        <f t="shared" si="362"/>
        <v>1.98095238095238</v>
      </c>
      <c r="BP107" s="45">
        <f t="shared" si="363"/>
        <v>48.0190476190476</v>
      </c>
      <c r="BQ107" s="5">
        <f t="shared" si="395"/>
        <v>193.257459047619</v>
      </c>
      <c r="BR107" s="1">
        <f t="shared" si="365"/>
        <v>2.4761904761904</v>
      </c>
      <c r="BS107" s="1">
        <f t="shared" si="366"/>
      </c>
      <c r="BT107" s="45">
        <f t="shared" si="367"/>
        <v>45.5428571428572</v>
      </c>
      <c r="BU107" s="5">
        <f t="shared" si="396"/>
        <v>183.291782857143</v>
      </c>
      <c r="BV107" s="1">
        <f t="shared" si="369"/>
        <v>2.66666666666667</v>
      </c>
      <c r="BW107" s="1">
        <f t="shared" si="370"/>
      </c>
      <c r="BX107" s="45">
        <f t="shared" si="371"/>
        <v>42.8761904761905</v>
      </c>
      <c r="BY107" s="5">
        <f t="shared" si="397"/>
        <v>172.559516190476</v>
      </c>
      <c r="BZ107" s="1">
        <f t="shared" si="373"/>
        <v>3.6952380952381</v>
      </c>
      <c r="CB107" s="45">
        <f t="shared" si="374"/>
        <v>39.1809523809524</v>
      </c>
      <c r="CC107" s="5">
        <f t="shared" si="398"/>
        <v>157.687660952381</v>
      </c>
      <c r="CD107" s="1">
        <f t="shared" si="376"/>
        <v>1.75238095238095</v>
      </c>
      <c r="CF107" s="45">
        <f t="shared" si="377"/>
        <v>37.4285714285714</v>
      </c>
      <c r="CG107" s="5">
        <f t="shared" si="399"/>
        <v>150.635028571428</v>
      </c>
      <c r="CH107" s="1">
        <f t="shared" si="379"/>
        <v>3.42857142857142</v>
      </c>
      <c r="CJ107" s="45">
        <f t="shared" si="380"/>
        <v>34.0</v>
      </c>
      <c r="CK107" s="5">
        <f t="shared" si="400"/>
        <v>136.8364</v>
      </c>
    </row>
    <row r="108" ht="17.0">
      <c r="A108" s="41" t="s">
        <v>30</v>
      </c>
      <c r="B108" s="41" t="s">
        <v>228</v>
      </c>
      <c r="C108" s="41" t="s">
        <v>243</v>
      </c>
      <c r="D108" s="55" t="s">
        <v>244</v>
      </c>
      <c r="E108" s="41">
        <v>27.0</v>
      </c>
      <c r="F108" s="41">
        <v>85.0</v>
      </c>
      <c r="G108" s="41">
        <v>52.0</v>
      </c>
      <c r="H108" s="41">
        <v>12.0</v>
      </c>
      <c r="I108" s="41">
        <v>26.0</v>
      </c>
      <c r="J108" s="41">
        <v>20.0</v>
      </c>
      <c r="K108" s="41">
        <v>20.0</v>
      </c>
      <c r="L108" s="41">
        <v>16.0</v>
      </c>
      <c r="M108" s="41">
        <v>24.0</v>
      </c>
      <c r="N108" s="41">
        <v>20.0</v>
      </c>
      <c r="O108" s="41">
        <v>28.0</v>
      </c>
      <c r="P108" s="41">
        <v>40.0</v>
      </c>
      <c r="Q108" s="41">
        <v>92.0</v>
      </c>
      <c r="R108" s="41">
        <v>76.0</v>
      </c>
      <c r="S108" s="41">
        <v>56.0</v>
      </c>
      <c r="T108" s="41">
        <v>12.0</v>
      </c>
      <c r="U108" s="41">
        <v>4.0</v>
      </c>
      <c r="V108" s="41">
        <v>40.0</v>
      </c>
      <c r="W108" s="41">
        <v>12.0</v>
      </c>
      <c r="X108" s="41">
        <v>24.0</v>
      </c>
      <c r="Y108" s="41">
        <v>20.0</v>
      </c>
      <c r="Z108" s="41">
        <v>33.0</v>
      </c>
      <c r="AA108" s="41">
        <v>12.0</v>
      </c>
      <c r="AB108" s="41">
        <v>44.0</v>
      </c>
      <c r="AC108" s="41">
        <v>43.0</v>
      </c>
      <c r="AD108" s="41">
        <v>64.0</v>
      </c>
      <c r="AE108" s="41">
        <v>60.0</v>
      </c>
      <c r="AF108" s="41">
        <v>24.0</v>
      </c>
      <c r="AG108" s="41">
        <v>12.0</v>
      </c>
      <c r="AH108" s="41">
        <v>8.0</v>
      </c>
      <c r="AI108" s="41">
        <v>12.0</v>
      </c>
      <c r="AJ108" s="41">
        <v>8.0</v>
      </c>
      <c r="AK108" s="41">
        <v>68.0</v>
      </c>
      <c r="AL108" s="41">
        <v>0.0</v>
      </c>
      <c r="AM108" s="43">
        <v>0.0</v>
      </c>
      <c r="AN108" s="43">
        <v>0.0</v>
      </c>
      <c r="AO108" s="43">
        <v>20.0</v>
      </c>
      <c r="AP108" s="43">
        <v>68.0</v>
      </c>
      <c r="AQ108" s="43">
        <v>36.0</v>
      </c>
      <c r="AR108" s="43">
        <v>20.0</v>
      </c>
      <c r="AS108" s="43">
        <v>16.0</v>
      </c>
      <c r="AT108" s="4">
        <f t="shared" si="4"/>
        <v>256.0</v>
      </c>
      <c r="AU108" s="4">
        <f t="shared" si="5"/>
        <v>96.0</v>
      </c>
      <c r="AV108" s="4">
        <f t="shared" si="6"/>
        <v>105.6</v>
      </c>
      <c r="AW108" s="1">
        <f t="shared" ref="AW108:AW120" si="413">AV108*$AW$4/$AV$4+12*$AW$121</f>
        <v>16.342857142857</v>
      </c>
      <c r="AX108" s="1">
        <f t="shared" ref="AX108:AX120" si="414">AV108*$AX$4/$AV$4+12*$AX$121</f>
        <v>20.4285714285719</v>
      </c>
      <c r="AY108" s="1">
        <f t="shared" ref="AY108:AY120" si="415">AV108*$AY$4/$AV$4+12*$AY$121</f>
        <v>22.0</v>
      </c>
      <c r="AZ108" s="1">
        <f t="shared" ref="AZ108:AZ120" si="416">AV108*$AZ$4/$AV$4+12*$AZ$121</f>
        <v>30.4857142857143</v>
      </c>
      <c r="BA108" s="1">
        <f t="shared" ref="BA108:BA120" si="417">AV108*$BA$4/$AV$4+12*$BA$121</f>
        <v>14.4571428571428</v>
      </c>
      <c r="BB108" s="1">
        <f t="shared" ref="BB108:BB120" si="418">AV108*$BB$4/$AV$4+12*$BB$121</f>
        <v>28.2857142857147</v>
      </c>
      <c r="BC108" s="4">
        <f t="shared" si="13"/>
        <v>132.0</v>
      </c>
      <c r="BD108" s="3">
        <f>VLOOKUP(D108,FEB23SOH,2,false)</f>
        <v>859.0</v>
      </c>
      <c r="BE108" s="44">
        <f>VLOOKUP(D108,UNITVALUE,4,false)</f>
        <v>4.5467</v>
      </c>
      <c r="BF108" s="44">
        <f t="shared" si="16"/>
        <v>3905.6153</v>
      </c>
      <c r="BI108" s="6">
        <f t="shared" si="359"/>
        <v>727.0</v>
      </c>
      <c r="BJ108" s="1">
        <f>VLOOKUP(C108,MOQ,3,FALSE())</f>
        <v>1008.0</v>
      </c>
      <c r="BM108" s="1">
        <f t="shared" si="361"/>
        <v>859.0</v>
      </c>
      <c r="BN108" s="1">
        <f t="shared" si="362"/>
        <v>16.342857142857</v>
      </c>
      <c r="BP108" s="45">
        <f t="shared" si="363"/>
        <v>842.657142857143</v>
      </c>
      <c r="BQ108" s="5">
        <f t="shared" si="395"/>
        <v>3831.30923142857</v>
      </c>
      <c r="BR108" s="1">
        <f t="shared" si="365"/>
        <v>20.4285714285719</v>
      </c>
      <c r="BS108" s="1">
        <f t="shared" si="366"/>
      </c>
      <c r="BT108" s="45">
        <f t="shared" si="367"/>
        <v>822.228571428571</v>
      </c>
      <c r="BU108" s="5">
        <f t="shared" si="396"/>
        <v>3738.42664571428</v>
      </c>
      <c r="BV108" s="1">
        <f t="shared" si="369"/>
        <v>22.0</v>
      </c>
      <c r="BW108" s="1">
        <f t="shared" si="370"/>
      </c>
      <c r="BX108" s="45">
        <f t="shared" si="371"/>
        <v>800.228571428571</v>
      </c>
      <c r="BY108" s="5">
        <f t="shared" si="397"/>
        <v>3638.39924571428</v>
      </c>
      <c r="BZ108" s="1">
        <f t="shared" si="373"/>
        <v>30.4857142857143</v>
      </c>
      <c r="CB108" s="45">
        <f t="shared" si="374"/>
        <v>769.742857142857</v>
      </c>
      <c r="CC108" s="5">
        <f t="shared" si="398"/>
        <v>3499.78984857142</v>
      </c>
      <c r="CD108" s="1">
        <f t="shared" si="376"/>
        <v>14.4571428571428</v>
      </c>
      <c r="CF108" s="45">
        <f t="shared" si="377"/>
        <v>755.285714285714</v>
      </c>
      <c r="CG108" s="5">
        <f t="shared" si="399"/>
        <v>3434.05755714286</v>
      </c>
      <c r="CH108" s="1">
        <f t="shared" si="379"/>
        <v>28.2857142857147</v>
      </c>
      <c r="CJ108" s="45">
        <f t="shared" si="380"/>
        <v>726.999999999999</v>
      </c>
      <c r="CK108" s="5">
        <f t="shared" si="400"/>
        <v>3305.4509</v>
      </c>
    </row>
    <row r="109" ht="17.0">
      <c r="A109" s="41" t="s">
        <v>30</v>
      </c>
      <c r="B109" s="41" t="s">
        <v>228</v>
      </c>
      <c r="C109" s="41" t="s">
        <v>245</v>
      </c>
      <c r="D109" s="55" t="s">
        <v>246</v>
      </c>
      <c r="E109" s="41">
        <v>240.0</v>
      </c>
      <c r="F109" s="41">
        <v>228.0</v>
      </c>
      <c r="G109" s="41">
        <v>72.0</v>
      </c>
      <c r="H109" s="41">
        <v>12.0</v>
      </c>
      <c r="I109" s="41">
        <v>120.0</v>
      </c>
      <c r="J109" s="41">
        <v>25.0</v>
      </c>
      <c r="K109" s="41">
        <v>72.0</v>
      </c>
      <c r="L109" s="41">
        <v>96.0</v>
      </c>
      <c r="M109" s="41">
        <v>12.0</v>
      </c>
      <c r="N109" s="41">
        <v>84.0</v>
      </c>
      <c r="O109" s="41">
        <v>72.0</v>
      </c>
      <c r="P109" s="41">
        <v>120.0</v>
      </c>
      <c r="Q109" s="41">
        <v>192.0</v>
      </c>
      <c r="R109" s="41">
        <v>169.0</v>
      </c>
      <c r="S109" s="41">
        <v>63.0</v>
      </c>
      <c r="T109" s="41">
        <v>12.0</v>
      </c>
      <c r="U109" s="41">
        <v>36.0</v>
      </c>
      <c r="V109" s="41">
        <v>60.0</v>
      </c>
      <c r="W109" s="41">
        <v>24.0</v>
      </c>
      <c r="X109" s="41">
        <v>0.0</v>
      </c>
      <c r="Y109" s="41">
        <v>0.0</v>
      </c>
      <c r="Z109" s="41">
        <v>0.0</v>
      </c>
      <c r="AA109" s="41">
        <v>24.0</v>
      </c>
      <c r="AB109" s="41">
        <v>72.0</v>
      </c>
      <c r="AC109" s="41">
        <v>48.0</v>
      </c>
      <c r="AD109" s="41">
        <v>73.0</v>
      </c>
      <c r="AE109" s="41">
        <v>38.0</v>
      </c>
      <c r="AF109" s="41">
        <v>36.0</v>
      </c>
      <c r="AG109" s="41">
        <v>60.0</v>
      </c>
      <c r="AH109" s="41">
        <v>0.0</v>
      </c>
      <c r="AI109" s="41">
        <v>0.0</v>
      </c>
      <c r="AJ109" s="41">
        <v>12.0</v>
      </c>
      <c r="AK109" s="41">
        <v>48.0</v>
      </c>
      <c r="AL109" s="41">
        <v>24.0</v>
      </c>
      <c r="AM109" s="43">
        <v>85.0</v>
      </c>
      <c r="AN109" s="43">
        <v>36.0</v>
      </c>
      <c r="AO109" s="43">
        <v>96.0</v>
      </c>
      <c r="AP109" s="43">
        <v>108.0</v>
      </c>
      <c r="AQ109" s="43">
        <v>36.0</v>
      </c>
      <c r="AR109" s="43">
        <v>0.0</v>
      </c>
      <c r="AS109" s="43">
        <v>16.0</v>
      </c>
      <c r="AT109" s="4">
        <f t="shared" si="4"/>
        <v>461.0</v>
      </c>
      <c r="AU109" s="4">
        <f t="shared" si="5"/>
        <v>169.0</v>
      </c>
      <c r="AV109" s="4">
        <f t="shared" si="6"/>
        <v>185.9</v>
      </c>
      <c r="AW109" s="1">
        <f t="shared" si="413"/>
        <v>25.3809523809523</v>
      </c>
      <c r="AX109" s="1">
        <f t="shared" si="414"/>
        <v>31.7261904761909</v>
      </c>
      <c r="AY109" s="1">
        <f t="shared" si="415"/>
        <v>34.1666666666667</v>
      </c>
      <c r="AZ109" s="1">
        <f t="shared" si="416"/>
        <v>47.345238095238</v>
      </c>
      <c r="BA109" s="1">
        <f t="shared" si="417"/>
        <v>22.4523809523809</v>
      </c>
      <c r="BB109" s="1">
        <f t="shared" si="418"/>
        <v>43.9285714285714</v>
      </c>
      <c r="BC109" s="4">
        <f t="shared" si="13"/>
        <v>205.0</v>
      </c>
      <c r="BD109" s="3">
        <f>VLOOKUP(D109,FEB23SOH,2,false)</f>
        <v>595.0</v>
      </c>
      <c r="BE109" s="44">
        <f>VLOOKUP(D109,UNITVALUE,4,false)</f>
        <v>1.907</v>
      </c>
      <c r="BF109" s="44">
        <f t="shared" si="16"/>
        <v>1134.665</v>
      </c>
      <c r="BI109" s="6">
        <f t="shared" si="359"/>
        <v>390.0</v>
      </c>
      <c r="BJ109" s="1">
        <f>VLOOKUP(C109,MOQ,3,FALSE())</f>
        <v>2016.0</v>
      </c>
      <c r="BM109" s="1">
        <f t="shared" si="361"/>
        <v>595.0</v>
      </c>
      <c r="BN109" s="1">
        <f t="shared" si="362"/>
        <v>25.3809523809523</v>
      </c>
      <c r="BP109" s="45">
        <f t="shared" si="363"/>
        <v>569.619047619048</v>
      </c>
      <c r="BQ109" s="5">
        <f t="shared" si="395"/>
        <v>1086.26352380952</v>
      </c>
      <c r="BR109" s="1">
        <f t="shared" si="365"/>
        <v>31.7261904761909</v>
      </c>
      <c r="BS109" s="1">
        <f t="shared" si="366"/>
      </c>
      <c r="BT109" s="45">
        <f t="shared" si="367"/>
        <v>537.892857142857</v>
      </c>
      <c r="BU109" s="5">
        <f t="shared" si="396"/>
        <v>1025.76167857142</v>
      </c>
      <c r="BV109" s="1">
        <f t="shared" si="369"/>
        <v>34.1666666666667</v>
      </c>
      <c r="BW109" s="1">
        <f t="shared" si="370"/>
      </c>
      <c r="BX109" s="45">
        <f t="shared" si="371"/>
        <v>503.72619047619</v>
      </c>
      <c r="BY109" s="5">
        <f t="shared" si="397"/>
        <v>960.605845238094</v>
      </c>
      <c r="BZ109" s="1">
        <f t="shared" si="373"/>
        <v>47.345238095238</v>
      </c>
      <c r="CB109" s="45">
        <f t="shared" si="374"/>
        <v>456.380952380952</v>
      </c>
      <c r="CC109" s="5">
        <f t="shared" si="398"/>
        <v>870.31847619048</v>
      </c>
      <c r="CD109" s="1">
        <f t="shared" si="376"/>
        <v>22.4523809523809</v>
      </c>
      <c r="CF109" s="45">
        <f t="shared" si="377"/>
        <v>433.928571428571</v>
      </c>
      <c r="CG109" s="5">
        <f t="shared" si="399"/>
        <v>827.501785714284</v>
      </c>
      <c r="CH109" s="1">
        <f t="shared" si="379"/>
        <v>43.9285714285714</v>
      </c>
      <c r="CJ109" s="45">
        <f t="shared" si="380"/>
        <v>390.0</v>
      </c>
      <c r="CK109" s="5">
        <f t="shared" si="400"/>
        <v>743.73</v>
      </c>
    </row>
    <row r="110" ht="17.0">
      <c r="A110" s="41" t="s">
        <v>30</v>
      </c>
      <c r="B110" s="10" t="s">
        <v>228</v>
      </c>
      <c r="C110" s="41" t="s">
        <v>247</v>
      </c>
      <c r="D110" s="55" t="s">
        <v>248</v>
      </c>
      <c r="E110" s="41">
        <v>120.0</v>
      </c>
      <c r="F110" s="41">
        <v>84.0</v>
      </c>
      <c r="G110" s="41">
        <v>82.0</v>
      </c>
      <c r="H110" s="41">
        <v>4.0</v>
      </c>
      <c r="I110" s="41">
        <v>26.0</v>
      </c>
      <c r="J110" s="41">
        <v>8.0</v>
      </c>
      <c r="K110" s="41">
        <v>4.0</v>
      </c>
      <c r="L110" s="41">
        <v>12.0</v>
      </c>
      <c r="M110" s="41">
        <v>20.0</v>
      </c>
      <c r="N110" s="41">
        <v>44.0</v>
      </c>
      <c r="O110" s="41">
        <v>28.0</v>
      </c>
      <c r="P110" s="41">
        <v>40.0</v>
      </c>
      <c r="Q110" s="41">
        <v>24.0</v>
      </c>
      <c r="R110" s="41">
        <v>32.0</v>
      </c>
      <c r="S110" s="41">
        <v>16.0</v>
      </c>
      <c r="T110" s="41">
        <v>4.0</v>
      </c>
      <c r="U110" s="41">
        <v>8.0</v>
      </c>
      <c r="V110" s="41">
        <v>44.0</v>
      </c>
      <c r="W110" s="41">
        <v>8.0</v>
      </c>
      <c r="X110" s="41">
        <v>0.0</v>
      </c>
      <c r="Y110" s="41">
        <v>16.0</v>
      </c>
      <c r="Z110" s="41">
        <v>20.0</v>
      </c>
      <c r="AA110" s="41">
        <v>4.0</v>
      </c>
      <c r="AB110" s="41">
        <v>16.0</v>
      </c>
      <c r="AC110" s="41">
        <v>12.0</v>
      </c>
      <c r="AD110" s="41">
        <v>36.0</v>
      </c>
      <c r="AE110" s="41">
        <v>0.0</v>
      </c>
      <c r="AF110" s="41">
        <v>16.0</v>
      </c>
      <c r="AG110" s="41">
        <v>8.0</v>
      </c>
      <c r="AH110" s="41">
        <v>0.0</v>
      </c>
      <c r="AI110" s="41">
        <v>16.0</v>
      </c>
      <c r="AJ110" s="41">
        <v>4.0</v>
      </c>
      <c r="AK110" s="41">
        <v>0.0</v>
      </c>
      <c r="AL110" s="41">
        <v>4.0</v>
      </c>
      <c r="AM110" s="43">
        <v>28.0</v>
      </c>
      <c r="AN110" s="43">
        <v>12.0</v>
      </c>
      <c r="AO110" s="43">
        <v>25.0</v>
      </c>
      <c r="AP110" s="43">
        <v>28.0</v>
      </c>
      <c r="AQ110" s="43">
        <v>28.0</v>
      </c>
      <c r="AR110" s="43">
        <v>4.0</v>
      </c>
      <c r="AS110" s="43">
        <v>0.0</v>
      </c>
      <c r="AT110" s="4">
        <f t="shared" si="4"/>
        <v>149.0</v>
      </c>
      <c r="AU110" s="4">
        <f t="shared" si="5"/>
        <v>52.0</v>
      </c>
      <c r="AV110" s="4">
        <f t="shared" si="6"/>
        <v>57.2</v>
      </c>
      <c r="AW110" s="1">
        <f t="shared" si="413"/>
        <v>10.895238095238</v>
      </c>
      <c r="AX110" s="1">
        <f t="shared" si="414"/>
        <v>13.619047619048</v>
      </c>
      <c r="AY110" s="1">
        <f t="shared" si="415"/>
        <v>14.6666666666667</v>
      </c>
      <c r="AZ110" s="1">
        <f t="shared" si="416"/>
        <v>20.3238095238095</v>
      </c>
      <c r="BA110" s="1">
        <f t="shared" si="417"/>
        <v>9.63809523809524</v>
      </c>
      <c r="BB110" s="1">
        <f t="shared" si="418"/>
        <v>18.8571428571428</v>
      </c>
      <c r="BC110" s="4">
        <f t="shared" si="13"/>
        <v>88.0000000000002</v>
      </c>
      <c r="BD110" s="3">
        <f>VLOOKUP(D110,FEB23SOH,2,false)</f>
        <v>44.0</v>
      </c>
      <c r="BE110" s="44">
        <f>VLOOKUP(D110,UNITVALUE,4,false)</f>
        <v>2.7434</v>
      </c>
      <c r="BF110" s="44">
        <f t="shared" si="16"/>
        <v>120.7096</v>
      </c>
      <c r="BI110" s="6">
        <f t="shared" si="359"/>
        <v>-44.0000000000002</v>
      </c>
      <c r="BJ110" s="1">
        <f>VLOOKUP(C110,MOQ,3,FALSE())</f>
        <v>1000.0</v>
      </c>
      <c r="BK110" s="53" t="s">
        <v>0</v>
      </c>
      <c r="BL110" s="8" t="s">
        <v>8</v>
      </c>
      <c r="BM110" s="1">
        <f t="shared" si="361"/>
        <v>44.0</v>
      </c>
      <c r="BN110" s="1">
        <f t="shared" si="362"/>
        <v>10.895238095238</v>
      </c>
      <c r="BP110" s="45">
        <f t="shared" si="363"/>
        <v>33.104761904762</v>
      </c>
      <c r="BQ110" s="5">
        <f t="shared" si="395"/>
        <v>90.819603809524</v>
      </c>
      <c r="BR110" s="1">
        <f t="shared" si="365"/>
        <v>13.619047619048</v>
      </c>
      <c r="BS110" s="1">
        <f t="shared" si="366"/>
      </c>
      <c r="BT110" s="45">
        <f t="shared" si="367"/>
        <v>19.485714285714</v>
      </c>
      <c r="BU110" s="5">
        <f t="shared" si="396"/>
        <v>53.4571085714278</v>
      </c>
      <c r="BV110" s="1">
        <f t="shared" si="369"/>
        <v>14.6666666666667</v>
      </c>
      <c r="BW110" s="1">
        <f t="shared" si="370"/>
      </c>
      <c r="BX110" s="45">
        <f t="shared" si="371"/>
        <v>4.8190476190473</v>
      </c>
      <c r="BY110" s="5"/>
      <c r="BZ110" s="1">
        <f t="shared" si="373"/>
        <v>20.3238095238095</v>
      </c>
      <c r="CB110" s="45">
        <f t="shared" si="374"/>
        <v>-15.5047619047622</v>
      </c>
      <c r="CC110" s="5"/>
      <c r="CD110" s="1">
        <f t="shared" si="376"/>
        <v>9.63809523809524</v>
      </c>
      <c r="CF110" s="45">
        <f t="shared" si="377"/>
        <v>-25.1428571428574</v>
      </c>
      <c r="CG110" s="5"/>
      <c r="CH110" s="1">
        <f t="shared" si="379"/>
        <v>18.8571428571428</v>
      </c>
      <c r="CJ110" s="45">
        <f t="shared" si="380"/>
        <v>-44.0000000000002</v>
      </c>
      <c r="CK110" s="5"/>
    </row>
    <row r="111" ht="17.0">
      <c r="A111" s="41" t="s">
        <v>30</v>
      </c>
      <c r="B111" s="41" t="s">
        <v>228</v>
      </c>
      <c r="C111" s="41" t="s">
        <v>249</v>
      </c>
      <c r="D111" s="55" t="s">
        <v>250</v>
      </c>
      <c r="E111" s="41">
        <v>252.0</v>
      </c>
      <c r="F111" s="41">
        <v>216.0</v>
      </c>
      <c r="G111" s="41">
        <v>120.0</v>
      </c>
      <c r="H111" s="41">
        <v>24.0</v>
      </c>
      <c r="I111" s="41">
        <v>132.0</v>
      </c>
      <c r="J111" s="41">
        <v>96.0</v>
      </c>
      <c r="K111" s="41">
        <v>96.0</v>
      </c>
      <c r="L111" s="41">
        <v>71.0</v>
      </c>
      <c r="M111" s="41">
        <v>60.0</v>
      </c>
      <c r="N111" s="41">
        <v>70.0</v>
      </c>
      <c r="O111" s="41">
        <v>108.0</v>
      </c>
      <c r="P111" s="41">
        <v>60.0</v>
      </c>
      <c r="Q111" s="41">
        <v>155.0</v>
      </c>
      <c r="R111" s="41">
        <v>240.0</v>
      </c>
      <c r="S111" s="41">
        <v>80.0</v>
      </c>
      <c r="T111" s="41">
        <v>35.0</v>
      </c>
      <c r="U111" s="41">
        <v>48.0</v>
      </c>
      <c r="V111" s="41">
        <v>96.0</v>
      </c>
      <c r="W111" s="41">
        <v>96.0</v>
      </c>
      <c r="X111" s="41">
        <v>71.0</v>
      </c>
      <c r="Y111" s="41">
        <v>48.0</v>
      </c>
      <c r="Z111" s="41">
        <v>72.0</v>
      </c>
      <c r="AA111" s="41">
        <v>36.0</v>
      </c>
      <c r="AB111" s="41">
        <v>96.0</v>
      </c>
      <c r="AC111" s="41">
        <v>144.0</v>
      </c>
      <c r="AD111" s="41">
        <v>59.0</v>
      </c>
      <c r="AE111" s="41">
        <v>71.0</v>
      </c>
      <c r="AF111" s="41">
        <v>108.0</v>
      </c>
      <c r="AG111" s="41">
        <v>60.0</v>
      </c>
      <c r="AH111" s="41">
        <v>11.0</v>
      </c>
      <c r="AI111" s="41">
        <v>0.0</v>
      </c>
      <c r="AJ111" s="41">
        <v>24.0</v>
      </c>
      <c r="AK111" s="41">
        <v>48.0</v>
      </c>
      <c r="AL111" s="41">
        <v>23.0</v>
      </c>
      <c r="AM111" s="43">
        <v>72.0</v>
      </c>
      <c r="AN111" s="43">
        <v>72.0</v>
      </c>
      <c r="AO111" s="43">
        <v>84.0</v>
      </c>
      <c r="AP111" s="43">
        <v>36.0</v>
      </c>
      <c r="AQ111" s="43">
        <v>60.0</v>
      </c>
      <c r="AR111" s="43">
        <v>12.0</v>
      </c>
      <c r="AS111" s="43">
        <v>73.0</v>
      </c>
      <c r="AT111" s="4">
        <f t="shared" si="4"/>
        <v>515.0</v>
      </c>
      <c r="AU111" s="4">
        <f t="shared" si="5"/>
        <v>178.0</v>
      </c>
      <c r="AV111" s="4">
        <f t="shared" si="6"/>
        <v>195.8</v>
      </c>
      <c r="AW111" s="1">
        <f t="shared" si="413"/>
        <v>26.495238095238</v>
      </c>
      <c r="AX111" s="1">
        <f t="shared" si="414"/>
        <v>33.119047619048</v>
      </c>
      <c r="AY111" s="1">
        <f t="shared" si="415"/>
        <v>35.6666666666667</v>
      </c>
      <c r="AZ111" s="1">
        <f t="shared" si="416"/>
        <v>49.4238095238095</v>
      </c>
      <c r="BA111" s="1">
        <f t="shared" si="417"/>
        <v>23.4380952380951</v>
      </c>
      <c r="BB111" s="1">
        <f t="shared" si="418"/>
        <v>45.8571428571428</v>
      </c>
      <c r="BC111" s="4">
        <f t="shared" si="13"/>
        <v>214.0</v>
      </c>
      <c r="BD111" s="3">
        <f>VLOOKUP(D111,FEB23SOH,2,false)</f>
        <v>708.0</v>
      </c>
      <c r="BE111" s="44">
        <f>VLOOKUP(D111,UNITVALUE,4,false)</f>
        <v>1.9487</v>
      </c>
      <c r="BF111" s="44">
        <f t="shared" si="16"/>
        <v>1379.6796</v>
      </c>
      <c r="BI111" s="6">
        <f t="shared" si="359"/>
        <v>494.0</v>
      </c>
      <c r="BJ111" s="1">
        <f>VLOOKUP(C111,MOQ,3,FALSE())</f>
        <v>2016.0</v>
      </c>
      <c r="BM111" s="1">
        <f t="shared" si="361"/>
        <v>708.0</v>
      </c>
      <c r="BN111" s="1">
        <f t="shared" si="362"/>
        <v>26.495238095238</v>
      </c>
      <c r="BP111" s="45">
        <f t="shared" si="363"/>
        <v>681.504761904762</v>
      </c>
      <c r="BQ111" s="5">
        <f t="shared" si="395"/>
        <v>1328.0483295238</v>
      </c>
      <c r="BR111" s="1">
        <f t="shared" si="365"/>
        <v>33.119047619048</v>
      </c>
      <c r="BS111" s="1">
        <f t="shared" si="366"/>
      </c>
      <c r="BT111" s="45">
        <f t="shared" si="367"/>
        <v>648.385714285713</v>
      </c>
      <c r="BU111" s="5">
        <f t="shared" si="396"/>
        <v>1263.50924142857</v>
      </c>
      <c r="BV111" s="1">
        <f t="shared" si="369"/>
        <v>35.6666666666667</v>
      </c>
      <c r="BW111" s="1">
        <f t="shared" si="370"/>
      </c>
      <c r="BX111" s="45">
        <f t="shared" si="371"/>
        <v>612.719047619046</v>
      </c>
      <c r="BY111" s="5">
        <f t="shared" ref="BY111:BY120" si="419">BX111*BE111</f>
        <v>1194.00560809523</v>
      </c>
      <c r="BZ111" s="1">
        <f t="shared" si="373"/>
        <v>49.4238095238095</v>
      </c>
      <c r="CB111" s="45">
        <f t="shared" si="374"/>
        <v>563.295238095237</v>
      </c>
      <c r="CC111" s="5">
        <f t="shared" ref="CC111:CC120" si="420">CB111*BE111</f>
        <v>1097.69343047619</v>
      </c>
      <c r="CD111" s="1">
        <f t="shared" si="376"/>
        <v>23.4380952380951</v>
      </c>
      <c r="CF111" s="45">
        <f t="shared" si="377"/>
        <v>539.857142857141</v>
      </c>
      <c r="CG111" s="5">
        <f t="shared" ref="CG111:CG120" si="421">CF111*BE111</f>
        <v>1052.01961428571</v>
      </c>
      <c r="CH111" s="1">
        <f t="shared" si="379"/>
        <v>45.8571428571428</v>
      </c>
      <c r="CJ111" s="45">
        <f t="shared" si="380"/>
        <v>493.999999999998</v>
      </c>
      <c r="CK111" s="5">
        <f t="shared" ref="CK111:CK120" si="422">CJ111*BE111</f>
        <v>962.657799999996</v>
      </c>
    </row>
    <row r="112" ht="17.0">
      <c r="A112" s="41" t="s">
        <v>30</v>
      </c>
      <c r="B112" s="41" t="s">
        <v>228</v>
      </c>
      <c r="C112" s="41" t="s">
        <v>251</v>
      </c>
      <c r="D112" s="55" t="s">
        <v>252</v>
      </c>
      <c r="E112" s="41">
        <v>288.0</v>
      </c>
      <c r="F112" s="41">
        <v>314.0</v>
      </c>
      <c r="G112" s="41">
        <v>120.0</v>
      </c>
      <c r="H112" s="41">
        <v>35.0</v>
      </c>
      <c r="I112" s="41">
        <v>38.0</v>
      </c>
      <c r="J112" s="41">
        <v>36.0</v>
      </c>
      <c r="K112" s="41">
        <v>12.0</v>
      </c>
      <c r="L112" s="41">
        <v>48.0</v>
      </c>
      <c r="M112" s="41">
        <v>36.0</v>
      </c>
      <c r="N112" s="41">
        <v>96.0</v>
      </c>
      <c r="O112" s="41">
        <v>11.0</v>
      </c>
      <c r="P112" s="41">
        <v>73.0</v>
      </c>
      <c r="Q112" s="41">
        <v>84.0</v>
      </c>
      <c r="R112" s="41">
        <v>132.0</v>
      </c>
      <c r="S112" s="41">
        <v>97.0</v>
      </c>
      <c r="T112" s="41">
        <v>0.0</v>
      </c>
      <c r="U112" s="41">
        <v>24.0</v>
      </c>
      <c r="V112" s="41">
        <v>48.0</v>
      </c>
      <c r="W112" s="41">
        <v>26.0</v>
      </c>
      <c r="X112" s="41">
        <v>36.0</v>
      </c>
      <c r="Y112" s="41">
        <v>0.0</v>
      </c>
      <c r="Z112" s="41">
        <v>24.0</v>
      </c>
      <c r="AA112" s="41">
        <v>48.0</v>
      </c>
      <c r="AB112" s="41">
        <v>96.0</v>
      </c>
      <c r="AC112" s="41">
        <v>156.0</v>
      </c>
      <c r="AD112" s="41">
        <v>48.0</v>
      </c>
      <c r="AE112" s="41">
        <v>24.0</v>
      </c>
      <c r="AF112" s="41">
        <v>11.0</v>
      </c>
      <c r="AG112" s="41">
        <v>24.0</v>
      </c>
      <c r="AH112" s="41">
        <v>24.0</v>
      </c>
      <c r="AI112" s="41">
        <v>36.0</v>
      </c>
      <c r="AJ112" s="41">
        <v>24.0</v>
      </c>
      <c r="AK112" s="41">
        <v>0.0</v>
      </c>
      <c r="AL112" s="41">
        <v>36.0</v>
      </c>
      <c r="AM112" s="43">
        <v>36.0</v>
      </c>
      <c r="AN112" s="43">
        <v>12.0</v>
      </c>
      <c r="AO112" s="43">
        <v>36.0</v>
      </c>
      <c r="AP112" s="43">
        <v>36.0</v>
      </c>
      <c r="AQ112" s="43">
        <v>36.0</v>
      </c>
      <c r="AR112" s="43">
        <v>24.0</v>
      </c>
      <c r="AS112" s="43">
        <v>88.0</v>
      </c>
      <c r="AT112" s="4">
        <f t="shared" si="4"/>
        <v>388.0</v>
      </c>
      <c r="AU112" s="4">
        <f t="shared" si="5"/>
        <v>156.0</v>
      </c>
      <c r="AV112" s="4">
        <f t="shared" si="6"/>
        <v>171.6</v>
      </c>
      <c r="AW112" s="1">
        <f t="shared" si="413"/>
        <v>23.7714285714286</v>
      </c>
      <c r="AX112" s="1">
        <f t="shared" si="414"/>
        <v>29.7142857142861</v>
      </c>
      <c r="AY112" s="1">
        <f t="shared" si="415"/>
        <v>32.0</v>
      </c>
      <c r="AZ112" s="1">
        <f t="shared" si="416"/>
        <v>44.3428571428571</v>
      </c>
      <c r="BA112" s="1">
        <f t="shared" si="417"/>
        <v>21.0285714285713</v>
      </c>
      <c r="BB112" s="1">
        <f t="shared" si="418"/>
        <v>41.1428571428571</v>
      </c>
      <c r="BC112" s="4">
        <f t="shared" si="13"/>
        <v>192.0</v>
      </c>
      <c r="BD112" s="3">
        <f>VLOOKUP(D112,FEB23SOH,2,false)</f>
        <v>325.0</v>
      </c>
      <c r="BE112" s="44">
        <f>VLOOKUP(D112,UNITVALUE,4,false)</f>
        <v>1.2009</v>
      </c>
      <c r="BF112" s="44">
        <f t="shared" si="16"/>
        <v>390.2925</v>
      </c>
      <c r="BI112" s="6">
        <f t="shared" si="359"/>
        <v>133.0</v>
      </c>
      <c r="BJ112" s="1">
        <f>VLOOKUP(C112,MOQ,3,FALSE())</f>
        <v>2016.0</v>
      </c>
      <c r="BM112" s="1">
        <f t="shared" si="361"/>
        <v>325.0</v>
      </c>
      <c r="BN112" s="1">
        <f t="shared" si="362"/>
        <v>23.7714285714286</v>
      </c>
      <c r="BP112" s="45">
        <f t="shared" si="363"/>
        <v>301.228571428571</v>
      </c>
      <c r="BQ112" s="5">
        <f t="shared" si="395"/>
        <v>361.74539142857</v>
      </c>
      <c r="BR112" s="1">
        <f t="shared" si="365"/>
        <v>29.7142857142861</v>
      </c>
      <c r="BS112" s="1">
        <f t="shared" si="366"/>
      </c>
      <c r="BT112" s="45">
        <f t="shared" si="367"/>
        <v>271.514285714284</v>
      </c>
      <c r="BU112" s="5">
        <f t="shared" si="396"/>
        <v>326.061505714283</v>
      </c>
      <c r="BV112" s="1">
        <f t="shared" si="369"/>
        <v>32.0</v>
      </c>
      <c r="BW112" s="1">
        <f t="shared" si="370"/>
      </c>
      <c r="BX112" s="45">
        <f t="shared" si="371"/>
        <v>239.514285714283</v>
      </c>
      <c r="BY112" s="5">
        <f t="shared" si="419"/>
        <v>287.632705714282</v>
      </c>
      <c r="BZ112" s="1">
        <f t="shared" si="373"/>
        <v>44.3428571428571</v>
      </c>
      <c r="CB112" s="45">
        <f t="shared" si="374"/>
        <v>195.171428571426</v>
      </c>
      <c r="CC112" s="5">
        <f t="shared" si="420"/>
        <v>234.381368571426</v>
      </c>
      <c r="CD112" s="1">
        <f t="shared" si="376"/>
        <v>21.0285714285713</v>
      </c>
      <c r="CF112" s="45">
        <f t="shared" si="377"/>
        <v>174.142857142854</v>
      </c>
      <c r="CG112" s="5">
        <f t="shared" si="421"/>
        <v>209.128157142853</v>
      </c>
      <c r="CH112" s="1">
        <f t="shared" si="379"/>
        <v>41.1428571428571</v>
      </c>
      <c r="CJ112" s="45">
        <f t="shared" si="380"/>
        <v>132.999999999997</v>
      </c>
      <c r="CK112" s="5">
        <f t="shared" si="422"/>
        <v>159.719699999996</v>
      </c>
    </row>
    <row r="113" ht="17.0">
      <c r="A113" s="41" t="s">
        <v>30</v>
      </c>
      <c r="B113" s="41" t="s">
        <v>228</v>
      </c>
      <c r="C113" s="41" t="s">
        <v>253</v>
      </c>
      <c r="D113" s="55" t="s">
        <v>254</v>
      </c>
      <c r="E113" s="41">
        <v>276.0</v>
      </c>
      <c r="F113" s="41">
        <v>288.0</v>
      </c>
      <c r="G113" s="41">
        <v>168.0</v>
      </c>
      <c r="H113" s="41">
        <v>25.0</v>
      </c>
      <c r="I113" s="41">
        <v>120.0</v>
      </c>
      <c r="J113" s="41">
        <v>60.0</v>
      </c>
      <c r="K113" s="41">
        <v>97.0</v>
      </c>
      <c r="L113" s="41">
        <v>50.0</v>
      </c>
      <c r="M113" s="41">
        <v>38.0</v>
      </c>
      <c r="N113" s="41">
        <v>60.0</v>
      </c>
      <c r="O113" s="41">
        <v>84.0</v>
      </c>
      <c r="P113" s="41">
        <v>132.0</v>
      </c>
      <c r="Q113" s="41">
        <v>97.0</v>
      </c>
      <c r="R113" s="41">
        <v>183.0</v>
      </c>
      <c r="S113" s="41">
        <v>109.0</v>
      </c>
      <c r="T113" s="41">
        <v>36.0</v>
      </c>
      <c r="U113" s="41">
        <v>62.0</v>
      </c>
      <c r="V113" s="41">
        <v>120.0</v>
      </c>
      <c r="W113" s="41">
        <v>49.0</v>
      </c>
      <c r="X113" s="41">
        <v>12.0</v>
      </c>
      <c r="Y113" s="41">
        <v>48.0</v>
      </c>
      <c r="Z113" s="41">
        <v>60.0</v>
      </c>
      <c r="AA113" s="41">
        <v>72.0</v>
      </c>
      <c r="AB113" s="41">
        <v>144.0</v>
      </c>
      <c r="AC113" s="41">
        <v>131.0</v>
      </c>
      <c r="AD113" s="41">
        <v>120.0</v>
      </c>
      <c r="AE113" s="41">
        <v>48.0</v>
      </c>
      <c r="AF113" s="41">
        <v>84.0</v>
      </c>
      <c r="AG113" s="41">
        <v>96.0</v>
      </c>
      <c r="AH113" s="41">
        <v>36.0</v>
      </c>
      <c r="AI113" s="41">
        <v>12.0</v>
      </c>
      <c r="AJ113" s="41">
        <v>12.0</v>
      </c>
      <c r="AK113" s="41">
        <v>0.0</v>
      </c>
      <c r="AL113" s="41">
        <v>36.0</v>
      </c>
      <c r="AM113" s="43">
        <v>36.0</v>
      </c>
      <c r="AN113" s="43">
        <v>12.0</v>
      </c>
      <c r="AO113" s="43">
        <v>96.0</v>
      </c>
      <c r="AP113" s="43">
        <v>97.0</v>
      </c>
      <c r="AQ113" s="43">
        <v>72.0</v>
      </c>
      <c r="AR113" s="43">
        <v>24.0</v>
      </c>
      <c r="AS113" s="43">
        <v>88.0</v>
      </c>
      <c r="AT113" s="4">
        <f t="shared" si="4"/>
        <v>521.0</v>
      </c>
      <c r="AU113" s="4">
        <f t="shared" si="5"/>
        <v>132.0</v>
      </c>
      <c r="AV113" s="4">
        <f t="shared" si="6"/>
        <v>145.2</v>
      </c>
      <c r="AW113" s="1">
        <f t="shared" si="413"/>
        <v>20.7999999999999</v>
      </c>
      <c r="AX113" s="1">
        <f t="shared" si="414"/>
        <v>26.0000000000003</v>
      </c>
      <c r="AY113" s="1">
        <f t="shared" si="415"/>
        <v>28.0</v>
      </c>
      <c r="AZ113" s="1">
        <f t="shared" si="416"/>
        <v>38.7999999999999</v>
      </c>
      <c r="BA113" s="1">
        <f t="shared" si="417"/>
        <v>18.4</v>
      </c>
      <c r="BB113" s="1">
        <f t="shared" si="418"/>
        <v>35.9999999999999</v>
      </c>
      <c r="BC113" s="4">
        <f t="shared" si="13"/>
        <v>168.0</v>
      </c>
      <c r="BD113" s="3">
        <f>VLOOKUP(D113,FEB23SOH,2,false)</f>
        <v>527.0</v>
      </c>
      <c r="BE113" s="44">
        <f>VLOOKUP(D113,UNITVALUE,4,false)</f>
        <v>1.7484</v>
      </c>
      <c r="BF113" s="44">
        <f t="shared" si="16"/>
        <v>921.4068</v>
      </c>
      <c r="BI113" s="6">
        <f t="shared" si="359"/>
        <v>359.0</v>
      </c>
      <c r="BJ113" s="1">
        <f>VLOOKUP(C113,MOQ,3,FALSE())</f>
        <v>2016.0</v>
      </c>
      <c r="BM113" s="1">
        <f t="shared" si="361"/>
        <v>527.0</v>
      </c>
      <c r="BN113" s="1">
        <f t="shared" si="362"/>
        <v>20.7999999999999</v>
      </c>
      <c r="BP113" s="45">
        <f t="shared" si="363"/>
        <v>506.2</v>
      </c>
      <c r="BQ113" s="5">
        <f t="shared" si="395"/>
        <v>885.04008</v>
      </c>
      <c r="BR113" s="1">
        <f t="shared" si="365"/>
        <v>26.0000000000003</v>
      </c>
      <c r="BS113" s="1">
        <f t="shared" si="366"/>
      </c>
      <c r="BT113" s="45">
        <f t="shared" si="367"/>
        <v>480.2</v>
      </c>
      <c r="BU113" s="5">
        <f t="shared" si="396"/>
        <v>839.58168</v>
      </c>
      <c r="BV113" s="1">
        <f t="shared" si="369"/>
        <v>28.0</v>
      </c>
      <c r="BW113" s="1">
        <f t="shared" si="370"/>
      </c>
      <c r="BX113" s="45">
        <f t="shared" si="371"/>
        <v>452.2</v>
      </c>
      <c r="BY113" s="5">
        <f t="shared" si="419"/>
        <v>790.62648</v>
      </c>
      <c r="BZ113" s="1">
        <f t="shared" si="373"/>
        <v>38.7999999999999</v>
      </c>
      <c r="CB113" s="45">
        <f t="shared" si="374"/>
        <v>413.4</v>
      </c>
      <c r="CC113" s="5">
        <f t="shared" si="420"/>
        <v>722.78856</v>
      </c>
      <c r="CD113" s="1">
        <f t="shared" si="376"/>
        <v>18.4</v>
      </c>
      <c r="CF113" s="45">
        <f t="shared" si="377"/>
        <v>395.0</v>
      </c>
      <c r="CG113" s="5">
        <f t="shared" si="421"/>
        <v>690.618</v>
      </c>
      <c r="CH113" s="1">
        <f t="shared" si="379"/>
        <v>35.9999999999999</v>
      </c>
      <c r="CJ113" s="45">
        <f t="shared" si="380"/>
        <v>359.0</v>
      </c>
      <c r="CK113" s="5">
        <f t="shared" si="422"/>
        <v>627.6756</v>
      </c>
    </row>
    <row r="114" ht="17.0">
      <c r="A114" s="41" t="s">
        <v>30</v>
      </c>
      <c r="B114" s="41" t="s">
        <v>228</v>
      </c>
      <c r="C114" s="41" t="s">
        <v>255</v>
      </c>
      <c r="D114" s="55" t="s">
        <v>256</v>
      </c>
      <c r="E114" s="41">
        <v>192.0</v>
      </c>
      <c r="F114" s="41">
        <v>108.0</v>
      </c>
      <c r="G114" s="41">
        <v>24.0</v>
      </c>
      <c r="H114" s="41">
        <v>24.0</v>
      </c>
      <c r="I114" s="41">
        <v>51.0</v>
      </c>
      <c r="J114" s="41">
        <v>60.0</v>
      </c>
      <c r="K114" s="41">
        <v>12.0</v>
      </c>
      <c r="L114" s="41">
        <v>13.0</v>
      </c>
      <c r="M114" s="41">
        <v>12.0</v>
      </c>
      <c r="N114" s="41">
        <v>36.0</v>
      </c>
      <c r="O114" s="41">
        <v>25.0</v>
      </c>
      <c r="P114" s="41">
        <v>12.0</v>
      </c>
      <c r="Q114" s="41">
        <v>24.0</v>
      </c>
      <c r="R114" s="41">
        <v>36.0</v>
      </c>
      <c r="S114" s="41">
        <v>0.0</v>
      </c>
      <c r="T114" s="41">
        <v>0.0</v>
      </c>
      <c r="U114" s="41">
        <v>0.0</v>
      </c>
      <c r="V114" s="41">
        <v>0.0</v>
      </c>
      <c r="W114" s="41">
        <v>0.0</v>
      </c>
      <c r="X114" s="41">
        <v>12.0</v>
      </c>
      <c r="Y114" s="41">
        <v>12.0</v>
      </c>
      <c r="Z114" s="41">
        <v>12.0</v>
      </c>
      <c r="AA114" s="41">
        <v>24.0</v>
      </c>
      <c r="AB114" s="41">
        <v>72.0</v>
      </c>
      <c r="AC114" s="41">
        <v>36.0</v>
      </c>
      <c r="AD114" s="41">
        <v>48.0</v>
      </c>
      <c r="AE114" s="41">
        <v>13.0</v>
      </c>
      <c r="AF114" s="41">
        <v>12.0</v>
      </c>
      <c r="AG114" s="41">
        <v>12.0</v>
      </c>
      <c r="AH114" s="41">
        <v>0.0</v>
      </c>
      <c r="AI114" s="41">
        <v>0.0</v>
      </c>
      <c r="AJ114" s="41">
        <v>0.0</v>
      </c>
      <c r="AK114" s="41">
        <v>0.0</v>
      </c>
      <c r="AL114" s="41">
        <v>24.0</v>
      </c>
      <c r="AM114" s="43">
        <v>12.0</v>
      </c>
      <c r="AN114" s="43">
        <v>36.0</v>
      </c>
      <c r="AO114" s="43">
        <v>36.0</v>
      </c>
      <c r="AP114" s="43">
        <v>12.0</v>
      </c>
      <c r="AQ114" s="43">
        <v>0.0</v>
      </c>
      <c r="AR114" s="43">
        <v>0.0</v>
      </c>
      <c r="AS114" s="43">
        <v>0.0</v>
      </c>
      <c r="AT114" s="4">
        <f t="shared" si="4"/>
        <v>120.0</v>
      </c>
      <c r="AU114" s="4">
        <f t="shared" si="5"/>
        <v>36.0</v>
      </c>
      <c r="AV114" s="4">
        <f t="shared" si="6"/>
        <v>39.6</v>
      </c>
      <c r="AW114" s="1">
        <f t="shared" si="413"/>
        <v>8.91428571428571</v>
      </c>
      <c r="AX114" s="1">
        <f t="shared" si="414"/>
        <v>11.142857142858</v>
      </c>
      <c r="AY114" s="1">
        <f t="shared" si="415"/>
        <v>12.0</v>
      </c>
      <c r="AZ114" s="1">
        <f t="shared" si="416"/>
        <v>16.6285714285714</v>
      </c>
      <c r="BA114" s="1">
        <f t="shared" si="417"/>
        <v>7.88571428571428</v>
      </c>
      <c r="BB114" s="1">
        <f t="shared" si="418"/>
        <v>15.4285714285714</v>
      </c>
      <c r="BC114" s="4">
        <f t="shared" si="13"/>
        <v>72.0000000000008</v>
      </c>
      <c r="BD114" s="3">
        <f>VLOOKUP(D114,FEB23SOH,2,false)</f>
        <v>126.0</v>
      </c>
      <c r="BE114" s="44">
        <f>VLOOKUP(D114,UNITVALUE,4,false)</f>
        <v>1.6983</v>
      </c>
      <c r="BF114" s="44">
        <f t="shared" si="16"/>
        <v>213.9858</v>
      </c>
      <c r="BI114" s="6">
        <f t="shared" si="359"/>
        <v>53.9999999999992</v>
      </c>
      <c r="BJ114" s="1">
        <f>VLOOKUP(C114,MOQ,3,FALSE())</f>
        <v>2016.0</v>
      </c>
      <c r="BM114" s="1">
        <f t="shared" si="361"/>
        <v>126.0</v>
      </c>
      <c r="BN114" s="1">
        <f t="shared" si="362"/>
        <v>8.91428571428571</v>
      </c>
      <c r="BP114" s="45">
        <f t="shared" si="363"/>
        <v>117.085714285714</v>
      </c>
      <c r="BQ114" s="5">
        <f t="shared" si="395"/>
        <v>198.846668571428</v>
      </c>
      <c r="BR114" s="1">
        <f t="shared" si="365"/>
        <v>11.142857142858</v>
      </c>
      <c r="BS114" s="1">
        <f t="shared" si="366"/>
      </c>
      <c r="BT114" s="45">
        <f t="shared" si="367"/>
        <v>105.942857142856</v>
      </c>
      <c r="BU114" s="5">
        <f t="shared" si="396"/>
        <v>179.922754285712</v>
      </c>
      <c r="BV114" s="1">
        <f t="shared" si="369"/>
        <v>12.0</v>
      </c>
      <c r="BW114" s="1">
        <f t="shared" si="370"/>
      </c>
      <c r="BX114" s="45">
        <f t="shared" si="371"/>
        <v>93.942857142856</v>
      </c>
      <c r="BY114" s="5">
        <f t="shared" si="419"/>
        <v>159.543154285712</v>
      </c>
      <c r="BZ114" s="1">
        <f t="shared" si="373"/>
        <v>16.6285714285714</v>
      </c>
      <c r="CB114" s="45">
        <f t="shared" si="374"/>
        <v>77.3142857142846</v>
      </c>
      <c r="CC114" s="5">
        <f t="shared" si="420"/>
        <v>131.30285142857</v>
      </c>
      <c r="CD114" s="1">
        <f t="shared" si="376"/>
        <v>7.88571428571428</v>
      </c>
      <c r="CF114" s="45">
        <f t="shared" si="377"/>
        <v>69.4285714285703</v>
      </c>
      <c r="CG114" s="5">
        <f t="shared" si="421"/>
        <v>117.91054285714</v>
      </c>
      <c r="CH114" s="1">
        <f t="shared" si="379"/>
        <v>15.4285714285714</v>
      </c>
      <c r="CJ114" s="45">
        <f t="shared" si="380"/>
        <v>53.9999999999989</v>
      </c>
      <c r="CK114" s="5">
        <f t="shared" si="422"/>
        <v>91.7081999999981</v>
      </c>
    </row>
    <row r="115" ht="17.0">
      <c r="A115" s="41" t="s">
        <v>30</v>
      </c>
      <c r="B115" s="10" t="s">
        <v>228</v>
      </c>
      <c r="C115" s="41" t="s">
        <v>257</v>
      </c>
      <c r="D115" s="55" t="s">
        <v>258</v>
      </c>
      <c r="E115" s="41">
        <v>44.0</v>
      </c>
      <c r="F115" s="41">
        <v>4.0</v>
      </c>
      <c r="G115" s="41">
        <v>21.0</v>
      </c>
      <c r="H115" s="41">
        <v>4.0</v>
      </c>
      <c r="I115" s="41">
        <v>14.0</v>
      </c>
      <c r="J115" s="41">
        <v>20.0</v>
      </c>
      <c r="K115" s="41">
        <v>12.0</v>
      </c>
      <c r="L115" s="41">
        <v>13.0</v>
      </c>
      <c r="M115" s="41">
        <v>12.0</v>
      </c>
      <c r="N115" s="41">
        <v>12.0</v>
      </c>
      <c r="O115" s="41">
        <v>8.0</v>
      </c>
      <c r="P115" s="41">
        <v>12.0</v>
      </c>
      <c r="Q115" s="41">
        <v>12.0</v>
      </c>
      <c r="R115" s="41">
        <v>28.0</v>
      </c>
      <c r="S115" s="41">
        <v>12.0</v>
      </c>
      <c r="T115" s="41">
        <v>16.0</v>
      </c>
      <c r="U115" s="41">
        <v>4.0</v>
      </c>
      <c r="V115" s="41">
        <v>12.0</v>
      </c>
      <c r="W115" s="41">
        <v>4.0</v>
      </c>
      <c r="X115" s="41">
        <v>8.0</v>
      </c>
      <c r="Y115" s="41">
        <v>0.0</v>
      </c>
      <c r="Z115" s="41">
        <v>6.0</v>
      </c>
      <c r="AA115" s="41">
        <v>20.0</v>
      </c>
      <c r="AB115" s="41">
        <v>12.0</v>
      </c>
      <c r="AC115" s="41">
        <v>8.0</v>
      </c>
      <c r="AD115" s="41">
        <v>20.0</v>
      </c>
      <c r="AE115" s="41">
        <v>4.0</v>
      </c>
      <c r="AF115" s="41">
        <v>4.0</v>
      </c>
      <c r="AG115" s="41">
        <v>11.0</v>
      </c>
      <c r="AH115" s="41">
        <v>0.0</v>
      </c>
      <c r="AI115" s="41">
        <v>0.0</v>
      </c>
      <c r="AJ115" s="41">
        <v>4.0</v>
      </c>
      <c r="AK115" s="41">
        <v>0.0</v>
      </c>
      <c r="AL115" s="41">
        <v>0.0</v>
      </c>
      <c r="AM115" s="43">
        <v>20.0</v>
      </c>
      <c r="AN115" s="43">
        <v>28.0</v>
      </c>
      <c r="AO115" s="43">
        <v>20.0</v>
      </c>
      <c r="AP115" s="43">
        <v>12.0</v>
      </c>
      <c r="AQ115" s="43">
        <v>4.0</v>
      </c>
      <c r="AR115" s="43">
        <v>0.0</v>
      </c>
      <c r="AS115" s="43">
        <v>11.0</v>
      </c>
      <c r="AT115" s="4">
        <f t="shared" si="4"/>
        <v>99.0</v>
      </c>
      <c r="AU115" s="4">
        <f t="shared" si="5"/>
        <v>24.0</v>
      </c>
      <c r="AV115" s="4">
        <f t="shared" si="6"/>
        <v>26.4</v>
      </c>
      <c r="AW115" s="1">
        <f t="shared" si="413"/>
        <v>7.42857142857142</v>
      </c>
      <c r="AX115" s="1">
        <f t="shared" si="414"/>
        <v>9.28571428571471</v>
      </c>
      <c r="AY115" s="1">
        <f t="shared" si="415"/>
        <v>10.0</v>
      </c>
      <c r="AZ115" s="1">
        <f t="shared" si="416"/>
        <v>13.8571428571428</v>
      </c>
      <c r="BA115" s="1">
        <f t="shared" si="417"/>
        <v>6.57142857142856</v>
      </c>
      <c r="BB115" s="1">
        <f t="shared" si="418"/>
        <v>12.8571428571428</v>
      </c>
      <c r="BC115" s="4">
        <f t="shared" si="13"/>
        <v>60.0000000000002</v>
      </c>
      <c r="BD115" s="3">
        <f>VLOOKUP(D115,FEB23SOH,2,false)</f>
        <v>54.0</v>
      </c>
      <c r="BE115" s="44">
        <f>VLOOKUP(D115,UNITVALUE,4,false)</f>
        <v>3.92</v>
      </c>
      <c r="BF115" s="44">
        <f t="shared" si="16"/>
        <v>211.68</v>
      </c>
      <c r="BI115" s="6">
        <f t="shared" si="359"/>
        <v>-6.00000000000018</v>
      </c>
      <c r="BJ115" s="1">
        <f>VLOOKUP(C115,MOQ,3,FALSE())</f>
        <v>1000.0</v>
      </c>
      <c r="BK115" s="53" t="s">
        <v>0</v>
      </c>
      <c r="BL115" s="8" t="s">
        <v>10</v>
      </c>
      <c r="BM115" s="1">
        <f t="shared" si="361"/>
        <v>54.0</v>
      </c>
      <c r="BN115" s="1">
        <f t="shared" si="362"/>
        <v>7.42857142857142</v>
      </c>
      <c r="BP115" s="45">
        <f t="shared" si="363"/>
        <v>46.5714285714286</v>
      </c>
      <c r="BQ115" s="5">
        <f t="shared" si="395"/>
        <v>182.56</v>
      </c>
      <c r="BR115" s="1">
        <f t="shared" si="365"/>
        <v>9.28571428571471</v>
      </c>
      <c r="BS115" s="1">
        <f t="shared" si="366"/>
      </c>
      <c r="BT115" s="45">
        <f t="shared" si="367"/>
        <v>37.2857142857139</v>
      </c>
      <c r="BU115" s="5">
        <f t="shared" si="396"/>
        <v>146.159999999999</v>
      </c>
      <c r="BV115" s="1">
        <f t="shared" si="369"/>
        <v>10.0</v>
      </c>
      <c r="BW115" s="1">
        <f t="shared" si="370"/>
      </c>
      <c r="BX115" s="45">
        <f t="shared" si="371"/>
        <v>27.2857142857139</v>
      </c>
      <c r="BY115" s="5">
        <f t="shared" si="419"/>
        <v>106.959999999998</v>
      </c>
      <c r="BZ115" s="1">
        <f t="shared" si="373"/>
        <v>13.8571428571428</v>
      </c>
      <c r="CB115" s="45">
        <f t="shared" si="374"/>
        <v>13.4285714285711</v>
      </c>
      <c r="CC115" s="5">
        <f t="shared" si="420"/>
        <v>52.6399999999987</v>
      </c>
      <c r="CD115" s="1">
        <f t="shared" si="376"/>
        <v>6.57142857142856</v>
      </c>
      <c r="CF115" s="45">
        <f t="shared" si="377"/>
        <v>6.85714285714254</v>
      </c>
      <c r="CG115" s="5">
        <f t="shared" si="421"/>
        <v>26.88</v>
      </c>
      <c r="CH115" s="1">
        <f t="shared" si="379"/>
        <v>12.8571428571428</v>
      </c>
      <c r="CJ115" s="45">
        <f t="shared" si="380"/>
        <v>-6.00000000000026</v>
      </c>
      <c r="CK115" s="5">
        <f t="shared" si="422"/>
        <v>-23.520000000001</v>
      </c>
    </row>
    <row r="116" ht="17.0">
      <c r="A116" s="41" t="s">
        <v>30</v>
      </c>
      <c r="B116" s="41" t="s">
        <v>228</v>
      </c>
      <c r="C116" s="41" t="s">
        <v>259</v>
      </c>
      <c r="D116" s="55" t="s">
        <v>260</v>
      </c>
      <c r="E116" s="41">
        <v>120.0</v>
      </c>
      <c r="F116" s="41">
        <v>168.0</v>
      </c>
      <c r="G116" s="41">
        <v>60.0</v>
      </c>
      <c r="H116" s="41">
        <v>12.0</v>
      </c>
      <c r="I116" s="41">
        <v>38.0</v>
      </c>
      <c r="J116" s="41">
        <v>12.0</v>
      </c>
      <c r="K116" s="41">
        <v>24.0</v>
      </c>
      <c r="L116" s="41">
        <v>1.0</v>
      </c>
      <c r="M116" s="41">
        <v>48.0</v>
      </c>
      <c r="N116" s="41">
        <v>12.0</v>
      </c>
      <c r="O116" s="41">
        <v>1.0</v>
      </c>
      <c r="P116" s="41">
        <v>24.0</v>
      </c>
      <c r="Q116" s="41">
        <v>61.0</v>
      </c>
      <c r="R116" s="41">
        <v>72.0</v>
      </c>
      <c r="S116" s="41">
        <v>3.0</v>
      </c>
      <c r="T116" s="41">
        <v>2.0</v>
      </c>
      <c r="U116" s="41">
        <v>36.0</v>
      </c>
      <c r="V116" s="41">
        <v>48.0</v>
      </c>
      <c r="W116" s="41">
        <v>61.0</v>
      </c>
      <c r="X116" s="41">
        <v>0.0</v>
      </c>
      <c r="Y116" s="41">
        <v>0.0</v>
      </c>
      <c r="Z116" s="41">
        <v>36.0</v>
      </c>
      <c r="AA116" s="41">
        <v>12.0</v>
      </c>
      <c r="AB116" s="41">
        <v>96.0</v>
      </c>
      <c r="AC116" s="41">
        <v>36.0</v>
      </c>
      <c r="AD116" s="41">
        <v>48.0</v>
      </c>
      <c r="AE116" s="41">
        <v>12.0</v>
      </c>
      <c r="AF116" s="41">
        <v>12.0</v>
      </c>
      <c r="AG116" s="41">
        <v>12.0</v>
      </c>
      <c r="AH116" s="41">
        <v>0.0</v>
      </c>
      <c r="AI116" s="41">
        <v>0.0</v>
      </c>
      <c r="AJ116" s="41">
        <v>0.0</v>
      </c>
      <c r="AK116" s="41">
        <v>0.0</v>
      </c>
      <c r="AL116" s="41">
        <v>0.0</v>
      </c>
      <c r="AM116" s="43">
        <v>12.0</v>
      </c>
      <c r="AN116" s="43">
        <v>36.0</v>
      </c>
      <c r="AO116" s="43">
        <v>48.0</v>
      </c>
      <c r="AP116" s="43">
        <v>120.0</v>
      </c>
      <c r="AQ116" s="43">
        <v>72.0</v>
      </c>
      <c r="AR116" s="43">
        <v>12.0</v>
      </c>
      <c r="AS116" s="43">
        <v>0.0</v>
      </c>
      <c r="AT116" s="4">
        <f t="shared" si="4"/>
        <v>300.0</v>
      </c>
      <c r="AU116" s="4">
        <f t="shared" si="5"/>
        <v>12.0</v>
      </c>
      <c r="AV116" s="4">
        <f t="shared" si="6"/>
        <v>13.2</v>
      </c>
      <c r="AW116" s="1">
        <f t="shared" si="413"/>
        <v>5.94285714285714</v>
      </c>
      <c r="AX116" s="1">
        <f t="shared" si="414"/>
        <v>7.42857142857186</v>
      </c>
      <c r="AY116" s="1">
        <f t="shared" si="415"/>
        <v>8.0</v>
      </c>
      <c r="AZ116" s="1">
        <f t="shared" si="416"/>
        <v>11.0857142857142</v>
      </c>
      <c r="BA116" s="1">
        <f t="shared" si="417"/>
        <v>5.25714285714285</v>
      </c>
      <c r="BB116" s="1">
        <f t="shared" si="418"/>
        <v>10.2857142857142</v>
      </c>
      <c r="BC116" s="4">
        <f t="shared" si="13"/>
        <v>48.0000000000002</v>
      </c>
      <c r="BD116" s="3">
        <f>VLOOKUP(D116,FEB23SOH,2,false)</f>
        <v>757.0</v>
      </c>
      <c r="BE116" s="44">
        <f>VLOOKUP(D116,UNITVALUE,4,false)</f>
        <v>2.1652</v>
      </c>
      <c r="BF116" s="44">
        <f t="shared" si="16"/>
        <v>1639.0564</v>
      </c>
      <c r="BI116" s="6">
        <f t="shared" si="359"/>
        <v>709.0</v>
      </c>
      <c r="BJ116" s="1">
        <f>VLOOKUP(C116,MOQ,3,FALSE())</f>
        <v>2016.0</v>
      </c>
      <c r="BM116" s="1">
        <f t="shared" si="361"/>
        <v>757.0</v>
      </c>
      <c r="BN116" s="1">
        <f t="shared" si="362"/>
        <v>5.94285714285714</v>
      </c>
      <c r="BP116" s="45">
        <f t="shared" si="363"/>
        <v>751.057142857142</v>
      </c>
      <c r="BQ116" s="5">
        <f t="shared" si="395"/>
        <v>1626.18892571428</v>
      </c>
      <c r="BR116" s="1">
        <f t="shared" si="365"/>
        <v>7.42857142857186</v>
      </c>
      <c r="BS116" s="1">
        <f t="shared" si="366"/>
      </c>
      <c r="BT116" s="45">
        <f t="shared" si="367"/>
        <v>743.62857142857</v>
      </c>
      <c r="BU116" s="5">
        <f t="shared" si="396"/>
        <v>1610.10458285713</v>
      </c>
      <c r="BV116" s="1">
        <f t="shared" si="369"/>
        <v>8.0</v>
      </c>
      <c r="BW116" s="1">
        <f t="shared" si="370"/>
      </c>
      <c r="BX116" s="45">
        <f t="shared" si="371"/>
        <v>735.62857142857</v>
      </c>
      <c r="BY116" s="5">
        <f t="shared" si="419"/>
        <v>1592.78298285713</v>
      </c>
      <c r="BZ116" s="1">
        <f t="shared" si="373"/>
        <v>11.0857142857142</v>
      </c>
      <c r="CB116" s="45">
        <f t="shared" si="374"/>
        <v>724.54285714286</v>
      </c>
      <c r="CC116" s="5">
        <f t="shared" si="420"/>
        <v>1568.78019428572</v>
      </c>
      <c r="CD116" s="1">
        <f t="shared" si="376"/>
        <v>5.25714285714285</v>
      </c>
      <c r="CF116" s="45">
        <f t="shared" si="377"/>
        <v>719.285714285717</v>
      </c>
      <c r="CG116" s="5">
        <f t="shared" si="421"/>
        <v>1557.39742857143</v>
      </c>
      <c r="CH116" s="1">
        <f t="shared" si="379"/>
        <v>10.2857142857142</v>
      </c>
      <c r="CJ116" s="45">
        <f t="shared" si="380"/>
        <v>709.000000000002</v>
      </c>
      <c r="CK116" s="5">
        <f t="shared" si="422"/>
        <v>1535.1268</v>
      </c>
    </row>
    <row r="117" ht="17.0">
      <c r="A117" s="41" t="s">
        <v>30</v>
      </c>
      <c r="B117" s="41" t="s">
        <v>228</v>
      </c>
      <c r="C117" s="41" t="s">
        <v>261</v>
      </c>
      <c r="D117" s="55" t="s">
        <v>262</v>
      </c>
      <c r="E117" s="41">
        <v>144.0</v>
      </c>
      <c r="F117" s="41">
        <v>75.0</v>
      </c>
      <c r="G117" s="41">
        <v>32.0</v>
      </c>
      <c r="H117" s="41">
        <v>4.0</v>
      </c>
      <c r="I117" s="41">
        <v>36.0</v>
      </c>
      <c r="J117" s="41">
        <v>9.0</v>
      </c>
      <c r="K117" s="41">
        <v>12.0</v>
      </c>
      <c r="L117" s="41">
        <v>13.0</v>
      </c>
      <c r="M117" s="41">
        <v>4.0</v>
      </c>
      <c r="N117" s="41">
        <v>20.0</v>
      </c>
      <c r="O117" s="41">
        <v>4.0</v>
      </c>
      <c r="P117" s="41">
        <v>20.0</v>
      </c>
      <c r="Q117" s="41">
        <v>44.0</v>
      </c>
      <c r="R117" s="41">
        <v>36.0</v>
      </c>
      <c r="S117" s="41">
        <v>21.0</v>
      </c>
      <c r="T117" s="41">
        <v>8.0</v>
      </c>
      <c r="U117" s="41">
        <v>0.0</v>
      </c>
      <c r="V117" s="41">
        <v>0.0</v>
      </c>
      <c r="W117" s="41">
        <v>4.0</v>
      </c>
      <c r="X117" s="41">
        <v>4.0</v>
      </c>
      <c r="Y117" s="41">
        <v>0.0</v>
      </c>
      <c r="Z117" s="41">
        <v>1.0</v>
      </c>
      <c r="AA117" s="41">
        <v>12.0</v>
      </c>
      <c r="AB117" s="41">
        <v>28.0</v>
      </c>
      <c r="AC117" s="41">
        <v>28.0</v>
      </c>
      <c r="AD117" s="41">
        <v>19.0</v>
      </c>
      <c r="AE117" s="41">
        <v>4.0</v>
      </c>
      <c r="AF117" s="41">
        <v>8.0</v>
      </c>
      <c r="AG117" s="41">
        <v>8.0</v>
      </c>
      <c r="AH117" s="41">
        <v>0.0</v>
      </c>
      <c r="AI117" s="41">
        <v>0.0</v>
      </c>
      <c r="AJ117" s="41">
        <v>0.0</v>
      </c>
      <c r="AK117" s="41">
        <v>0.0</v>
      </c>
      <c r="AL117" s="41">
        <v>4.0</v>
      </c>
      <c r="AM117" s="43">
        <v>0.0</v>
      </c>
      <c r="AN117" s="43">
        <v>20.0</v>
      </c>
      <c r="AO117" s="43">
        <v>0.0</v>
      </c>
      <c r="AP117" s="43">
        <v>37.0</v>
      </c>
      <c r="AQ117" s="43">
        <v>16.0</v>
      </c>
      <c r="AR117" s="43">
        <v>-4.0</v>
      </c>
      <c r="AS117" s="43">
        <v>10.0</v>
      </c>
      <c r="AT117" s="4">
        <f t="shared" si="4"/>
        <v>83.0</v>
      </c>
      <c r="AU117" s="4">
        <f t="shared" si="5"/>
        <v>4.0</v>
      </c>
      <c r="AV117" s="4">
        <f t="shared" si="6"/>
        <v>4.4</v>
      </c>
      <c r="AW117" s="1">
        <f t="shared" si="413"/>
        <v>4.95238095238094</v>
      </c>
      <c r="AX117" s="1">
        <f t="shared" si="414"/>
        <v>6.19047619047661</v>
      </c>
      <c r="AY117" s="1">
        <f t="shared" si="415"/>
        <v>6.66666666666667</v>
      </c>
      <c r="AZ117" s="1">
        <f t="shared" si="416"/>
        <v>9.23809523809522</v>
      </c>
      <c r="BA117" s="1">
        <f t="shared" si="417"/>
        <v>4.38095238095238</v>
      </c>
      <c r="BB117" s="1">
        <f t="shared" si="418"/>
        <v>8.57142857142856</v>
      </c>
      <c r="BC117" s="4">
        <f t="shared" si="13"/>
        <v>40.0000000000003</v>
      </c>
      <c r="BD117" s="3">
        <f>VLOOKUP(D117,FEB23SOH,2,false)</f>
        <v>877.0</v>
      </c>
      <c r="BE117" s="44">
        <f>VLOOKUP(D117,UNITVALUE,4,false)</f>
        <v>5.5676</v>
      </c>
      <c r="BF117" s="44">
        <f t="shared" si="16"/>
        <v>4882.7852</v>
      </c>
      <c r="BI117" s="6">
        <f t="shared" si="359"/>
        <v>837.0</v>
      </c>
      <c r="BJ117" s="1">
        <f>VLOOKUP(C117,MOQ,3,FALSE())</f>
        <v>1008.0</v>
      </c>
      <c r="BM117" s="1">
        <f t="shared" si="361"/>
        <v>877.0</v>
      </c>
      <c r="BN117" s="1">
        <f t="shared" si="362"/>
        <v>4.95238095238094</v>
      </c>
      <c r="BP117" s="45">
        <f t="shared" si="363"/>
        <v>872.047619047619</v>
      </c>
      <c r="BQ117" s="5">
        <f t="shared" si="395"/>
        <v>4855.21232380952</v>
      </c>
      <c r="BR117" s="1">
        <f t="shared" si="365"/>
        <v>6.19047619047661</v>
      </c>
      <c r="BS117" s="1">
        <f t="shared" si="366"/>
      </c>
      <c r="BT117" s="45">
        <f t="shared" si="367"/>
        <v>865.857142857142</v>
      </c>
      <c r="BU117" s="5">
        <f t="shared" si="396"/>
        <v>4820.74622857142</v>
      </c>
      <c r="BV117" s="1">
        <f t="shared" si="369"/>
        <v>6.66666666666667</v>
      </c>
      <c r="BW117" s="1">
        <f t="shared" si="370"/>
      </c>
      <c r="BX117" s="45">
        <f t="shared" si="371"/>
        <v>859.190476190475</v>
      </c>
      <c r="BY117" s="5">
        <f t="shared" si="419"/>
        <v>4783.62889523809</v>
      </c>
      <c r="BZ117" s="1">
        <f t="shared" si="373"/>
        <v>9.23809523809522</v>
      </c>
      <c r="CB117" s="45">
        <f t="shared" si="374"/>
        <v>849.95238095238</v>
      </c>
      <c r="CC117" s="5">
        <f t="shared" si="420"/>
        <v>4732.19487619047</v>
      </c>
      <c r="CD117" s="1">
        <f t="shared" si="376"/>
        <v>4.38095238095238</v>
      </c>
      <c r="CF117" s="45">
        <f t="shared" si="377"/>
        <v>845.571428571428</v>
      </c>
      <c r="CG117" s="5">
        <f t="shared" si="421"/>
        <v>4707.80348571428</v>
      </c>
      <c r="CH117" s="1">
        <f t="shared" si="379"/>
        <v>8.57142857142856</v>
      </c>
      <c r="CJ117" s="45">
        <f t="shared" si="380"/>
        <v>836.999999999999</v>
      </c>
      <c r="CK117" s="5">
        <f t="shared" si="422"/>
        <v>4660.08119999999</v>
      </c>
    </row>
    <row r="118" ht="17.0">
      <c r="A118" s="41" t="s">
        <v>30</v>
      </c>
      <c r="B118" s="41" t="s">
        <v>228</v>
      </c>
      <c r="C118" s="41" t="s">
        <v>263</v>
      </c>
      <c r="D118" s="55" t="s">
        <v>264</v>
      </c>
      <c r="E118" s="41">
        <v>0.0</v>
      </c>
      <c r="F118" s="41">
        <v>120.0</v>
      </c>
      <c r="G118" s="41">
        <v>48.0</v>
      </c>
      <c r="H118" s="41">
        <v>0.0</v>
      </c>
      <c r="I118" s="41">
        <v>38.0</v>
      </c>
      <c r="J118" s="41">
        <v>12.0</v>
      </c>
      <c r="K118" s="41">
        <v>0.0</v>
      </c>
      <c r="L118" s="41">
        <v>37.0</v>
      </c>
      <c r="M118" s="41">
        <v>36.0</v>
      </c>
      <c r="N118" s="41">
        <v>60.0</v>
      </c>
      <c r="O118" s="41">
        <v>61.0</v>
      </c>
      <c r="P118" s="41">
        <v>96.0</v>
      </c>
      <c r="Q118" s="41">
        <v>84.0</v>
      </c>
      <c r="R118" s="41">
        <v>132.0</v>
      </c>
      <c r="S118" s="41">
        <v>60.0</v>
      </c>
      <c r="T118" s="41">
        <v>0.0</v>
      </c>
      <c r="U118" s="41">
        <v>36.0</v>
      </c>
      <c r="V118" s="41">
        <v>48.0</v>
      </c>
      <c r="W118" s="41">
        <v>36.0</v>
      </c>
      <c r="X118" s="41">
        <v>0.0</v>
      </c>
      <c r="Y118" s="41">
        <v>36.0</v>
      </c>
      <c r="Z118" s="41">
        <v>24.0</v>
      </c>
      <c r="AA118" s="41">
        <v>24.0</v>
      </c>
      <c r="AB118" s="41">
        <v>36.0</v>
      </c>
      <c r="AC118" s="41">
        <v>84.0</v>
      </c>
      <c r="AD118" s="41">
        <v>96.0</v>
      </c>
      <c r="AE118" s="41">
        <v>12.0</v>
      </c>
      <c r="AF118" s="41">
        <v>24.0</v>
      </c>
      <c r="AG118" s="41">
        <v>24.0</v>
      </c>
      <c r="AH118" s="41">
        <v>24.0</v>
      </c>
      <c r="AI118" s="41">
        <v>0.0</v>
      </c>
      <c r="AJ118" s="41">
        <v>12.0</v>
      </c>
      <c r="AK118" s="41">
        <v>24.0</v>
      </c>
      <c r="AL118" s="41">
        <v>12.0</v>
      </c>
      <c r="AM118" s="43">
        <v>48.0</v>
      </c>
      <c r="AN118" s="43">
        <v>26.0</v>
      </c>
      <c r="AO118" s="43">
        <v>75.0</v>
      </c>
      <c r="AP118" s="43">
        <v>75.0</v>
      </c>
      <c r="AQ118" s="43">
        <v>41.0</v>
      </c>
      <c r="AR118" s="43">
        <v>2.0</v>
      </c>
      <c r="AS118" s="43">
        <v>58.0</v>
      </c>
      <c r="AT118" s="4">
        <f t="shared" si="4"/>
        <v>397.0</v>
      </c>
      <c r="AU118" s="4">
        <f t="shared" si="5"/>
        <v>120.0</v>
      </c>
      <c r="AV118" s="4">
        <f t="shared" si="6"/>
        <v>132.0</v>
      </c>
      <c r="AW118" s="1">
        <f t="shared" si="413"/>
        <v>19.3142857142858</v>
      </c>
      <c r="AX118" s="1">
        <f t="shared" si="414"/>
        <v>24.142857142858</v>
      </c>
      <c r="AY118" s="1">
        <f t="shared" si="415"/>
        <v>26.0</v>
      </c>
      <c r="AZ118" s="1">
        <f t="shared" si="416"/>
        <v>36.0285714285714</v>
      </c>
      <c r="BA118" s="1">
        <f t="shared" si="417"/>
        <v>17.0857142857142</v>
      </c>
      <c r="BB118" s="1">
        <f t="shared" si="418"/>
        <v>33.4285714285714</v>
      </c>
      <c r="BC118" s="4">
        <f t="shared" si="13"/>
        <v>156.0</v>
      </c>
      <c r="BD118" s="3">
        <f>VLOOKUP(D118,FEB23SOH,2,false)</f>
        <v>761.0</v>
      </c>
      <c r="BE118" s="44">
        <f>VLOOKUP(D118,UNITVALUE,4,false)</f>
        <v>1.4989</v>
      </c>
      <c r="BF118" s="44">
        <f t="shared" si="16"/>
        <v>1140.6629</v>
      </c>
      <c r="BI118" s="6">
        <f t="shared" si="359"/>
        <v>605.0</v>
      </c>
      <c r="BJ118" s="1">
        <f>VLOOKUP(C118,MOQ,3,FALSE())</f>
        <v>2016.0</v>
      </c>
      <c r="BM118" s="1">
        <f t="shared" si="361"/>
        <v>761.0</v>
      </c>
      <c r="BN118" s="1">
        <f t="shared" si="362"/>
        <v>19.3142857142858</v>
      </c>
      <c r="BP118" s="45">
        <f t="shared" si="363"/>
        <v>741.685714285714</v>
      </c>
      <c r="BQ118" s="5">
        <f t="shared" si="395"/>
        <v>1111.71271714286</v>
      </c>
      <c r="BR118" s="1">
        <f t="shared" si="365"/>
        <v>24.142857142858</v>
      </c>
      <c r="BS118" s="1">
        <f t="shared" si="366"/>
      </c>
      <c r="BT118" s="45">
        <f t="shared" si="367"/>
        <v>717.542857142856</v>
      </c>
      <c r="BU118" s="5">
        <f t="shared" si="396"/>
        <v>1075.52498857142</v>
      </c>
      <c r="BV118" s="1">
        <f t="shared" si="369"/>
        <v>26.0</v>
      </c>
      <c r="BW118" s="1">
        <f t="shared" si="370"/>
      </c>
      <c r="BX118" s="45">
        <f t="shared" si="371"/>
        <v>691.542857142856</v>
      </c>
      <c r="BY118" s="5">
        <f t="shared" si="419"/>
        <v>1036.55358857142</v>
      </c>
      <c r="BZ118" s="1">
        <f t="shared" si="373"/>
        <v>36.0285714285714</v>
      </c>
      <c r="CB118" s="45">
        <f t="shared" si="374"/>
        <v>655.514285714284</v>
      </c>
      <c r="CC118" s="5">
        <f t="shared" si="420"/>
        <v>982.55036285714</v>
      </c>
      <c r="CD118" s="1">
        <f t="shared" si="376"/>
        <v>17.0857142857142</v>
      </c>
      <c r="CF118" s="45">
        <f t="shared" si="377"/>
        <v>638.42857142857</v>
      </c>
      <c r="CG118" s="5">
        <f t="shared" si="421"/>
        <v>956.940585714283</v>
      </c>
      <c r="CH118" s="1">
        <f t="shared" si="379"/>
        <v>33.4285714285714</v>
      </c>
      <c r="CJ118" s="45">
        <f t="shared" si="380"/>
        <v>604.999999999999</v>
      </c>
      <c r="CK118" s="5">
        <f t="shared" si="422"/>
        <v>906.834499999999</v>
      </c>
    </row>
    <row r="119" ht="17.0">
      <c r="A119" s="41" t="s">
        <v>30</v>
      </c>
      <c r="B119" s="41" t="s">
        <v>228</v>
      </c>
      <c r="C119" s="41" t="s">
        <v>265</v>
      </c>
      <c r="D119" s="55" t="s">
        <v>266</v>
      </c>
      <c r="E119" s="41">
        <v>0.0</v>
      </c>
      <c r="F119" s="41">
        <v>0.0</v>
      </c>
      <c r="G119" s="41">
        <v>0.0</v>
      </c>
      <c r="H119" s="41">
        <v>0.0</v>
      </c>
      <c r="I119" s="41">
        <v>0.0</v>
      </c>
      <c r="J119" s="41">
        <v>0.0</v>
      </c>
      <c r="K119" s="41">
        <v>0.0</v>
      </c>
      <c r="L119" s="41">
        <v>0.0</v>
      </c>
      <c r="M119" s="41">
        <v>0.0</v>
      </c>
      <c r="N119" s="41">
        <v>0.0</v>
      </c>
      <c r="O119" s="41">
        <v>0.0</v>
      </c>
      <c r="P119" s="41">
        <v>48.0</v>
      </c>
      <c r="Q119" s="41">
        <v>133.0</v>
      </c>
      <c r="R119" s="41">
        <v>84.0</v>
      </c>
      <c r="S119" s="41">
        <v>48.0</v>
      </c>
      <c r="T119" s="41">
        <v>0.0</v>
      </c>
      <c r="U119" s="41">
        <v>12.0</v>
      </c>
      <c r="V119" s="41">
        <v>36.0</v>
      </c>
      <c r="W119" s="41">
        <v>24.0</v>
      </c>
      <c r="X119" s="41">
        <v>0.0</v>
      </c>
      <c r="Y119" s="41">
        <v>60.0</v>
      </c>
      <c r="Z119" s="41">
        <v>48.0</v>
      </c>
      <c r="AA119" s="41">
        <v>12.0</v>
      </c>
      <c r="AB119" s="41">
        <v>36.0</v>
      </c>
      <c r="AC119" s="41">
        <v>48.0</v>
      </c>
      <c r="AD119" s="41">
        <v>36.0</v>
      </c>
      <c r="AE119" s="41">
        <v>24.0</v>
      </c>
      <c r="AF119" s="41">
        <v>0.0</v>
      </c>
      <c r="AG119" s="41">
        <v>12.0</v>
      </c>
      <c r="AH119" s="41">
        <v>24.0</v>
      </c>
      <c r="AI119" s="41">
        <v>36.0</v>
      </c>
      <c r="AJ119" s="41">
        <v>24.0</v>
      </c>
      <c r="AK119" s="41">
        <v>12.0</v>
      </c>
      <c r="AL119" s="41">
        <v>24.0</v>
      </c>
      <c r="AM119" s="43">
        <v>48.0</v>
      </c>
      <c r="AN119" s="43">
        <v>48.0</v>
      </c>
      <c r="AO119" s="43">
        <v>36.0</v>
      </c>
      <c r="AP119" s="43">
        <v>49.0</v>
      </c>
      <c r="AQ119" s="43">
        <v>108.0</v>
      </c>
      <c r="AR119" s="43">
        <v>24.0</v>
      </c>
      <c r="AS119" s="43">
        <v>88.0</v>
      </c>
      <c r="AT119" s="4">
        <f t="shared" si="4"/>
        <v>521.0</v>
      </c>
      <c r="AU119" s="4">
        <f t="shared" si="5"/>
        <v>168.0</v>
      </c>
      <c r="AV119" s="4">
        <f t="shared" si="6"/>
        <v>184.8</v>
      </c>
      <c r="AW119" s="1">
        <f t="shared" si="413"/>
        <v>25.2571428571429</v>
      </c>
      <c r="AX119" s="1">
        <f t="shared" si="414"/>
        <v>31.571428571429</v>
      </c>
      <c r="AY119" s="1">
        <f t="shared" si="415"/>
        <v>34.0</v>
      </c>
      <c r="AZ119" s="1">
        <f t="shared" si="416"/>
        <v>47.1142857142857</v>
      </c>
      <c r="BA119" s="1">
        <f t="shared" si="417"/>
        <v>22.3428571428571</v>
      </c>
      <c r="BB119" s="1">
        <f t="shared" si="418"/>
        <v>43.7142857142857</v>
      </c>
      <c r="BC119" s="4">
        <f t="shared" si="13"/>
        <v>204.0</v>
      </c>
      <c r="BD119" s="3">
        <f>VLOOKUP(D119,FEB23SOH,2,false)</f>
        <v>250.0</v>
      </c>
      <c r="BE119" s="44">
        <f>VLOOKUP(D119,UNITVALUE,4,false)</f>
        <v>1.2634</v>
      </c>
      <c r="BF119" s="44">
        <f t="shared" si="16"/>
        <v>315.85</v>
      </c>
      <c r="BI119" s="6">
        <f t="shared" si="359"/>
        <v>46.0</v>
      </c>
      <c r="BJ119" s="1">
        <f>VLOOKUP(C119,MOQ,3,FALSE())</f>
        <v>2016.0</v>
      </c>
      <c r="BM119" s="1">
        <f t="shared" si="361"/>
        <v>250.0</v>
      </c>
      <c r="BN119" s="1">
        <f t="shared" si="362"/>
        <v>25.2571428571429</v>
      </c>
      <c r="BP119" s="45">
        <f t="shared" si="363"/>
        <v>224.742857142857</v>
      </c>
      <c r="BQ119" s="5">
        <f t="shared" si="395"/>
        <v>283.940125714286</v>
      </c>
      <c r="BR119" s="1">
        <f t="shared" si="365"/>
        <v>31.571428571429</v>
      </c>
      <c r="BS119" s="1">
        <f t="shared" si="366"/>
      </c>
      <c r="BT119" s="45">
        <f t="shared" si="367"/>
        <v>193.17142857142</v>
      </c>
      <c r="BU119" s="5">
        <f t="shared" si="396"/>
        <v>244.052782857132</v>
      </c>
      <c r="BV119" s="1">
        <f t="shared" si="369"/>
        <v>34.0</v>
      </c>
      <c r="BW119" s="1">
        <f t="shared" si="370"/>
      </c>
      <c r="BX119" s="45">
        <f t="shared" si="371"/>
        <v>159.17142857142</v>
      </c>
      <c r="BY119" s="5">
        <f t="shared" si="419"/>
        <v>201.097182857132</v>
      </c>
      <c r="BZ119" s="1">
        <f t="shared" si="373"/>
        <v>47.1142857142857</v>
      </c>
      <c r="CB119" s="45">
        <f t="shared" si="374"/>
        <v>112.057142857134</v>
      </c>
      <c r="CC119" s="5">
        <f t="shared" si="420"/>
        <v>141.572994285703</v>
      </c>
      <c r="CD119" s="1">
        <f t="shared" si="376"/>
        <v>22.3428571428571</v>
      </c>
      <c r="CF119" s="45">
        <f t="shared" si="377"/>
        <v>89.7142857142769</v>
      </c>
      <c r="CG119" s="5">
        <f t="shared" si="421"/>
        <v>113.345028571417</v>
      </c>
      <c r="CH119" s="1">
        <f t="shared" si="379"/>
        <v>43.7142857142857</v>
      </c>
      <c r="CJ119" s="45">
        <f t="shared" si="380"/>
        <v>45.9999999999911</v>
      </c>
      <c r="CK119" s="5">
        <f t="shared" si="422"/>
        <v>58.1163999999888</v>
      </c>
    </row>
    <row r="120" ht="17.0">
      <c r="A120" s="41" t="s">
        <v>30</v>
      </c>
      <c r="B120" s="41" t="s">
        <v>228</v>
      </c>
      <c r="C120" s="41" t="s">
        <v>267</v>
      </c>
      <c r="D120" s="55" t="s">
        <v>268</v>
      </c>
      <c r="E120" s="41">
        <v>0.0</v>
      </c>
      <c r="F120" s="41">
        <v>0.0</v>
      </c>
      <c r="G120" s="41">
        <v>0.0</v>
      </c>
      <c r="H120" s="41">
        <v>0.0</v>
      </c>
      <c r="I120" s="41">
        <v>0.0</v>
      </c>
      <c r="J120" s="41">
        <v>0.0</v>
      </c>
      <c r="K120" s="41">
        <v>0.0</v>
      </c>
      <c r="L120" s="41">
        <v>0.0</v>
      </c>
      <c r="M120" s="41">
        <v>0.0</v>
      </c>
      <c r="N120" s="41">
        <v>0.0</v>
      </c>
      <c r="O120" s="41">
        <v>0.0</v>
      </c>
      <c r="P120" s="41">
        <v>36.0</v>
      </c>
      <c r="Q120" s="41">
        <v>175.0</v>
      </c>
      <c r="R120" s="41">
        <v>114.0</v>
      </c>
      <c r="S120" s="41">
        <v>60.0</v>
      </c>
      <c r="T120" s="41">
        <v>30.0</v>
      </c>
      <c r="U120" s="41">
        <v>30.0</v>
      </c>
      <c r="V120" s="41">
        <v>29.0</v>
      </c>
      <c r="W120" s="41">
        <v>24.0</v>
      </c>
      <c r="X120" s="41">
        <v>36.0</v>
      </c>
      <c r="Y120" s="41">
        <v>6.0</v>
      </c>
      <c r="Z120" s="41">
        <v>38.0</v>
      </c>
      <c r="AA120" s="41">
        <v>15.0</v>
      </c>
      <c r="AB120" s="41">
        <v>78.0</v>
      </c>
      <c r="AC120" s="41">
        <v>53.0</v>
      </c>
      <c r="AD120" s="41">
        <v>36.0</v>
      </c>
      <c r="AE120" s="41">
        <v>18.0</v>
      </c>
      <c r="AF120" s="41">
        <v>18.0</v>
      </c>
      <c r="AG120" s="41">
        <v>30.0</v>
      </c>
      <c r="AH120" s="41">
        <v>0.0</v>
      </c>
      <c r="AI120" s="41">
        <v>18.0</v>
      </c>
      <c r="AJ120" s="41">
        <v>18.0</v>
      </c>
      <c r="AK120" s="41">
        <v>24.0</v>
      </c>
      <c r="AL120" s="41">
        <v>18.0</v>
      </c>
      <c r="AM120" s="43">
        <v>36.0</v>
      </c>
      <c r="AN120" s="43">
        <v>60.0</v>
      </c>
      <c r="AO120" s="43">
        <v>60.0</v>
      </c>
      <c r="AP120" s="43">
        <v>49.0</v>
      </c>
      <c r="AQ120" s="43">
        <v>54.0</v>
      </c>
      <c r="AR120" s="43">
        <v>36.0</v>
      </c>
      <c r="AS120" s="43">
        <v>43.0</v>
      </c>
      <c r="AT120" s="4">
        <f t="shared" si="4"/>
        <v>416.0</v>
      </c>
      <c r="AU120" s="4">
        <f t="shared" si="5"/>
        <v>114.0</v>
      </c>
      <c r="AV120" s="4">
        <f t="shared" si="6"/>
        <v>125.4</v>
      </c>
      <c r="AW120" s="1">
        <f t="shared" si="413"/>
        <v>18.5714285714285</v>
      </c>
      <c r="AX120" s="1">
        <f t="shared" si="414"/>
        <v>23.2142857142861</v>
      </c>
      <c r="AY120" s="1">
        <f t="shared" si="415"/>
        <v>25.0</v>
      </c>
      <c r="AZ120" s="1">
        <f t="shared" si="416"/>
        <v>34.6428571428571</v>
      </c>
      <c r="BA120" s="1">
        <f t="shared" si="417"/>
        <v>16.4285714285713</v>
      </c>
      <c r="BB120" s="1">
        <f t="shared" si="418"/>
        <v>32.142857142857</v>
      </c>
      <c r="BC120" s="4">
        <f t="shared" si="13"/>
        <v>150.0</v>
      </c>
      <c r="BD120" s="3">
        <f>VLOOKUP(D120,FEB23SOH,2,false)</f>
        <v>201.0</v>
      </c>
      <c r="BE120" s="44">
        <f>VLOOKUP(D120,UNITVALUE,4,false)</f>
        <v>1.6374</v>
      </c>
      <c r="BF120" s="44">
        <f t="shared" si="16"/>
        <v>329.1174</v>
      </c>
      <c r="BI120" s="6">
        <f t="shared" si="359"/>
        <v>51.0</v>
      </c>
      <c r="BJ120" s="1">
        <f>VLOOKUP(C120,MOQ,3,FALSE())</f>
        <v>2016.0</v>
      </c>
      <c r="BM120" s="1">
        <f t="shared" si="361"/>
        <v>201.0</v>
      </c>
      <c r="BN120" s="1">
        <f t="shared" si="362"/>
        <v>18.5714285714285</v>
      </c>
      <c r="BP120" s="45">
        <f t="shared" si="363"/>
        <v>182.428571428571</v>
      </c>
      <c r="BQ120" s="5">
        <f t="shared" si="395"/>
        <v>298.708542857142</v>
      </c>
      <c r="BR120" s="1">
        <f t="shared" si="365"/>
        <v>23.2142857142861</v>
      </c>
      <c r="BS120" s="1">
        <f t="shared" si="366"/>
      </c>
      <c r="BT120" s="45">
        <f t="shared" si="367"/>
        <v>159.214285714284</v>
      </c>
      <c r="BU120" s="5">
        <f t="shared" si="396"/>
        <v>260.69747142857</v>
      </c>
      <c r="BV120" s="1">
        <f t="shared" si="369"/>
        <v>25.0</v>
      </c>
      <c r="BW120" s="1">
        <f t="shared" si="370"/>
      </c>
      <c r="BX120" s="45">
        <f t="shared" si="371"/>
        <v>134.214285714284</v>
      </c>
      <c r="BY120" s="5">
        <f t="shared" si="419"/>
        <v>219.762471428569</v>
      </c>
      <c r="BZ120" s="1">
        <f t="shared" si="373"/>
        <v>34.6428571428571</v>
      </c>
      <c r="CB120" s="45">
        <f t="shared" si="374"/>
        <v>99.57142857142</v>
      </c>
      <c r="CC120" s="5">
        <f t="shared" si="420"/>
        <v>163.038257142843</v>
      </c>
      <c r="CD120" s="1">
        <f t="shared" si="376"/>
        <v>16.4285714285713</v>
      </c>
      <c r="CF120" s="45">
        <f t="shared" si="377"/>
        <v>83.1428571428487</v>
      </c>
      <c r="CG120" s="5">
        <f t="shared" si="421"/>
        <v>136.1381142857</v>
      </c>
      <c r="CH120" s="1">
        <f t="shared" si="379"/>
        <v>32.142857142857</v>
      </c>
      <c r="CJ120" s="45">
        <f t="shared" si="380"/>
        <v>50.9999999999917</v>
      </c>
      <c r="CK120" s="5">
        <f t="shared" si="422"/>
        <v>83.5073999999864</v>
      </c>
    </row>
    <row r="121" ht="17.0">
      <c r="A121" s="46" t="s">
        <v>30</v>
      </c>
      <c r="B121" s="46" t="s">
        <v>269</v>
      </c>
      <c r="C121" s="46" t="s">
        <v>270</v>
      </c>
      <c r="D121" s="47" t="s">
        <v>271</v>
      </c>
      <c r="E121" s="41">
        <v>0.0</v>
      </c>
      <c r="F121" s="41">
        <v>0.0</v>
      </c>
      <c r="G121" s="41">
        <v>0.0</v>
      </c>
      <c r="H121" s="41">
        <v>0.0</v>
      </c>
      <c r="I121" s="41">
        <v>0.0</v>
      </c>
      <c r="J121" s="41">
        <v>0.0</v>
      </c>
      <c r="K121" s="41">
        <v>0.0</v>
      </c>
      <c r="L121" s="41">
        <v>0.0</v>
      </c>
      <c r="M121" s="41">
        <v>0.0</v>
      </c>
      <c r="N121" s="41">
        <v>0.0</v>
      </c>
      <c r="O121" s="41">
        <v>0.0</v>
      </c>
      <c r="P121" s="41">
        <v>0.0</v>
      </c>
      <c r="Q121" s="41">
        <v>0.0</v>
      </c>
      <c r="R121" s="41">
        <v>0.0</v>
      </c>
      <c r="S121" s="41">
        <v>0.0</v>
      </c>
      <c r="T121" s="41">
        <v>0.0</v>
      </c>
      <c r="U121" s="41">
        <v>0.0</v>
      </c>
      <c r="V121" s="41">
        <v>0.0</v>
      </c>
      <c r="W121" s="41">
        <v>0.0</v>
      </c>
      <c r="X121" s="41">
        <v>0.0</v>
      </c>
      <c r="Y121" s="41">
        <v>0.0</v>
      </c>
      <c r="Z121" s="41">
        <v>0.0</v>
      </c>
      <c r="AA121" s="41">
        <v>4.0</v>
      </c>
      <c r="AB121" s="41">
        <v>14.0</v>
      </c>
      <c r="AC121" s="41">
        <v>7.0</v>
      </c>
      <c r="AD121" s="41">
        <v>3.0</v>
      </c>
      <c r="AE121" s="41">
        <v>0.0</v>
      </c>
      <c r="AF121" s="41">
        <v>0.0</v>
      </c>
      <c r="AG121" s="41">
        <v>0.0</v>
      </c>
      <c r="AH121" s="41">
        <v>1.0</v>
      </c>
      <c r="AI121" s="41">
        <v>0.0</v>
      </c>
      <c r="AJ121" s="41">
        <v>0.0</v>
      </c>
      <c r="AK121" s="41">
        <v>0.0</v>
      </c>
      <c r="AL121" s="41">
        <v>2.0</v>
      </c>
      <c r="AM121" s="43">
        <v>0.0</v>
      </c>
      <c r="AN121" s="43">
        <v>7.0</v>
      </c>
      <c r="AO121" s="43">
        <v>3.0</v>
      </c>
      <c r="AP121" s="43">
        <v>2.0</v>
      </c>
      <c r="AQ121" s="43">
        <v>1.0</v>
      </c>
      <c r="AR121" s="43">
        <v>0.0</v>
      </c>
      <c r="AS121" s="43">
        <v>0.0</v>
      </c>
      <c r="AT121" s="4">
        <f t="shared" si="4"/>
        <v>16.0</v>
      </c>
      <c r="AU121" s="4">
        <f t="shared" si="5"/>
        <v>3.0</v>
      </c>
      <c r="AV121" s="4">
        <f t="shared" si="6"/>
        <v>3.3</v>
      </c>
      <c r="AW121" s="48">
        <f>AV121*$AW$4/$AV$4</f>
        <v>0.371428571428571</v>
      </c>
      <c r="AX121" s="48">
        <f>AV121*$AX$4/$AV$4</f>
        <v>0.464285714285714</v>
      </c>
      <c r="AY121" s="48">
        <f>AV121*$AY$4/$AV$4</f>
        <v>0.5</v>
      </c>
      <c r="AZ121" s="48">
        <f>AV121*$AZ$4/$AV$4</f>
        <v>0.692857142857142</v>
      </c>
      <c r="BA121" s="48">
        <f>AV121*$BA$4/$AV$4</f>
        <v>0.328571428571429</v>
      </c>
      <c r="BB121" s="48">
        <f>AV121*$BB$4/$AV$4</f>
        <v>0.642857142857142</v>
      </c>
      <c r="BC121" s="4">
        <f t="shared" si="13"/>
        <v>3.0</v>
      </c>
      <c r="BD121" s="3">
        <f>VLOOKUP(D121,FEB23SOH,2,false)</f>
        <v>1.0</v>
      </c>
      <c r="BE121" s="44">
        <f>VLOOKUP(D121,UNITVALUE,4,false)</f>
        <v>312.68</v>
      </c>
      <c r="BF121" s="44">
        <f t="shared" si="16"/>
        <v>312.68</v>
      </c>
      <c r="BK121" s="50"/>
      <c r="BP121" s="45"/>
      <c r="BT121" s="45"/>
      <c r="BU121" s="5"/>
      <c r="BX121" s="45"/>
      <c r="BY121" s="5"/>
      <c r="CB121" s="45"/>
      <c r="CC121" s="5"/>
      <c r="CF121" s="45"/>
      <c r="CG121" s="5"/>
      <c r="CJ121" s="45"/>
      <c r="CK121" s="5"/>
      <c r="CL121" s="49"/>
      <c r="CM121" s="49"/>
      <c r="CN121" s="49"/>
      <c r="CO121" s="49"/>
      <c r="CP121" s="49"/>
      <c r="CQ121" s="49"/>
      <c r="CR121" s="49"/>
      <c r="CS121" s="49"/>
      <c r="CT121" s="49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  <c r="DK121" s="49"/>
    </row>
    <row r="122" ht="17.0">
      <c r="A122" s="41" t="s">
        <v>30</v>
      </c>
      <c r="B122" s="10" t="s">
        <v>272</v>
      </c>
      <c r="C122" s="41" t="s">
        <v>273</v>
      </c>
      <c r="D122" s="55" t="s">
        <v>274</v>
      </c>
      <c r="E122" s="41">
        <v>0.0</v>
      </c>
      <c r="F122" s="41">
        <v>240.0</v>
      </c>
      <c r="G122" s="41">
        <v>72.0</v>
      </c>
      <c r="H122" s="41">
        <v>48.0</v>
      </c>
      <c r="I122" s="41">
        <v>102.0</v>
      </c>
      <c r="J122" s="41">
        <v>121.0</v>
      </c>
      <c r="K122" s="41">
        <v>114.0</v>
      </c>
      <c r="L122" s="41">
        <v>61.0</v>
      </c>
      <c r="M122" s="41">
        <v>66.0</v>
      </c>
      <c r="N122" s="41">
        <v>54.0</v>
      </c>
      <c r="O122" s="41">
        <v>90.0</v>
      </c>
      <c r="P122" s="41">
        <v>84.0</v>
      </c>
      <c r="Q122" s="41">
        <v>179.0</v>
      </c>
      <c r="R122" s="41">
        <v>120.0</v>
      </c>
      <c r="S122" s="41">
        <v>95.0</v>
      </c>
      <c r="T122" s="41">
        <v>88.0</v>
      </c>
      <c r="U122" s="41">
        <v>97.0</v>
      </c>
      <c r="V122" s="41">
        <v>114.0</v>
      </c>
      <c r="W122" s="41">
        <v>83.0</v>
      </c>
      <c r="X122" s="41">
        <v>85.0</v>
      </c>
      <c r="Y122" s="41">
        <v>62.0</v>
      </c>
      <c r="Z122" s="41">
        <v>30.0</v>
      </c>
      <c r="AA122" s="41">
        <v>72.0</v>
      </c>
      <c r="AB122" s="41">
        <v>60.0</v>
      </c>
      <c r="AC122" s="41">
        <v>75.0</v>
      </c>
      <c r="AD122" s="41">
        <v>39.0</v>
      </c>
      <c r="AE122" s="41">
        <v>90.0</v>
      </c>
      <c r="AF122" s="41">
        <v>66.0</v>
      </c>
      <c r="AG122" s="41">
        <v>75.0</v>
      </c>
      <c r="AH122" s="41">
        <v>42.0</v>
      </c>
      <c r="AI122" s="41">
        <v>15.0</v>
      </c>
      <c r="AJ122" s="41">
        <v>27.0</v>
      </c>
      <c r="AK122" s="41">
        <v>27.0</v>
      </c>
      <c r="AL122" s="41">
        <v>30.0</v>
      </c>
      <c r="AM122" s="43">
        <v>24.0</v>
      </c>
      <c r="AN122" s="43">
        <v>33.0</v>
      </c>
      <c r="AO122" s="43">
        <v>102.0</v>
      </c>
      <c r="AP122" s="43">
        <v>29.0</v>
      </c>
      <c r="AQ122" s="43">
        <v>10.0</v>
      </c>
      <c r="AR122" s="43">
        <v>38.0</v>
      </c>
      <c r="AS122" s="43">
        <v>37.0</v>
      </c>
      <c r="AT122" s="4">
        <f t="shared" si="4"/>
        <v>414.0</v>
      </c>
      <c r="AU122" s="4">
        <f t="shared" si="5"/>
        <v>165.0</v>
      </c>
      <c r="AV122" s="4">
        <f t="shared" si="6"/>
        <v>181.5</v>
      </c>
      <c r="AW122" s="1">
        <f t="shared" ref="AW122:AW126" si="429">AV122*$AW$4/$AV$4+2*$AW$129</f>
        <v>21.9142857142857</v>
      </c>
      <c r="AX122" s="1">
        <f t="shared" ref="AX122:AX126" si="430">AV122*$AX$4/$AV$4+2*$AX$129</f>
        <v>27.392857142857</v>
      </c>
      <c r="AY122" s="1">
        <f t="shared" ref="AY122:AY126" si="431">AV122*$AY$4/$AV$4+2*$AY$129</f>
        <v>29.5</v>
      </c>
      <c r="AZ122" s="1">
        <f t="shared" ref="AZ122:AZ126" si="432">AV122*$AZ$4/$AV$4+2*$AZ$129</f>
        <v>40.8785714285714</v>
      </c>
      <c r="BA122" s="1">
        <f t="shared" ref="BA122:BA126" si="433">AV122*$BA$4/$AV$4+2*$BA$129</f>
        <v>19.3857142857147</v>
      </c>
      <c r="BB122" s="1">
        <f t="shared" ref="BB122:BB126" si="434">AV122*$BB$4/$AV$4+2*$BB$129</f>
        <v>37.9285714285714</v>
      </c>
      <c r="BC122" s="4">
        <f t="shared" si="13"/>
        <v>177.0</v>
      </c>
      <c r="BD122" s="3">
        <f>VLOOKUP(D122,FEB23SOH,2,false)</f>
        <v>14.0</v>
      </c>
      <c r="BE122" s="44">
        <f>VLOOKUP(D122,UNITVALUE,4,false)</f>
        <v>1.5571</v>
      </c>
      <c r="BF122" s="44">
        <f t="shared" si="16"/>
        <v>21.7994</v>
      </c>
      <c r="BI122" s="6">
        <f t="shared" ref="BI122:BI128" si="435">BD122+BG122+BH122-BC122</f>
        <v>-163.0</v>
      </c>
      <c r="BJ122" s="1">
        <f>VLOOKUP(C122,MOQ,3,FALSE())</f>
        <v>1000.0</v>
      </c>
      <c r="BK122" s="53" t="s">
        <v>0</v>
      </c>
      <c r="BL122" s="8" t="s">
        <v>5</v>
      </c>
      <c r="BM122" s="1">
        <f t="shared" ref="BM122:BM128" si="437">BD122</f>
        <v>14.0</v>
      </c>
      <c r="BN122" s="1">
        <f t="shared" ref="BN122:BN128" si="438">AW122</f>
        <v>21.9142857142857</v>
      </c>
      <c r="BP122" s="45">
        <f t="shared" ref="BP122:BP128" si="439">BM122+BO122-BN122</f>
        <v>-7.9142857142857</v>
      </c>
      <c r="BQ122" s="5">
        <f t="shared" ref="BQ122:BQ123" si="440">BP122*BE122</f>
        <v>-12.3233342857142</v>
      </c>
      <c r="BR122" s="1">
        <f t="shared" ref="BR122:BR128" si="441">AX122</f>
        <v>27.392857142857</v>
      </c>
      <c r="BS122" s="1">
        <f t="shared" ref="BS122:BS128" si="442">BG122</f>
      </c>
      <c r="BT122" s="45">
        <f t="shared" ref="BT122:BT128" si="443">BP122+BS122-BR122</f>
        <v>-35.3071428571427</v>
      </c>
      <c r="BU122" s="5"/>
      <c r="BV122" s="1">
        <f t="shared" ref="BV122:BV128" si="444">AY122</f>
        <v>29.5</v>
      </c>
      <c r="BW122" s="1">
        <f t="shared" ref="BW122:BW128" si="445">BG122</f>
      </c>
      <c r="BX122" s="45">
        <f t="shared" ref="BX122:BX128" si="446">BT122+BW122-BV122</f>
        <v>-64.8071428571427</v>
      </c>
      <c r="BY122" s="5"/>
      <c r="BZ122" s="1">
        <f t="shared" ref="BZ122:BZ128" si="447">AZ122</f>
        <v>40.8785714285714</v>
      </c>
      <c r="CB122" s="45">
        <f t="shared" ref="CB122:CB128" si="448">BX122+CA122-BZ122</f>
        <v>-105.685714285714</v>
      </c>
      <c r="CC122" s="5"/>
      <c r="CD122" s="1">
        <f t="shared" ref="CD122:CD128" si="449">BA122</f>
        <v>19.3857142857147</v>
      </c>
      <c r="CF122" s="45">
        <f t="shared" ref="CF122:CF128" si="450">CB122+CE122-CD122</f>
        <v>-125.071428571427</v>
      </c>
      <c r="CG122" s="5"/>
      <c r="CH122" s="1">
        <f t="shared" ref="CH122:CH128" si="451">BB122</f>
        <v>37.9285714285714</v>
      </c>
      <c r="CJ122" s="45">
        <f t="shared" ref="CJ122:CJ128" si="452">CF122+CI122-CH122</f>
        <v>-162.999999999998</v>
      </c>
      <c r="CK122" s="5"/>
    </row>
    <row r="123" ht="17.0">
      <c r="A123" s="41" t="s">
        <v>30</v>
      </c>
      <c r="B123" s="41" t="s">
        <v>272</v>
      </c>
      <c r="C123" s="41" t="s">
        <v>275</v>
      </c>
      <c r="D123" s="55" t="s">
        <v>276</v>
      </c>
      <c r="E123" s="41">
        <v>0.0</v>
      </c>
      <c r="F123" s="41">
        <v>306.0</v>
      </c>
      <c r="G123" s="41">
        <v>78.0</v>
      </c>
      <c r="H123" s="41">
        <v>48.0</v>
      </c>
      <c r="I123" s="41">
        <v>174.0</v>
      </c>
      <c r="J123" s="41">
        <v>168.0</v>
      </c>
      <c r="K123" s="41">
        <v>114.0</v>
      </c>
      <c r="L123" s="41">
        <v>0.0</v>
      </c>
      <c r="M123" s="41">
        <v>0.0</v>
      </c>
      <c r="N123" s="41">
        <v>0.0</v>
      </c>
      <c r="O123" s="41">
        <v>114.0</v>
      </c>
      <c r="P123" s="41">
        <v>150.0</v>
      </c>
      <c r="Q123" s="41">
        <v>229.0</v>
      </c>
      <c r="R123" s="41">
        <v>209.0</v>
      </c>
      <c r="S123" s="41">
        <v>115.0</v>
      </c>
      <c r="T123" s="41">
        <v>106.0</v>
      </c>
      <c r="U123" s="41">
        <v>40.0</v>
      </c>
      <c r="V123" s="41">
        <v>4.0</v>
      </c>
      <c r="W123" s="41">
        <v>1.0</v>
      </c>
      <c r="X123" s="41">
        <v>91.0</v>
      </c>
      <c r="Y123" s="41">
        <v>75.0</v>
      </c>
      <c r="Z123" s="41">
        <v>81.0</v>
      </c>
      <c r="AA123" s="41">
        <v>96.0</v>
      </c>
      <c r="AB123" s="41">
        <v>144.0</v>
      </c>
      <c r="AC123" s="41">
        <v>165.0</v>
      </c>
      <c r="AD123" s="41">
        <v>120.0</v>
      </c>
      <c r="AE123" s="41">
        <v>126.0</v>
      </c>
      <c r="AF123" s="41">
        <v>80.0</v>
      </c>
      <c r="AG123" s="41">
        <v>2.0</v>
      </c>
      <c r="AH123" s="41">
        <v>57.0</v>
      </c>
      <c r="AI123" s="41">
        <v>108.0</v>
      </c>
      <c r="AJ123" s="41">
        <v>75.0</v>
      </c>
      <c r="AK123" s="41">
        <v>69.0</v>
      </c>
      <c r="AL123" s="41">
        <v>69.0</v>
      </c>
      <c r="AM123" s="43">
        <v>60.0</v>
      </c>
      <c r="AN123" s="43">
        <v>126.0</v>
      </c>
      <c r="AO123" s="43">
        <v>234.0</v>
      </c>
      <c r="AP123" s="43">
        <v>150.0</v>
      </c>
      <c r="AQ123" s="43">
        <v>30.0</v>
      </c>
      <c r="AR123" s="43">
        <v>0.0</v>
      </c>
      <c r="AS123" s="43">
        <v>6.0</v>
      </c>
      <c r="AT123" s="4">
        <f t="shared" si="4"/>
        <v>984.0</v>
      </c>
      <c r="AU123" s="4">
        <f t="shared" si="5"/>
        <v>438.0</v>
      </c>
      <c r="AV123" s="4">
        <f t="shared" si="6"/>
        <v>481.8</v>
      </c>
      <c r="AW123" s="1">
        <f t="shared" si="429"/>
        <v>55.7142857142857</v>
      </c>
      <c r="AX123" s="1">
        <f t="shared" si="430"/>
        <v>69.642857142857</v>
      </c>
      <c r="AY123" s="1">
        <f t="shared" si="431"/>
        <v>75.0</v>
      </c>
      <c r="AZ123" s="1">
        <f t="shared" si="432"/>
        <v>103.92857142857</v>
      </c>
      <c r="BA123" s="1">
        <f t="shared" si="433"/>
        <v>49.2857142857147</v>
      </c>
      <c r="BB123" s="1">
        <f t="shared" si="434"/>
        <v>96.4285714285714</v>
      </c>
      <c r="BC123" s="4">
        <f t="shared" si="13"/>
        <v>450.0</v>
      </c>
      <c r="BD123" s="3">
        <f>VLOOKUP(D123,FEB23SOH,2,false)</f>
        <v>0.0</v>
      </c>
      <c r="BE123" s="44">
        <f>VLOOKUP(D123,UNITVALUE,4,false)</f>
      </c>
      <c r="BF123" s="44">
        <f t="shared" si="16"/>
        <v>0.0</v>
      </c>
      <c r="BH123" s="6">
        <f>VLOOKUP(D123,AFTERCNY,2,FALSE())</f>
        <v>1002.0</v>
      </c>
      <c r="BI123" s="6">
        <f t="shared" si="435"/>
        <v>552.0</v>
      </c>
      <c r="BJ123" s="1">
        <f>VLOOKUP(C123,MOQ,3,FALSE())</f>
        <v>1000.0</v>
      </c>
      <c r="BM123" s="1">
        <f t="shared" si="437"/>
        <v>0.0</v>
      </c>
      <c r="BN123" s="1">
        <f t="shared" si="438"/>
        <v>55.7142857142857</v>
      </c>
      <c r="BP123" s="45">
        <f t="shared" si="439"/>
        <v>-55.7142857142857</v>
      </c>
      <c r="BQ123" s="5">
        <f t="shared" si="440"/>
        <v>0.0</v>
      </c>
      <c r="BR123" s="1">
        <f t="shared" si="441"/>
        <v>69.642857142857</v>
      </c>
      <c r="BS123" s="1">
        <f t="shared" si="442"/>
      </c>
      <c r="BT123" s="45">
        <f t="shared" si="443"/>
        <v>-125.357142857142</v>
      </c>
      <c r="BU123" s="5"/>
      <c r="BV123" s="1">
        <f t="shared" si="444"/>
        <v>75.0</v>
      </c>
      <c r="BW123" s="1">
        <f t="shared" si="445"/>
      </c>
      <c r="BX123" s="45">
        <f t="shared" si="446"/>
        <v>-200.357142857141</v>
      </c>
      <c r="BY123" s="5"/>
      <c r="BZ123" s="1">
        <f t="shared" si="447"/>
        <v>103.92857142857</v>
      </c>
      <c r="CB123" s="45">
        <f t="shared" si="448"/>
        <v>-304.285714285711</v>
      </c>
      <c r="CC123" s="5"/>
      <c r="CD123" s="1">
        <f t="shared" si="449"/>
        <v>49.2857142857147</v>
      </c>
      <c r="CF123" s="45">
        <f t="shared" si="450"/>
        <v>-353.57142857142</v>
      </c>
      <c r="CG123" s="5"/>
      <c r="CH123" s="1">
        <f t="shared" si="451"/>
        <v>96.4285714285714</v>
      </c>
      <c r="CJ123" s="45">
        <f t="shared" si="452"/>
        <v>-449.999999999991</v>
      </c>
      <c r="CK123" s="5"/>
    </row>
    <row r="124" ht="17.0">
      <c r="A124" s="41" t="s">
        <v>30</v>
      </c>
      <c r="B124" s="10" t="s">
        <v>272</v>
      </c>
      <c r="C124" s="41" t="s">
        <v>277</v>
      </c>
      <c r="D124" s="55" t="s">
        <v>278</v>
      </c>
      <c r="E124" s="41">
        <v>0.0</v>
      </c>
      <c r="F124" s="41">
        <v>222.0</v>
      </c>
      <c r="G124" s="41">
        <v>18.0</v>
      </c>
      <c r="H124" s="41">
        <v>30.0</v>
      </c>
      <c r="I124" s="41">
        <v>96.0</v>
      </c>
      <c r="J124" s="41">
        <v>66.0</v>
      </c>
      <c r="K124" s="41">
        <v>84.0</v>
      </c>
      <c r="L124" s="41">
        <v>37.0</v>
      </c>
      <c r="M124" s="41">
        <v>30.0</v>
      </c>
      <c r="N124" s="41">
        <v>84.0</v>
      </c>
      <c r="O124" s="41">
        <v>42.0</v>
      </c>
      <c r="P124" s="41">
        <v>84.0</v>
      </c>
      <c r="Q124" s="41">
        <v>55.0</v>
      </c>
      <c r="R124" s="41">
        <v>6.0</v>
      </c>
      <c r="S124" s="41">
        <v>0.0</v>
      </c>
      <c r="T124" s="41">
        <v>0.0</v>
      </c>
      <c r="U124" s="41">
        <v>1.0</v>
      </c>
      <c r="V124" s="41">
        <v>0.0</v>
      </c>
      <c r="W124" s="41">
        <v>0.0</v>
      </c>
      <c r="X124" s="41">
        <v>39.0</v>
      </c>
      <c r="Y124" s="41">
        <v>21.0</v>
      </c>
      <c r="Z124" s="41">
        <v>48.0</v>
      </c>
      <c r="AA124" s="41">
        <v>48.0</v>
      </c>
      <c r="AB124" s="41">
        <v>81.0</v>
      </c>
      <c r="AC124" s="41">
        <v>66.0</v>
      </c>
      <c r="AD124" s="41">
        <v>84.0</v>
      </c>
      <c r="AE124" s="41">
        <v>54.0</v>
      </c>
      <c r="AF124" s="41">
        <v>59.0</v>
      </c>
      <c r="AG124" s="41">
        <v>93.0</v>
      </c>
      <c r="AH124" s="41">
        <v>75.0</v>
      </c>
      <c r="AI124" s="41">
        <v>30.0</v>
      </c>
      <c r="AJ124" s="41">
        <v>24.0</v>
      </c>
      <c r="AK124" s="41">
        <v>39.0</v>
      </c>
      <c r="AL124" s="41">
        <v>36.0</v>
      </c>
      <c r="AM124" s="43">
        <v>27.0</v>
      </c>
      <c r="AN124" s="43">
        <v>72.0</v>
      </c>
      <c r="AO124" s="43">
        <v>36.0</v>
      </c>
      <c r="AP124" s="43">
        <v>18.0</v>
      </c>
      <c r="AQ124" s="43">
        <v>0.0</v>
      </c>
      <c r="AR124" s="43">
        <v>0.0</v>
      </c>
      <c r="AS124" s="43">
        <v>0.0</v>
      </c>
      <c r="AT124" s="4">
        <f t="shared" si="4"/>
        <v>357.0</v>
      </c>
      <c r="AU124" s="4">
        <f t="shared" si="5"/>
        <v>231.0</v>
      </c>
      <c r="AV124" s="4">
        <f t="shared" si="6"/>
        <v>254.1</v>
      </c>
      <c r="AW124" s="1">
        <f t="shared" si="429"/>
        <v>30.0857142857142</v>
      </c>
      <c r="AX124" s="1">
        <f t="shared" si="430"/>
        <v>37.6071428571429</v>
      </c>
      <c r="AY124" s="1">
        <f t="shared" si="431"/>
        <v>40.5</v>
      </c>
      <c r="AZ124" s="1">
        <f t="shared" si="432"/>
        <v>56.1214285714286</v>
      </c>
      <c r="BA124" s="1">
        <f t="shared" si="433"/>
        <v>26.6142857142857</v>
      </c>
      <c r="BB124" s="1">
        <f t="shared" si="434"/>
        <v>52.0714285714286</v>
      </c>
      <c r="BC124" s="4">
        <f t="shared" si="13"/>
        <v>243.0</v>
      </c>
      <c r="BD124" s="3">
        <f>VLOOKUP(D124,FEB23SOH,2,false)</f>
        <v>0.0</v>
      </c>
      <c r="BE124" s="44">
        <f>VLOOKUP(D124,UNITVALUE,4,false)</f>
      </c>
      <c r="BF124" s="44">
        <f t="shared" si="16"/>
        <v>0.0</v>
      </c>
      <c r="BI124" s="6">
        <f t="shared" si="435"/>
        <v>-243.0</v>
      </c>
      <c r="BJ124" s="1">
        <f>VLOOKUP(C124,MOQ,3,FALSE())</f>
        <v>1000.0</v>
      </c>
      <c r="BK124" s="53" t="s">
        <v>0</v>
      </c>
      <c r="BL124" s="8" t="s">
        <v>68</v>
      </c>
      <c r="BM124" s="1">
        <f t="shared" si="437"/>
        <v>0.0</v>
      </c>
      <c r="BN124" s="1">
        <f t="shared" si="438"/>
        <v>30.0857142857142</v>
      </c>
      <c r="BP124" s="45">
        <f t="shared" si="439"/>
        <v>-30.0857142857142</v>
      </c>
      <c r="BR124" s="1">
        <f t="shared" si="441"/>
        <v>37.6071428571429</v>
      </c>
      <c r="BS124" s="1">
        <f t="shared" si="442"/>
      </c>
      <c r="BT124" s="45">
        <f t="shared" si="443"/>
        <v>-67.6928571428571</v>
      </c>
      <c r="BU124" s="5"/>
      <c r="BV124" s="1">
        <f t="shared" si="444"/>
        <v>40.5</v>
      </c>
      <c r="BW124" s="1">
        <f t="shared" si="445"/>
      </c>
      <c r="BX124" s="45">
        <f t="shared" si="446"/>
        <v>-108.192857142857</v>
      </c>
      <c r="BY124" s="5"/>
      <c r="BZ124" s="1">
        <f t="shared" si="447"/>
        <v>56.1214285714286</v>
      </c>
      <c r="CB124" s="45">
        <f t="shared" si="448"/>
        <v>-164.314285714284</v>
      </c>
      <c r="CC124" s="5"/>
      <c r="CD124" s="1">
        <f t="shared" si="449"/>
        <v>26.6142857142857</v>
      </c>
      <c r="CF124" s="45">
        <f t="shared" si="450"/>
        <v>-190.928571428568</v>
      </c>
      <c r="CG124" s="5"/>
      <c r="CH124" s="1">
        <f t="shared" si="451"/>
        <v>52.0714285714286</v>
      </c>
      <c r="CJ124" s="45">
        <f t="shared" si="452"/>
        <v>-242.999999999995</v>
      </c>
      <c r="CK124" s="5"/>
    </row>
    <row r="125" ht="17.0">
      <c r="A125" s="41" t="s">
        <v>30</v>
      </c>
      <c r="B125" s="10" t="s">
        <v>272</v>
      </c>
      <c r="C125" s="41" t="s">
        <v>279</v>
      </c>
      <c r="D125" s="55" t="s">
        <v>280</v>
      </c>
      <c r="E125" s="41">
        <v>0.0</v>
      </c>
      <c r="F125" s="41">
        <v>168.0</v>
      </c>
      <c r="G125" s="41">
        <v>6.0</v>
      </c>
      <c r="H125" s="41">
        <v>12.0</v>
      </c>
      <c r="I125" s="41">
        <v>25.0</v>
      </c>
      <c r="J125" s="41">
        <v>36.0</v>
      </c>
      <c r="K125" s="41">
        <v>18.0</v>
      </c>
      <c r="L125" s="41">
        <v>7.0</v>
      </c>
      <c r="M125" s="41">
        <v>6.0</v>
      </c>
      <c r="N125" s="41">
        <v>12.0</v>
      </c>
      <c r="O125" s="41">
        <v>23.0</v>
      </c>
      <c r="P125" s="41">
        <v>6.0</v>
      </c>
      <c r="Q125" s="41">
        <v>-5.0</v>
      </c>
      <c r="R125" s="41">
        <v>1.0</v>
      </c>
      <c r="S125" s="41">
        <v>26.0</v>
      </c>
      <c r="T125" s="41">
        <v>8.0</v>
      </c>
      <c r="U125" s="41">
        <v>19.0</v>
      </c>
      <c r="V125" s="41">
        <v>28.0</v>
      </c>
      <c r="W125" s="41">
        <v>9.0</v>
      </c>
      <c r="X125" s="41">
        <v>10.0</v>
      </c>
      <c r="Y125" s="41">
        <v>0.0</v>
      </c>
      <c r="Z125" s="41">
        <v>6.0</v>
      </c>
      <c r="AA125" s="41">
        <v>4.0</v>
      </c>
      <c r="AB125" s="41">
        <v>9.0</v>
      </c>
      <c r="AC125" s="41">
        <v>13.0</v>
      </c>
      <c r="AD125" s="41">
        <v>7.0</v>
      </c>
      <c r="AE125" s="41">
        <v>3.0</v>
      </c>
      <c r="AF125" s="41">
        <v>9.0</v>
      </c>
      <c r="AG125" s="41">
        <v>18.0</v>
      </c>
      <c r="AH125" s="41">
        <v>9.0</v>
      </c>
      <c r="AI125" s="41">
        <v>3.0</v>
      </c>
      <c r="AJ125" s="41">
        <v>0.0</v>
      </c>
      <c r="AK125" s="41">
        <v>6.0</v>
      </c>
      <c r="AL125" s="41">
        <v>6.0</v>
      </c>
      <c r="AM125" s="43">
        <v>3.0</v>
      </c>
      <c r="AN125" s="43">
        <v>9.0</v>
      </c>
      <c r="AO125" s="43">
        <v>6.0</v>
      </c>
      <c r="AP125" s="43">
        <v>15.0</v>
      </c>
      <c r="AQ125" s="43">
        <v>4.0</v>
      </c>
      <c r="AR125" s="43">
        <v>6.0</v>
      </c>
      <c r="AS125" s="43">
        <v>18.0</v>
      </c>
      <c r="AT125" s="4">
        <f t="shared" si="4"/>
        <v>85.0</v>
      </c>
      <c r="AU125" s="4">
        <f t="shared" si="5"/>
        <v>27.0</v>
      </c>
      <c r="AV125" s="4">
        <f t="shared" si="6"/>
        <v>29.7</v>
      </c>
      <c r="AW125" s="1">
        <f t="shared" si="429"/>
        <v>4.82857142857142</v>
      </c>
      <c r="AX125" s="1">
        <f t="shared" si="430"/>
        <v>6.03571428571428</v>
      </c>
      <c r="AY125" s="1">
        <f t="shared" si="431"/>
        <v>6.5</v>
      </c>
      <c r="AZ125" s="1">
        <f t="shared" si="432"/>
        <v>9.00714285714287</v>
      </c>
      <c r="BA125" s="1">
        <f t="shared" si="433"/>
        <v>4.2714285714286</v>
      </c>
      <c r="BB125" s="1">
        <f t="shared" si="434"/>
        <v>8.35714285714287</v>
      </c>
      <c r="BC125" s="4">
        <f t="shared" si="13"/>
        <v>39.0</v>
      </c>
      <c r="BD125" s="3">
        <f>VLOOKUP(D125,FEB23SOH,2,false)</f>
        <v>226.0</v>
      </c>
      <c r="BE125" s="44">
        <f>VLOOKUP(D125,UNITVALUE,4,false)</f>
        <v>1.5902</v>
      </c>
      <c r="BF125" s="44">
        <f t="shared" si="16"/>
        <v>359.3852</v>
      </c>
      <c r="BI125" s="6">
        <f t="shared" si="435"/>
        <v>187.0</v>
      </c>
      <c r="BJ125" s="1">
        <f>VLOOKUP(C125,MOQ,3,FALSE())</f>
        <v>1000.0</v>
      </c>
      <c r="BK125" s="53" t="s">
        <v>0</v>
      </c>
      <c r="BM125" s="1">
        <f t="shared" si="437"/>
        <v>226.0</v>
      </c>
      <c r="BN125" s="1">
        <f t="shared" si="438"/>
        <v>4.82857142857142</v>
      </c>
      <c r="BP125" s="45">
        <f t="shared" si="439"/>
        <v>221.171428571429</v>
      </c>
      <c r="BQ125" s="5">
        <f t="shared" ref="BQ125:BQ128" si="454">BP125*BE125</f>
        <v>351.706805714286</v>
      </c>
      <c r="BR125" s="1">
        <f t="shared" si="441"/>
        <v>6.03571428571428</v>
      </c>
      <c r="BS125" s="1">
        <f t="shared" si="442"/>
      </c>
      <c r="BT125" s="45">
        <f t="shared" si="443"/>
        <v>215.135714285714</v>
      </c>
      <c r="BU125" s="5">
        <f t="shared" ref="BU125:BU128" si="455">BT125*BE125</f>
        <v>342.108812857142</v>
      </c>
      <c r="BV125" s="1">
        <f t="shared" si="444"/>
        <v>6.5</v>
      </c>
      <c r="BW125" s="1">
        <f t="shared" si="445"/>
      </c>
      <c r="BX125" s="45">
        <f t="shared" si="446"/>
        <v>208.635714285714</v>
      </c>
      <c r="BY125" s="5">
        <f t="shared" ref="BY125:BY126" si="456">BX125*BE125</f>
        <v>331.772512857142</v>
      </c>
      <c r="BZ125" s="1">
        <f t="shared" si="447"/>
        <v>9.00714285714287</v>
      </c>
      <c r="CB125" s="45">
        <f t="shared" si="448"/>
        <v>199.628571428571</v>
      </c>
      <c r="CC125" s="5">
        <f t="shared" ref="CC125:CC126" si="457">CB125*BE125</f>
        <v>317.449354285713</v>
      </c>
      <c r="CD125" s="1">
        <f t="shared" si="449"/>
        <v>4.2714285714286</v>
      </c>
      <c r="CF125" s="45">
        <f t="shared" si="450"/>
        <v>195.357142857142</v>
      </c>
      <c r="CG125" s="5">
        <f t="shared" ref="CG125:CG126" si="458">CF125*BE125</f>
        <v>310.656928571427</v>
      </c>
      <c r="CH125" s="1">
        <f t="shared" si="451"/>
        <v>8.35714285714287</v>
      </c>
      <c r="CJ125" s="45">
        <f t="shared" si="452"/>
        <v>186.999999999999</v>
      </c>
      <c r="CK125" s="5">
        <f t="shared" ref="CK125:CK126" si="459">CJ125*BE125</f>
        <v>297.367399999998</v>
      </c>
    </row>
    <row r="126" ht="17.0">
      <c r="A126" s="41" t="s">
        <v>30</v>
      </c>
      <c r="B126" s="10" t="s">
        <v>272</v>
      </c>
      <c r="C126" s="41" t="s">
        <v>281</v>
      </c>
      <c r="D126" s="55" t="s">
        <v>282</v>
      </c>
      <c r="E126" s="41">
        <v>0.0</v>
      </c>
      <c r="F126" s="41">
        <v>0.0</v>
      </c>
      <c r="G126" s="41">
        <v>0.0</v>
      </c>
      <c r="H126" s="41">
        <v>0.0</v>
      </c>
      <c r="I126" s="41">
        <v>0.0</v>
      </c>
      <c r="J126" s="41">
        <v>0.0</v>
      </c>
      <c r="K126" s="41">
        <v>0.0</v>
      </c>
      <c r="L126" s="41">
        <v>0.0</v>
      </c>
      <c r="M126" s="41">
        <v>0.0</v>
      </c>
      <c r="N126" s="41">
        <v>0.0</v>
      </c>
      <c r="O126" s="41">
        <v>25.0</v>
      </c>
      <c r="P126" s="41">
        <v>25.0</v>
      </c>
      <c r="Q126" s="41">
        <v>67.0</v>
      </c>
      <c r="R126" s="41">
        <v>16.0</v>
      </c>
      <c r="S126" s="41">
        <v>2.0</v>
      </c>
      <c r="T126" s="41">
        <v>12.0</v>
      </c>
      <c r="U126" s="41">
        <v>19.0</v>
      </c>
      <c r="V126" s="41">
        <v>28.0</v>
      </c>
      <c r="W126" s="41">
        <v>7.0</v>
      </c>
      <c r="X126" s="41">
        <v>16.0</v>
      </c>
      <c r="Y126" s="41">
        <v>9.0</v>
      </c>
      <c r="Z126" s="41">
        <v>4.0</v>
      </c>
      <c r="AA126" s="41">
        <v>9.0</v>
      </c>
      <c r="AB126" s="41">
        <v>9.0</v>
      </c>
      <c r="AC126" s="41">
        <v>3.0</v>
      </c>
      <c r="AD126" s="41">
        <v>18.0</v>
      </c>
      <c r="AE126" s="41">
        <v>6.0</v>
      </c>
      <c r="AF126" s="41">
        <v>15.0</v>
      </c>
      <c r="AG126" s="41">
        <v>9.0</v>
      </c>
      <c r="AH126" s="41">
        <v>6.0</v>
      </c>
      <c r="AI126" s="41">
        <v>3.0</v>
      </c>
      <c r="AJ126" s="41">
        <v>9.0</v>
      </c>
      <c r="AK126" s="41">
        <v>21.0</v>
      </c>
      <c r="AL126" s="41">
        <v>15.0</v>
      </c>
      <c r="AM126" s="43">
        <v>6.0</v>
      </c>
      <c r="AN126" s="43">
        <v>27.0</v>
      </c>
      <c r="AO126" s="43">
        <v>15.0</v>
      </c>
      <c r="AP126" s="43">
        <v>24.0</v>
      </c>
      <c r="AQ126" s="43">
        <v>21.0</v>
      </c>
      <c r="AR126" s="43">
        <v>7.0</v>
      </c>
      <c r="AS126" s="43">
        <v>29.0</v>
      </c>
      <c r="AT126" s="4">
        <f t="shared" si="4"/>
        <v>183.0</v>
      </c>
      <c r="AU126" s="4">
        <f t="shared" si="5"/>
        <v>60.0</v>
      </c>
      <c r="AV126" s="4">
        <f t="shared" si="6"/>
        <v>66.0</v>
      </c>
      <c r="AW126" s="1">
        <f t="shared" si="429"/>
        <v>8.9142857142857</v>
      </c>
      <c r="AX126" s="1">
        <f t="shared" si="430"/>
        <v>11.1428571428571</v>
      </c>
      <c r="AY126" s="1">
        <f t="shared" si="431"/>
        <v>12.0</v>
      </c>
      <c r="AZ126" s="1">
        <f t="shared" si="432"/>
        <v>16.6285714285714</v>
      </c>
      <c r="BA126" s="1">
        <f t="shared" si="433"/>
        <v>7.88571428571428</v>
      </c>
      <c r="BB126" s="1">
        <f t="shared" si="434"/>
        <v>15.4285714285714</v>
      </c>
      <c r="BC126" s="4">
        <f t="shared" si="13"/>
        <v>71.9999999999999</v>
      </c>
      <c r="BD126" s="3">
        <f>VLOOKUP(D126,FEB23SOH,2,false)</f>
        <v>448.0</v>
      </c>
      <c r="BE126" s="44">
        <f>VLOOKUP(D126,UNITVALUE,4,false)</f>
        <v>1.4761</v>
      </c>
      <c r="BF126" s="44">
        <f t="shared" si="16"/>
        <v>661.2928</v>
      </c>
      <c r="BI126" s="6">
        <f t="shared" si="435"/>
        <v>376.0</v>
      </c>
      <c r="BJ126" s="1">
        <f>VLOOKUP(C126,MOQ,3,FALSE())</f>
        <v>1000.0</v>
      </c>
      <c r="BK126" s="53" t="s">
        <v>0</v>
      </c>
      <c r="BM126" s="1">
        <f t="shared" si="437"/>
        <v>448.0</v>
      </c>
      <c r="BN126" s="1">
        <f t="shared" si="438"/>
        <v>8.9142857142857</v>
      </c>
      <c r="BP126" s="45">
        <f t="shared" si="439"/>
        <v>439.085714285714</v>
      </c>
      <c r="BQ126" s="5">
        <f t="shared" si="454"/>
        <v>648.134422857142</v>
      </c>
      <c r="BR126" s="1">
        <f t="shared" si="441"/>
        <v>11.1428571428571</v>
      </c>
      <c r="BS126" s="1">
        <f t="shared" si="442"/>
      </c>
      <c r="BT126" s="45">
        <f t="shared" si="443"/>
        <v>427.942857142857</v>
      </c>
      <c r="BU126" s="5">
        <f t="shared" si="455"/>
        <v>631.686451428571</v>
      </c>
      <c r="BV126" s="1">
        <f t="shared" si="444"/>
        <v>12.0</v>
      </c>
      <c r="BW126" s="1">
        <f t="shared" si="445"/>
      </c>
      <c r="BX126" s="45">
        <f t="shared" si="446"/>
        <v>415.942857142857</v>
      </c>
      <c r="BY126" s="5">
        <f t="shared" si="456"/>
        <v>613.973251428571</v>
      </c>
      <c r="BZ126" s="1">
        <f t="shared" si="447"/>
        <v>16.6285714285714</v>
      </c>
      <c r="CB126" s="45">
        <f t="shared" si="448"/>
        <v>399.31428571429</v>
      </c>
      <c r="CC126" s="5">
        <f t="shared" si="457"/>
        <v>589.427817142863</v>
      </c>
      <c r="CD126" s="1">
        <f t="shared" si="449"/>
        <v>7.88571428571428</v>
      </c>
      <c r="CF126" s="45">
        <f t="shared" si="450"/>
        <v>391.42857142858</v>
      </c>
      <c r="CG126" s="5">
        <f t="shared" si="458"/>
        <v>577.787714285727</v>
      </c>
      <c r="CH126" s="1">
        <f t="shared" si="451"/>
        <v>15.4285714285714</v>
      </c>
      <c r="CJ126" s="45">
        <f t="shared" si="452"/>
        <v>376.0</v>
      </c>
      <c r="CK126" s="5">
        <f t="shared" si="459"/>
        <v>555.0136</v>
      </c>
    </row>
    <row r="127" ht="17.0">
      <c r="A127" s="41" t="s">
        <v>30</v>
      </c>
      <c r="B127" s="10" t="s">
        <v>272</v>
      </c>
      <c r="C127" s="41" t="s">
        <v>283</v>
      </c>
      <c r="D127" s="42" t="s">
        <v>284</v>
      </c>
      <c r="E127" s="41">
        <v>0.0</v>
      </c>
      <c r="F127" s="41">
        <v>0.0</v>
      </c>
      <c r="G127" s="41">
        <v>0.0</v>
      </c>
      <c r="H127" s="41">
        <v>0.0</v>
      </c>
      <c r="I127" s="41">
        <v>0.0</v>
      </c>
      <c r="J127" s="41">
        <v>0.0</v>
      </c>
      <c r="K127" s="41">
        <v>0.0</v>
      </c>
      <c r="L127" s="41">
        <v>0.0</v>
      </c>
      <c r="M127" s="41">
        <v>0.0</v>
      </c>
      <c r="N127" s="41">
        <v>0.0</v>
      </c>
      <c r="O127" s="41">
        <v>0.0</v>
      </c>
      <c r="P127" s="41">
        <v>0.0</v>
      </c>
      <c r="Q127" s="41">
        <v>0.0</v>
      </c>
      <c r="R127" s="41">
        <v>0.0</v>
      </c>
      <c r="S127" s="41">
        <v>0.0</v>
      </c>
      <c r="T127" s="41">
        <v>0.0</v>
      </c>
      <c r="U127" s="41">
        <v>0.0</v>
      </c>
      <c r="V127" s="41">
        <v>0.0</v>
      </c>
      <c r="W127" s="41">
        <v>0.0</v>
      </c>
      <c r="X127" s="41">
        <v>54.0</v>
      </c>
      <c r="Y127" s="41">
        <v>69.0</v>
      </c>
      <c r="Z127" s="41">
        <v>69.0</v>
      </c>
      <c r="AA127" s="41">
        <v>75.0</v>
      </c>
      <c r="AB127" s="41">
        <v>111.0</v>
      </c>
      <c r="AC127" s="41">
        <v>114.0</v>
      </c>
      <c r="AD127" s="41">
        <v>105.0</v>
      </c>
      <c r="AE127" s="41">
        <v>81.0</v>
      </c>
      <c r="AF127" s="41">
        <v>51.0</v>
      </c>
      <c r="AG127" s="41">
        <v>90.0</v>
      </c>
      <c r="AH127" s="41">
        <v>90.0</v>
      </c>
      <c r="AI127" s="41">
        <v>72.0</v>
      </c>
      <c r="AJ127" s="41">
        <v>4.0</v>
      </c>
      <c r="AK127" s="41">
        <v>10.0</v>
      </c>
      <c r="AL127" s="41">
        <v>15.0</v>
      </c>
      <c r="AM127" s="43">
        <v>27.0</v>
      </c>
      <c r="AN127" s="43">
        <v>84.0</v>
      </c>
      <c r="AO127" s="43">
        <v>111.0</v>
      </c>
      <c r="AP127" s="43">
        <v>81.0</v>
      </c>
      <c r="AQ127" s="43">
        <v>87.0</v>
      </c>
      <c r="AR127" s="43">
        <v>48.0</v>
      </c>
      <c r="AS127" s="43">
        <v>46.0</v>
      </c>
      <c r="AT127" s="4">
        <f t="shared" si="4"/>
        <v>675.0</v>
      </c>
      <c r="AU127" s="4">
        <f t="shared" si="5"/>
        <v>218.0</v>
      </c>
      <c r="AV127" s="4">
        <f t="shared" si="6"/>
        <v>239.8</v>
      </c>
      <c r="AW127" s="1">
        <f>AV127*$AW$4/$AV$4</f>
        <v>26.9904761904761</v>
      </c>
      <c r="AX127" s="1">
        <f>AV127*$AX$4/$AV$4</f>
        <v>33.7380952380952</v>
      </c>
      <c r="AY127" s="1">
        <f>AV127*$AY$4/$AV$4</f>
        <v>36.3333333333333</v>
      </c>
      <c r="AZ127" s="1">
        <f>AV127*$AZ$4/$AV$4</f>
        <v>50.347619047619</v>
      </c>
      <c r="BA127" s="1">
        <f>AV127*$BA$4/$AV$4</f>
        <v>23.8761904761904</v>
      </c>
      <c r="BB127" s="1">
        <f>AV127*$BB$4/$AV$4</f>
        <v>46.7142857142857</v>
      </c>
      <c r="BC127" s="4">
        <f t="shared" si="13"/>
        <v>218.0</v>
      </c>
      <c r="BD127" s="3">
        <f>VLOOKUP(D127,FEB23SOH,2,false)</f>
        <v>0.0</v>
      </c>
      <c r="BE127" s="44">
        <f>VLOOKUP(D127,UNITVALUE,4,false)</f>
      </c>
      <c r="BF127" s="44">
        <f t="shared" si="16"/>
        <v>0.0</v>
      </c>
      <c r="BI127" s="6">
        <f t="shared" si="435"/>
        <v>-218.0</v>
      </c>
      <c r="BJ127" s="1">
        <v>1000.0</v>
      </c>
      <c r="BK127" s="53" t="s">
        <v>0</v>
      </c>
      <c r="BL127" s="8" t="s">
        <v>68</v>
      </c>
      <c r="BM127" s="1">
        <f t="shared" si="437"/>
        <v>0.0</v>
      </c>
      <c r="BN127" s="1">
        <f t="shared" si="438"/>
        <v>26.9904761904761</v>
      </c>
      <c r="BP127" s="45">
        <f t="shared" si="439"/>
        <v>-26.9904761904761</v>
      </c>
      <c r="BQ127" s="5">
        <f t="shared" si="454"/>
        <v>0.0</v>
      </c>
      <c r="BR127" s="1">
        <f t="shared" si="441"/>
        <v>33.7380952380952</v>
      </c>
      <c r="BS127" s="1">
        <f t="shared" si="442"/>
      </c>
      <c r="BT127" s="45">
        <f t="shared" si="443"/>
        <v>-60.7285714285713</v>
      </c>
      <c r="BU127" s="5">
        <f t="shared" si="455"/>
        <v>0.0</v>
      </c>
      <c r="BV127" s="1">
        <f t="shared" si="444"/>
        <v>36.3333333333333</v>
      </c>
      <c r="BW127" s="1">
        <f t="shared" si="445"/>
      </c>
      <c r="BX127" s="45">
        <f t="shared" si="446"/>
        <v>-97.0619047619046</v>
      </c>
      <c r="BY127" s="5"/>
      <c r="BZ127" s="1">
        <f t="shared" si="447"/>
        <v>50.347619047619</v>
      </c>
      <c r="CB127" s="45">
        <f t="shared" si="448"/>
        <v>-147.409523809523</v>
      </c>
      <c r="CC127" s="5"/>
      <c r="CD127" s="1">
        <f t="shared" si="449"/>
        <v>23.8761904761904</v>
      </c>
      <c r="CF127" s="45">
        <f t="shared" si="450"/>
        <v>-171.285714285713</v>
      </c>
      <c r="CG127" s="5"/>
      <c r="CH127" s="1">
        <f t="shared" si="451"/>
        <v>46.7142857142857</v>
      </c>
      <c r="CJ127" s="45">
        <f t="shared" si="452"/>
        <v>-217.99999999998</v>
      </c>
      <c r="CK127" s="5"/>
    </row>
    <row r="128" ht="17.0">
      <c r="A128" s="41" t="s">
        <v>30</v>
      </c>
      <c r="B128" s="10" t="s">
        <v>272</v>
      </c>
      <c r="C128" s="41" t="s">
        <v>285</v>
      </c>
      <c r="D128" s="55" t="s">
        <v>286</v>
      </c>
      <c r="E128" s="41">
        <v>0.0</v>
      </c>
      <c r="F128" s="41">
        <v>0.0</v>
      </c>
      <c r="G128" s="41">
        <v>0.0</v>
      </c>
      <c r="H128" s="41">
        <v>0.0</v>
      </c>
      <c r="I128" s="41">
        <v>0.0</v>
      </c>
      <c r="J128" s="41">
        <v>0.0</v>
      </c>
      <c r="K128" s="41">
        <v>0.0</v>
      </c>
      <c r="L128" s="41">
        <v>0.0</v>
      </c>
      <c r="M128" s="41">
        <v>0.0</v>
      </c>
      <c r="N128" s="41">
        <v>0.0</v>
      </c>
      <c r="O128" s="41">
        <v>0.0</v>
      </c>
      <c r="P128" s="41">
        <v>0.0</v>
      </c>
      <c r="Q128" s="41">
        <v>0.0</v>
      </c>
      <c r="R128" s="41">
        <v>0.0</v>
      </c>
      <c r="S128" s="41">
        <v>0.0</v>
      </c>
      <c r="T128" s="41">
        <v>0.0</v>
      </c>
      <c r="U128" s="41">
        <v>0.0</v>
      </c>
      <c r="V128" s="41">
        <v>0.0</v>
      </c>
      <c r="W128" s="41">
        <v>0.0</v>
      </c>
      <c r="X128" s="41">
        <v>45.0</v>
      </c>
      <c r="Y128" s="41">
        <v>60.0</v>
      </c>
      <c r="Z128" s="41">
        <v>60.0</v>
      </c>
      <c r="AA128" s="41">
        <v>72.0</v>
      </c>
      <c r="AB128" s="41">
        <v>111.0</v>
      </c>
      <c r="AC128" s="41">
        <v>108.0</v>
      </c>
      <c r="AD128" s="41">
        <v>123.0</v>
      </c>
      <c r="AE128" s="41">
        <v>81.0</v>
      </c>
      <c r="AF128" s="41">
        <v>78.0</v>
      </c>
      <c r="AG128" s="41">
        <v>105.0</v>
      </c>
      <c r="AH128" s="41">
        <v>78.0</v>
      </c>
      <c r="AI128" s="41">
        <v>42.0</v>
      </c>
      <c r="AJ128" s="41">
        <v>17.0</v>
      </c>
      <c r="AK128" s="41">
        <v>12.0</v>
      </c>
      <c r="AL128" s="41">
        <v>24.0</v>
      </c>
      <c r="AM128" s="43">
        <v>33.0</v>
      </c>
      <c r="AN128" s="43">
        <v>72.0</v>
      </c>
      <c r="AO128" s="43">
        <v>96.0</v>
      </c>
      <c r="AP128" s="43">
        <v>78.0</v>
      </c>
      <c r="AQ128" s="43">
        <v>99.0</v>
      </c>
      <c r="AR128" s="43">
        <v>63.0</v>
      </c>
      <c r="AS128" s="43">
        <v>7.0</v>
      </c>
      <c r="AT128" s="4">
        <f t="shared" si="4"/>
        <v>621.0</v>
      </c>
      <c r="AU128" s="4">
        <f t="shared" si="5"/>
        <v>206.0</v>
      </c>
      <c r="AV128" s="4">
        <f t="shared" si="6"/>
        <v>226.6</v>
      </c>
      <c r="AW128" s="1">
        <f>AV128*$AW$4/$AV$4+2*$AW$129</f>
        <v>26.9904761904761</v>
      </c>
      <c r="AX128" s="1">
        <f>AV128*$AX$4/$AV$4+2*$AX$129</f>
        <v>33.7380952380951</v>
      </c>
      <c r="AY128" s="1">
        <f>AV128*$AY$4/$AV$4+2*$AY$129</f>
        <v>36.3333333333333</v>
      </c>
      <c r="AZ128" s="1">
        <f>AV128*$AZ$4/$AV$4+2*$AZ$129</f>
        <v>50.347619047619</v>
      </c>
      <c r="BA128" s="1">
        <f>AV128*$BA$4/$AV$4+2*$BA$129</f>
        <v>23.8761904761905</v>
      </c>
      <c r="BB128" s="1">
        <f>AV128*$BB$4/$AV$4+2*$BB$129</f>
        <v>46.7142857142857</v>
      </c>
      <c r="BC128" s="4">
        <f t="shared" si="13"/>
        <v>218.0</v>
      </c>
      <c r="BD128" s="3">
        <f>VLOOKUP(D128,FEB23SOH,2,false)</f>
        <v>0.0</v>
      </c>
      <c r="BE128" s="44">
        <f>VLOOKUP(D128,UNITVALUE,4,false)</f>
      </c>
      <c r="BF128" s="44">
        <f t="shared" si="16"/>
        <v>0.0</v>
      </c>
      <c r="BI128" s="6">
        <f t="shared" si="435"/>
        <v>-218.0</v>
      </c>
      <c r="BJ128" s="1">
        <v>1000.0</v>
      </c>
      <c r="BK128" s="53" t="s">
        <v>0</v>
      </c>
      <c r="BL128" s="8" t="s">
        <v>68</v>
      </c>
      <c r="BM128" s="1">
        <f t="shared" si="437"/>
        <v>0.0</v>
      </c>
      <c r="BN128" s="1">
        <f t="shared" si="438"/>
        <v>26.9904761904761</v>
      </c>
      <c r="BP128" s="45">
        <f t="shared" si="439"/>
        <v>-26.9904761904761</v>
      </c>
      <c r="BQ128" s="5">
        <f t="shared" si="454"/>
        <v>0.0</v>
      </c>
      <c r="BR128" s="1">
        <f t="shared" si="441"/>
        <v>33.7380952380951</v>
      </c>
      <c r="BS128" s="1">
        <f t="shared" si="442"/>
      </c>
      <c r="BT128" s="45">
        <f t="shared" si="443"/>
        <v>-60.7285714285712</v>
      </c>
      <c r="BU128" s="5">
        <f t="shared" si="455"/>
        <v>0.0</v>
      </c>
      <c r="BV128" s="1">
        <f t="shared" si="444"/>
        <v>36.3333333333333</v>
      </c>
      <c r="BW128" s="1">
        <f t="shared" si="445"/>
      </c>
      <c r="BX128" s="45">
        <f t="shared" si="446"/>
        <v>-97.0619047619045</v>
      </c>
      <c r="BY128" s="5"/>
      <c r="BZ128" s="1">
        <f t="shared" si="447"/>
        <v>50.347619047619</v>
      </c>
      <c r="CB128" s="45">
        <f t="shared" si="448"/>
        <v>-147.409523809523</v>
      </c>
      <c r="CC128" s="5"/>
      <c r="CD128" s="1">
        <f t="shared" si="449"/>
        <v>23.8761904761905</v>
      </c>
      <c r="CF128" s="45">
        <f t="shared" si="450"/>
        <v>-171.285714285713</v>
      </c>
      <c r="CG128" s="5"/>
      <c r="CH128" s="1">
        <f t="shared" si="451"/>
        <v>46.7142857142857</v>
      </c>
      <c r="CJ128" s="45">
        <f t="shared" si="452"/>
        <v>-217.99999999998</v>
      </c>
      <c r="CK128" s="5"/>
    </row>
    <row r="129" ht="17.0">
      <c r="A129" s="46" t="s">
        <v>30</v>
      </c>
      <c r="B129" s="68" t="s">
        <v>272</v>
      </c>
      <c r="C129" s="46" t="s">
        <v>287</v>
      </c>
      <c r="D129" s="47" t="s">
        <v>288</v>
      </c>
      <c r="E129" s="41">
        <v>0.0</v>
      </c>
      <c r="F129" s="41">
        <v>5.0</v>
      </c>
      <c r="G129" s="41">
        <v>7.0</v>
      </c>
      <c r="H129" s="41">
        <v>1.0</v>
      </c>
      <c r="I129" s="41">
        <v>6.0</v>
      </c>
      <c r="J129" s="41">
        <v>2.0</v>
      </c>
      <c r="K129" s="41">
        <v>11.0</v>
      </c>
      <c r="L129" s="41">
        <v>2.0</v>
      </c>
      <c r="M129" s="41">
        <v>2.0</v>
      </c>
      <c r="N129" s="41">
        <v>2.0</v>
      </c>
      <c r="O129" s="41">
        <v>2.0</v>
      </c>
      <c r="P129" s="41">
        <v>5.0</v>
      </c>
      <c r="Q129" s="41">
        <v>4.0</v>
      </c>
      <c r="R129" s="41">
        <v>0.0</v>
      </c>
      <c r="S129" s="41">
        <v>0.0</v>
      </c>
      <c r="T129" s="41">
        <v>0.0</v>
      </c>
      <c r="U129" s="41">
        <v>0.0</v>
      </c>
      <c r="V129" s="41">
        <v>0.0</v>
      </c>
      <c r="W129" s="41">
        <v>0.0</v>
      </c>
      <c r="X129" s="41">
        <v>1.0</v>
      </c>
      <c r="Y129" s="41">
        <v>0.0</v>
      </c>
      <c r="Z129" s="41">
        <v>0.0</v>
      </c>
      <c r="AA129" s="41">
        <v>0.0</v>
      </c>
      <c r="AB129" s="41">
        <v>1.0</v>
      </c>
      <c r="AC129" s="41">
        <v>4.0</v>
      </c>
      <c r="AD129" s="41">
        <v>1.0</v>
      </c>
      <c r="AE129" s="41">
        <v>0.0</v>
      </c>
      <c r="AF129" s="41">
        <v>0.0</v>
      </c>
      <c r="AG129" s="41">
        <v>1.0</v>
      </c>
      <c r="AH129" s="41">
        <v>0.0</v>
      </c>
      <c r="AI129" s="41">
        <v>0.0</v>
      </c>
      <c r="AJ129" s="41">
        <v>1.0</v>
      </c>
      <c r="AK129" s="41">
        <v>1.0</v>
      </c>
      <c r="AL129" s="41">
        <v>1.0</v>
      </c>
      <c r="AM129" s="43">
        <v>3.0</v>
      </c>
      <c r="AN129" s="43">
        <v>0.0</v>
      </c>
      <c r="AO129" s="43">
        <v>1.0</v>
      </c>
      <c r="AP129" s="43">
        <v>4.0</v>
      </c>
      <c r="AQ129" s="43">
        <v>1.0</v>
      </c>
      <c r="AR129" s="43">
        <v>1.0</v>
      </c>
      <c r="AS129" s="43">
        <v>4.0</v>
      </c>
      <c r="AT129" s="4">
        <f t="shared" si="4"/>
        <v>17.0</v>
      </c>
      <c r="AU129" s="4">
        <f t="shared" si="5"/>
        <v>6.0</v>
      </c>
      <c r="AV129" s="4">
        <f t="shared" si="6"/>
        <v>6.6</v>
      </c>
      <c r="AW129" s="48">
        <f t="shared" ref="AW129:AW157" si="472">AV129*$AW$4/$AV$4</f>
        <v>0.742857142857142</v>
      </c>
      <c r="AX129" s="48">
        <f t="shared" ref="AX129:AX157" si="473">AV129*$AX$4/$AV$4</f>
        <v>0.928571428571429</v>
      </c>
      <c r="AY129" s="48">
        <f t="shared" ref="AY129:AY157" si="474">AV129*$AY$4/$AV$4</f>
        <v>1.0</v>
      </c>
      <c r="AZ129" s="48">
        <f t="shared" ref="AZ129:AZ157" si="475">AV129*$AZ$4/$AV$4</f>
        <v>1.38571428571429</v>
      </c>
      <c r="BA129" s="48">
        <f t="shared" ref="BA129:BA157" si="476">AV129*$BA$4/$AV$4</f>
        <v>0.657142857142857</v>
      </c>
      <c r="BB129" s="48">
        <f t="shared" ref="BB129:BB157" si="477">AV129*$BB$4/$AV$4</f>
        <v>1.28571428571429</v>
      </c>
      <c r="BC129" s="4">
        <v>0.0</v>
      </c>
      <c r="BD129" s="3">
        <f>VLOOKUP(D129,FEB23SOH,2,false)</f>
        <v>0.0</v>
      </c>
      <c r="BE129" s="44">
        <f>VLOOKUP(D129,UNITVALUE,4,false)</f>
      </c>
      <c r="BF129" s="44">
        <f t="shared" si="16"/>
        <v>0.0</v>
      </c>
      <c r="BK129" s="50"/>
      <c r="BP129" s="45"/>
      <c r="BT129" s="45"/>
      <c r="BU129" s="5"/>
      <c r="BX129" s="45"/>
      <c r="BY129" s="5"/>
      <c r="CB129" s="45"/>
      <c r="CC129" s="5"/>
      <c r="CF129" s="45"/>
      <c r="CG129" s="5"/>
      <c r="CJ129" s="45"/>
      <c r="CK129" s="5"/>
      <c r="CL129" s="69"/>
      <c r="CM129" s="69"/>
      <c r="CN129" s="69"/>
      <c r="CO129" s="69"/>
      <c r="CP129" s="69"/>
      <c r="CQ129" s="69"/>
      <c r="CR129" s="69"/>
      <c r="CS129" s="69"/>
      <c r="CT129" s="69"/>
      <c r="CU129" s="69"/>
      <c r="CV129" s="69"/>
      <c r="CW129" s="69"/>
      <c r="CX129" s="69"/>
      <c r="CY129" s="69"/>
      <c r="CZ129" s="69"/>
      <c r="DA129" s="69"/>
      <c r="DB129" s="69"/>
      <c r="DC129" s="69"/>
      <c r="DD129" s="69"/>
      <c r="DE129" s="69"/>
      <c r="DF129" s="69"/>
      <c r="DG129" s="69"/>
      <c r="DH129" s="69"/>
      <c r="DI129" s="69"/>
      <c r="DJ129" s="69"/>
      <c r="DK129" s="69"/>
    </row>
    <row r="130" ht="17.0">
      <c r="A130" s="41" t="s">
        <v>30</v>
      </c>
      <c r="B130" s="10" t="s">
        <v>289</v>
      </c>
      <c r="C130" s="41" t="s">
        <v>290</v>
      </c>
      <c r="D130" s="55" t="s">
        <v>291</v>
      </c>
      <c r="E130" s="41">
        <v>49.0</v>
      </c>
      <c r="F130" s="41">
        <v>55.0</v>
      </c>
      <c r="G130" s="41">
        <v>8.0</v>
      </c>
      <c r="H130" s="41">
        <v>22.0</v>
      </c>
      <c r="I130" s="41">
        <v>48.0</v>
      </c>
      <c r="J130" s="41">
        <v>27.0</v>
      </c>
      <c r="K130" s="41">
        <v>22.0</v>
      </c>
      <c r="L130" s="41">
        <v>-5.0</v>
      </c>
      <c r="M130" s="41">
        <v>-6.0</v>
      </c>
      <c r="N130" s="41">
        <v>-1.0</v>
      </c>
      <c r="O130" s="41">
        <v>83.0</v>
      </c>
      <c r="P130" s="41">
        <v>47.0</v>
      </c>
      <c r="Q130" s="41">
        <v>35.0</v>
      </c>
      <c r="R130" s="41">
        <v>37.0</v>
      </c>
      <c r="S130" s="41">
        <v>27.0</v>
      </c>
      <c r="T130" s="41">
        <v>35.0</v>
      </c>
      <c r="U130" s="41">
        <v>36.0</v>
      </c>
      <c r="V130" s="41">
        <v>23.0</v>
      </c>
      <c r="W130" s="41">
        <v>38.0</v>
      </c>
      <c r="X130" s="41">
        <v>21.0</v>
      </c>
      <c r="Y130" s="41">
        <v>15.0</v>
      </c>
      <c r="Z130" s="41">
        <v>24.0</v>
      </c>
      <c r="AA130" s="41">
        <v>47.0</v>
      </c>
      <c r="AB130" s="41">
        <v>30.0</v>
      </c>
      <c r="AC130" s="41">
        <v>24.0</v>
      </c>
      <c r="AD130" s="41">
        <v>30.0</v>
      </c>
      <c r="AE130" s="41">
        <v>15.0</v>
      </c>
      <c r="AF130" s="41">
        <v>14.0</v>
      </c>
      <c r="AG130" s="41">
        <v>51.0</v>
      </c>
      <c r="AH130" s="41">
        <v>30.0</v>
      </c>
      <c r="AI130" s="41">
        <v>24.0</v>
      </c>
      <c r="AJ130" s="41">
        <v>20.0</v>
      </c>
      <c r="AK130" s="41">
        <v>24.0</v>
      </c>
      <c r="AL130" s="41">
        <v>13.0</v>
      </c>
      <c r="AM130" s="43">
        <v>51.0</v>
      </c>
      <c r="AN130" s="43">
        <v>12.0</v>
      </c>
      <c r="AO130" s="43">
        <v>20.0</v>
      </c>
      <c r="AP130" s="43">
        <v>18.0</v>
      </c>
      <c r="AQ130" s="43">
        <v>8.0</v>
      </c>
      <c r="AR130" s="43">
        <v>0.0</v>
      </c>
      <c r="AS130" s="43">
        <v>-2.0</v>
      </c>
      <c r="AT130" s="4">
        <f t="shared" si="4"/>
        <v>218.0</v>
      </c>
      <c r="AU130" s="4">
        <f t="shared" si="5"/>
        <v>162.0</v>
      </c>
      <c r="AV130" s="4">
        <f t="shared" si="6"/>
        <v>178.2</v>
      </c>
      <c r="AW130" s="1">
        <f t="shared" si="472"/>
        <v>20.0571428571429</v>
      </c>
      <c r="AX130" s="1">
        <f t="shared" si="473"/>
        <v>25.071428571429</v>
      </c>
      <c r="AY130" s="1">
        <f t="shared" si="474"/>
        <v>27.0</v>
      </c>
      <c r="AZ130" s="1">
        <f t="shared" si="475"/>
        <v>37.4142857142857</v>
      </c>
      <c r="BA130" s="1">
        <f t="shared" si="476"/>
        <v>17.7428571428571</v>
      </c>
      <c r="BB130" s="1">
        <f t="shared" si="477"/>
        <v>34.7142857142857</v>
      </c>
      <c r="BC130" s="4">
        <f t="shared" ref="BC130:BC190" si="478">SUM(AW130:BB130)</f>
        <v>162.0</v>
      </c>
      <c r="BD130" s="3">
        <f>VLOOKUP(D130,FEB23SOH,2,false)</f>
        <v>5.0</v>
      </c>
      <c r="BE130" s="44">
        <f>VLOOKUP(D130,UNITVALUE,4,false)</f>
        <v>1.83</v>
      </c>
      <c r="BF130" s="44">
        <f t="shared" si="16"/>
        <v>9.15</v>
      </c>
      <c r="BI130" s="6">
        <f t="shared" ref="BI130:BI154" si="479">BD130+BG130+BH130-BC130</f>
        <v>-157.0</v>
      </c>
      <c r="BJ130" s="1">
        <f>VLOOKUP(C130,MOQ,3,FALSE())</f>
        <v>1002.0</v>
      </c>
      <c r="BK130" s="53" t="s">
        <v>0</v>
      </c>
      <c r="BL130" s="8" t="s">
        <v>5</v>
      </c>
      <c r="BM130" s="1">
        <f t="shared" ref="BM130:BM154" si="481">BD130</f>
        <v>5.0</v>
      </c>
      <c r="BN130" s="1">
        <f t="shared" ref="BN130:BN154" si="482">AW130</f>
        <v>20.0571428571429</v>
      </c>
      <c r="BP130" s="45">
        <f t="shared" ref="BP130:BP154" si="483">BM130+BO130-BN130</f>
        <v>-15.0571428571429</v>
      </c>
      <c r="BR130" s="1">
        <f t="shared" ref="BR130:BR154" si="484">AX130</f>
        <v>25.071428571429</v>
      </c>
      <c r="BS130" s="1">
        <f t="shared" ref="BS130:BS154" si="485">BG130</f>
      </c>
      <c r="BT130" s="45">
        <f t="shared" ref="BT130:BT154" si="486">BP130+BS130-BR130</f>
        <v>-40.1285714285719</v>
      </c>
      <c r="BU130" s="5"/>
      <c r="BV130" s="1">
        <f t="shared" ref="BV130:BV154" si="487">AY130</f>
        <v>27.0</v>
      </c>
      <c r="BW130" s="1">
        <f t="shared" ref="BW130:BW154" si="488">BG130</f>
      </c>
      <c r="BX130" s="45">
        <f t="shared" ref="BX130:BX154" si="489">BT130+BW130-BV130</f>
        <v>-67.1285714285719</v>
      </c>
      <c r="BY130" s="5"/>
      <c r="BZ130" s="1">
        <f t="shared" ref="BZ130:BZ154" si="490">AZ130</f>
        <v>37.4142857142857</v>
      </c>
      <c r="CB130" s="45">
        <f t="shared" ref="CB130:CB154" si="491">BX130+CA130-BZ130</f>
        <v>-104.5428571428</v>
      </c>
      <c r="CC130" s="5"/>
      <c r="CD130" s="1">
        <f t="shared" ref="CD130:CD154" si="492">BA130</f>
        <v>17.7428571428571</v>
      </c>
      <c r="CF130" s="45">
        <f t="shared" ref="CF130:CF154" si="493">CB130+CE130-CD130</f>
        <v>-122.285714285657</v>
      </c>
      <c r="CG130" s="5"/>
      <c r="CH130" s="1">
        <f t="shared" ref="CH130:CH154" si="494">BB130</f>
        <v>34.7142857142857</v>
      </c>
      <c r="CJ130" s="45">
        <f t="shared" ref="CJ130:CJ154" si="495">CF130+CI130-CH130</f>
        <v>-156.999999999942</v>
      </c>
      <c r="CK130" s="5"/>
    </row>
    <row r="131" ht="17.0">
      <c r="A131" s="41" t="s">
        <v>30</v>
      </c>
      <c r="B131" s="10" t="s">
        <v>289</v>
      </c>
      <c r="C131" s="41" t="s">
        <v>292</v>
      </c>
      <c r="D131" s="42" t="s">
        <v>293</v>
      </c>
      <c r="E131" s="41">
        <v>27.0</v>
      </c>
      <c r="F131" s="41">
        <v>26.0</v>
      </c>
      <c r="G131" s="41">
        <v>9.0</v>
      </c>
      <c r="H131" s="41">
        <v>8.0</v>
      </c>
      <c r="I131" s="41">
        <v>9.0</v>
      </c>
      <c r="J131" s="41">
        <v>0.0</v>
      </c>
      <c r="K131" s="41">
        <v>0.0</v>
      </c>
      <c r="L131" s="41">
        <v>3.0</v>
      </c>
      <c r="M131" s="41">
        <v>0.0</v>
      </c>
      <c r="N131" s="41">
        <v>0.0</v>
      </c>
      <c r="O131" s="41">
        <v>23.0</v>
      </c>
      <c r="P131" s="41">
        <v>13.0</v>
      </c>
      <c r="Q131" s="41">
        <v>8.0</v>
      </c>
      <c r="R131" s="41">
        <v>17.0</v>
      </c>
      <c r="S131" s="41">
        <v>5.0</v>
      </c>
      <c r="T131" s="41">
        <v>6.0</v>
      </c>
      <c r="U131" s="41">
        <v>24.0</v>
      </c>
      <c r="V131" s="41">
        <v>8.0</v>
      </c>
      <c r="W131" s="41">
        <v>15.0</v>
      </c>
      <c r="X131" s="41">
        <v>24.0</v>
      </c>
      <c r="Y131" s="41">
        <v>6.0</v>
      </c>
      <c r="Z131" s="41">
        <v>9.0</v>
      </c>
      <c r="AA131" s="41">
        <v>14.0</v>
      </c>
      <c r="AB131" s="41">
        <v>23.0</v>
      </c>
      <c r="AC131" s="41">
        <v>8.0</v>
      </c>
      <c r="AD131" s="41">
        <v>23.0</v>
      </c>
      <c r="AE131" s="41">
        <v>6.0</v>
      </c>
      <c r="AF131" s="41">
        <v>3.0</v>
      </c>
      <c r="AG131" s="41">
        <v>32.0</v>
      </c>
      <c r="AH131" s="41">
        <v>15.0</v>
      </c>
      <c r="AI131" s="41">
        <v>3.0</v>
      </c>
      <c r="AJ131" s="41">
        <v>0.0</v>
      </c>
      <c r="AK131" s="41">
        <v>6.0</v>
      </c>
      <c r="AL131" s="41">
        <v>9.0</v>
      </c>
      <c r="AM131" s="43">
        <v>39.0</v>
      </c>
      <c r="AN131" s="43">
        <v>6.0</v>
      </c>
      <c r="AO131" s="43">
        <v>0.0</v>
      </c>
      <c r="AP131" s="43">
        <v>27.0</v>
      </c>
      <c r="AQ131" s="43">
        <v>12.0</v>
      </c>
      <c r="AR131" s="43">
        <v>6.0</v>
      </c>
      <c r="AS131" s="43">
        <v>15.0</v>
      </c>
      <c r="AT131" s="4">
        <f t="shared" si="4"/>
        <v>138.0</v>
      </c>
      <c r="AU131" s="4">
        <f t="shared" si="5"/>
        <v>72.0</v>
      </c>
      <c r="AV131" s="4">
        <f t="shared" si="6"/>
        <v>79.2</v>
      </c>
      <c r="AW131" s="1">
        <f t="shared" si="472"/>
        <v>8.91428571428571</v>
      </c>
      <c r="AX131" s="1">
        <f t="shared" si="473"/>
        <v>11.1428571428571</v>
      </c>
      <c r="AY131" s="1">
        <f t="shared" si="474"/>
        <v>12.0</v>
      </c>
      <c r="AZ131" s="1">
        <f t="shared" si="475"/>
        <v>16.6285714285714</v>
      </c>
      <c r="BA131" s="1">
        <f t="shared" si="476"/>
        <v>7.88571428571429</v>
      </c>
      <c r="BB131" s="1">
        <f t="shared" si="477"/>
        <v>15.4285714285714</v>
      </c>
      <c r="BC131" s="4">
        <f t="shared" si="478"/>
        <v>71.9999999999999</v>
      </c>
      <c r="BD131" s="3">
        <f>VLOOKUP(D131,FEB23SOH,2,false)</f>
        <v>536.0</v>
      </c>
      <c r="BE131" s="44">
        <f>VLOOKUP(D131,UNITVALUE,4,false)</f>
        <v>1.8315</v>
      </c>
      <c r="BF131" s="44">
        <f t="shared" si="16"/>
        <v>981.684</v>
      </c>
      <c r="BI131" s="6">
        <f t="shared" si="479"/>
        <v>464.0</v>
      </c>
      <c r="BJ131" s="1">
        <f>VLOOKUP(C131,MOQ,3,FALSE())</f>
        <v>1002.0</v>
      </c>
      <c r="BK131" s="53" t="s">
        <v>0</v>
      </c>
      <c r="BM131" s="1">
        <f t="shared" si="481"/>
        <v>536.0</v>
      </c>
      <c r="BN131" s="1">
        <f t="shared" si="482"/>
        <v>8.91428571428571</v>
      </c>
      <c r="BP131" s="45">
        <f t="shared" si="483"/>
        <v>527.085714285714</v>
      </c>
      <c r="BQ131" s="5">
        <f t="shared" ref="BQ131:BQ135" si="496">BP131*BE131</f>
        <v>965.357485714285</v>
      </c>
      <c r="BR131" s="1">
        <f t="shared" si="484"/>
        <v>11.1428571428571</v>
      </c>
      <c r="BS131" s="1">
        <f t="shared" si="485"/>
      </c>
      <c r="BT131" s="45">
        <f t="shared" si="486"/>
        <v>515.94285714286</v>
      </c>
      <c r="BU131" s="5">
        <f t="shared" ref="BU131:BU135" si="497">BT131*BE131</f>
        <v>944.949342857148</v>
      </c>
      <c r="BV131" s="1">
        <f t="shared" si="487"/>
        <v>12.0</v>
      </c>
      <c r="BW131" s="1">
        <f t="shared" si="488"/>
      </c>
      <c r="BX131" s="45">
        <f t="shared" si="489"/>
        <v>503.94285714286</v>
      </c>
      <c r="BY131" s="5">
        <f>BX131*BE131</f>
        <v>922.971342857148</v>
      </c>
      <c r="BZ131" s="1">
        <f t="shared" si="490"/>
        <v>16.6285714285714</v>
      </c>
      <c r="CB131" s="45">
        <f t="shared" si="491"/>
        <v>487.31428571429</v>
      </c>
      <c r="CC131" s="5">
        <f>CB131*BE131</f>
        <v>892.516114285722</v>
      </c>
      <c r="CD131" s="1">
        <f t="shared" si="492"/>
        <v>7.88571428571429</v>
      </c>
      <c r="CF131" s="45">
        <f t="shared" si="493"/>
        <v>479.42857142858</v>
      </c>
      <c r="CG131" s="5">
        <f>CF131*BE131</f>
        <v>878.073428571444</v>
      </c>
      <c r="CH131" s="1">
        <f t="shared" si="494"/>
        <v>15.4285714285714</v>
      </c>
      <c r="CJ131" s="45">
        <f t="shared" si="495"/>
        <v>464.0</v>
      </c>
      <c r="CK131" s="5">
        <f>CJ131*BE131</f>
        <v>849.816</v>
      </c>
    </row>
    <row r="132" ht="17.0">
      <c r="A132" s="41" t="s">
        <v>30</v>
      </c>
      <c r="B132" s="41" t="s">
        <v>289</v>
      </c>
      <c r="C132" s="41" t="s">
        <v>294</v>
      </c>
      <c r="D132" s="55" t="s">
        <v>295</v>
      </c>
      <c r="E132" s="41">
        <v>139.0</v>
      </c>
      <c r="F132" s="41">
        <v>105.0</v>
      </c>
      <c r="G132" s="41">
        <v>102.0</v>
      </c>
      <c r="H132" s="41">
        <v>63.0</v>
      </c>
      <c r="I132" s="41">
        <v>120.0</v>
      </c>
      <c r="J132" s="41">
        <v>57.0</v>
      </c>
      <c r="K132" s="41">
        <v>109.0</v>
      </c>
      <c r="L132" s="41">
        <v>0.0</v>
      </c>
      <c r="M132" s="41">
        <v>-7.0</v>
      </c>
      <c r="N132" s="41">
        <v>6.0</v>
      </c>
      <c r="O132" s="41">
        <v>127.0</v>
      </c>
      <c r="P132" s="41">
        <v>72.0</v>
      </c>
      <c r="Q132" s="41">
        <v>87.0</v>
      </c>
      <c r="R132" s="41">
        <v>126.0</v>
      </c>
      <c r="S132" s="41">
        <v>57.0</v>
      </c>
      <c r="T132" s="41">
        <v>69.0</v>
      </c>
      <c r="U132" s="41">
        <v>75.0</v>
      </c>
      <c r="V132" s="41">
        <v>111.0</v>
      </c>
      <c r="W132" s="41">
        <v>96.0</v>
      </c>
      <c r="X132" s="41">
        <v>96.0</v>
      </c>
      <c r="Y132" s="41">
        <v>57.0</v>
      </c>
      <c r="Z132" s="41">
        <v>86.0</v>
      </c>
      <c r="AA132" s="41">
        <v>165.0</v>
      </c>
      <c r="AB132" s="41">
        <v>159.0</v>
      </c>
      <c r="AC132" s="41">
        <v>210.0</v>
      </c>
      <c r="AD132" s="41">
        <v>294.0</v>
      </c>
      <c r="AE132" s="41">
        <v>21.0</v>
      </c>
      <c r="AF132" s="41">
        <v>0.0</v>
      </c>
      <c r="AG132" s="41">
        <v>245.0</v>
      </c>
      <c r="AH132" s="41">
        <v>147.0</v>
      </c>
      <c r="AI132" s="41">
        <v>204.0</v>
      </c>
      <c r="AJ132" s="41">
        <v>100.0</v>
      </c>
      <c r="AK132" s="41">
        <v>135.0</v>
      </c>
      <c r="AL132" s="41">
        <v>198.0</v>
      </c>
      <c r="AM132" s="43">
        <v>212.0</v>
      </c>
      <c r="AN132" s="43">
        <v>97.0</v>
      </c>
      <c r="AO132" s="43">
        <v>168.0</v>
      </c>
      <c r="AP132" s="43">
        <v>257.0</v>
      </c>
      <c r="AQ132" s="43">
        <v>111.0</v>
      </c>
      <c r="AR132" s="43">
        <v>123.0</v>
      </c>
      <c r="AS132" s="43">
        <v>248.0</v>
      </c>
      <c r="AT132" s="4">
        <f t="shared" si="4"/>
        <v>2000.0</v>
      </c>
      <c r="AU132" s="4">
        <f t="shared" si="5"/>
        <v>996.0</v>
      </c>
      <c r="AV132" s="4">
        <f t="shared" si="6"/>
        <v>1095.6</v>
      </c>
      <c r="AW132" s="1">
        <f t="shared" si="472"/>
        <v>123.314285714286</v>
      </c>
      <c r="AX132" s="1">
        <f t="shared" si="473"/>
        <v>154.142857142857</v>
      </c>
      <c r="AY132" s="1">
        <f t="shared" si="474"/>
        <v>166.0</v>
      </c>
      <c r="AZ132" s="1">
        <f t="shared" si="475"/>
        <v>230.028571428571</v>
      </c>
      <c r="BA132" s="1">
        <f t="shared" si="476"/>
        <v>109.085714285714</v>
      </c>
      <c r="BB132" s="1">
        <f t="shared" si="477"/>
        <v>213.428571428571</v>
      </c>
      <c r="BC132" s="4">
        <f t="shared" si="478"/>
        <v>995.999999999999</v>
      </c>
      <c r="BD132" s="3">
        <f>VLOOKUP(D132,FEB23SOH,2,false)</f>
        <v>740.0</v>
      </c>
      <c r="BE132" s="44">
        <f>VLOOKUP(D132,UNITVALUE,4,false)</f>
        <v>2.1164</v>
      </c>
      <c r="BF132" s="44">
        <f t="shared" si="16"/>
        <v>1566.136</v>
      </c>
      <c r="BI132" s="6">
        <f t="shared" si="479"/>
        <v>-255.99999999998</v>
      </c>
      <c r="BJ132" s="1">
        <f>VLOOKUP(C132,MOQ,3,FALSE())</f>
        <v>1002.0</v>
      </c>
      <c r="BK132" s="51">
        <f>BJ132</f>
        <v>1002.0</v>
      </c>
      <c r="BL132" s="8" t="s">
        <v>9</v>
      </c>
      <c r="BM132" s="1">
        <f t="shared" si="481"/>
        <v>740.0</v>
      </c>
      <c r="BN132" s="1">
        <f t="shared" si="482"/>
        <v>123.314285714286</v>
      </c>
      <c r="BP132" s="45">
        <f t="shared" si="483"/>
        <v>616.685714285714</v>
      </c>
      <c r="BQ132" s="5">
        <f t="shared" si="496"/>
        <v>1305.15364571429</v>
      </c>
      <c r="BR132" s="1">
        <f t="shared" si="484"/>
        <v>154.142857142857</v>
      </c>
      <c r="BS132" s="1">
        <f t="shared" si="485"/>
      </c>
      <c r="BT132" s="45">
        <f t="shared" si="486"/>
        <v>462.542857142857</v>
      </c>
      <c r="BU132" s="5">
        <f t="shared" si="497"/>
        <v>978.925702857142</v>
      </c>
      <c r="BV132" s="1">
        <f t="shared" si="487"/>
        <v>166.0</v>
      </c>
      <c r="BW132" s="1">
        <f t="shared" si="488"/>
      </c>
      <c r="BX132" s="45">
        <f t="shared" si="489"/>
        <v>296.542857142857</v>
      </c>
      <c r="BY132" s="5"/>
      <c r="BZ132" s="1">
        <f t="shared" si="490"/>
        <v>230.028571428571</v>
      </c>
      <c r="CB132" s="45">
        <f t="shared" si="491"/>
        <v>66.514285714286</v>
      </c>
      <c r="CC132" s="5"/>
      <c r="CD132" s="1">
        <f t="shared" si="492"/>
        <v>109.085714285714</v>
      </c>
      <c r="CF132" s="45">
        <f t="shared" si="493"/>
        <v>-42.571428571428</v>
      </c>
      <c r="CG132" s="5"/>
      <c r="CH132" s="1">
        <f t="shared" si="494"/>
        <v>213.428571428571</v>
      </c>
      <c r="CJ132" s="45">
        <f t="shared" si="495"/>
        <v>-255.99999999998</v>
      </c>
      <c r="CK132" s="5"/>
    </row>
    <row r="133" ht="17.0">
      <c r="A133" s="41" t="s">
        <v>30</v>
      </c>
      <c r="B133" s="10" t="s">
        <v>289</v>
      </c>
      <c r="C133" s="41" t="s">
        <v>296</v>
      </c>
      <c r="D133" s="55" t="s">
        <v>297</v>
      </c>
      <c r="E133" s="41">
        <v>19.0</v>
      </c>
      <c r="F133" s="41">
        <v>14.0</v>
      </c>
      <c r="G133" s="41">
        <v>3.0</v>
      </c>
      <c r="H133" s="41">
        <v>24.0</v>
      </c>
      <c r="I133" s="41">
        <v>33.0</v>
      </c>
      <c r="J133" s="41">
        <v>10.0</v>
      </c>
      <c r="K133" s="41">
        <v>22.0</v>
      </c>
      <c r="L133" s="41">
        <v>4.0</v>
      </c>
      <c r="M133" s="41">
        <v>-11.0</v>
      </c>
      <c r="N133" s="41">
        <v>-10.0</v>
      </c>
      <c r="O133" s="41">
        <v>26.0</v>
      </c>
      <c r="P133" s="41">
        <v>7.0</v>
      </c>
      <c r="Q133" s="41">
        <v>16.0</v>
      </c>
      <c r="R133" s="41">
        <v>4.0</v>
      </c>
      <c r="S133" s="41">
        <v>2.0</v>
      </c>
      <c r="T133" s="41">
        <v>16.0</v>
      </c>
      <c r="U133" s="41">
        <v>21.0</v>
      </c>
      <c r="V133" s="41">
        <v>15.0</v>
      </c>
      <c r="W133" s="41">
        <v>12.0</v>
      </c>
      <c r="X133" s="41">
        <v>15.0</v>
      </c>
      <c r="Y133" s="41">
        <v>7.0</v>
      </c>
      <c r="Z133" s="41">
        <v>9.0</v>
      </c>
      <c r="AA133" s="41">
        <v>8.0</v>
      </c>
      <c r="AB133" s="41">
        <v>3.0</v>
      </c>
      <c r="AC133" s="41">
        <v>7.0</v>
      </c>
      <c r="AD133" s="41">
        <v>15.0</v>
      </c>
      <c r="AE133" s="41">
        <v>3.0</v>
      </c>
      <c r="AF133" s="41">
        <v>6.0</v>
      </c>
      <c r="AG133" s="41">
        <v>12.0</v>
      </c>
      <c r="AH133" s="41">
        <v>3.0</v>
      </c>
      <c r="AI133" s="41">
        <v>15.0</v>
      </c>
      <c r="AJ133" s="41">
        <v>4.0</v>
      </c>
      <c r="AK133" s="41">
        <v>0.0</v>
      </c>
      <c r="AL133" s="41">
        <v>3.0</v>
      </c>
      <c r="AM133" s="43">
        <v>24.0</v>
      </c>
      <c r="AN133" s="43">
        <v>4.0</v>
      </c>
      <c r="AO133" s="43">
        <v>3.0</v>
      </c>
      <c r="AP133" s="43">
        <v>23.0</v>
      </c>
      <c r="AQ133" s="43">
        <v>-1.0</v>
      </c>
      <c r="AR133" s="43">
        <v>8.0</v>
      </c>
      <c r="AS133" s="43">
        <v>10.0</v>
      </c>
      <c r="AT133" s="4">
        <f t="shared" si="4"/>
        <v>96.0</v>
      </c>
      <c r="AU133" s="4">
        <f t="shared" si="5"/>
        <v>49.0</v>
      </c>
      <c r="AV133" s="4">
        <f t="shared" si="6"/>
        <v>53.9</v>
      </c>
      <c r="AW133" s="1">
        <f t="shared" si="472"/>
        <v>6.06666666666667</v>
      </c>
      <c r="AX133" s="1">
        <f t="shared" si="473"/>
        <v>7.58333333333333</v>
      </c>
      <c r="AY133" s="1">
        <f t="shared" si="474"/>
        <v>8.1666666666667</v>
      </c>
      <c r="AZ133" s="1">
        <f t="shared" si="475"/>
        <v>11.3166666666667</v>
      </c>
      <c r="BA133" s="1">
        <f t="shared" si="476"/>
        <v>5.36666666666667</v>
      </c>
      <c r="BB133" s="1">
        <f t="shared" si="477"/>
        <v>10.5</v>
      </c>
      <c r="BC133" s="4">
        <f t="shared" si="478"/>
        <v>49.0</v>
      </c>
      <c r="BD133" s="3">
        <f>VLOOKUP(D133,FEB23SOH,2,false)</f>
        <v>499.0</v>
      </c>
      <c r="BE133" s="44">
        <f>VLOOKUP(D133,UNITVALUE,4,false)</f>
        <v>1.8311</v>
      </c>
      <c r="BF133" s="44">
        <f t="shared" si="16"/>
        <v>913.7189</v>
      </c>
      <c r="BI133" s="6">
        <f t="shared" si="479"/>
        <v>450.0</v>
      </c>
      <c r="BJ133" s="1">
        <f>VLOOKUP(C133,MOQ,3,FALSE())</f>
        <v>1002.0</v>
      </c>
      <c r="BK133" s="53" t="s">
        <v>0</v>
      </c>
      <c r="BM133" s="1">
        <f t="shared" si="481"/>
        <v>499.0</v>
      </c>
      <c r="BN133" s="1">
        <f t="shared" si="482"/>
        <v>6.06666666666667</v>
      </c>
      <c r="BP133" s="45">
        <f t="shared" si="483"/>
        <v>492.933333333333</v>
      </c>
      <c r="BQ133" s="5">
        <f t="shared" si="496"/>
        <v>902.610226666666</v>
      </c>
      <c r="BR133" s="1">
        <f t="shared" si="484"/>
        <v>7.58333333333333</v>
      </c>
      <c r="BS133" s="1">
        <f t="shared" si="485"/>
      </c>
      <c r="BT133" s="45">
        <f t="shared" si="486"/>
        <v>485.35</v>
      </c>
      <c r="BU133" s="5">
        <f t="shared" si="497"/>
        <v>888.724385</v>
      </c>
      <c r="BV133" s="1">
        <f t="shared" si="487"/>
        <v>8.1666666666667</v>
      </c>
      <c r="BW133" s="1">
        <f t="shared" si="488"/>
      </c>
      <c r="BX133" s="45">
        <f t="shared" si="489"/>
        <v>477.183333333333</v>
      </c>
      <c r="BY133" s="5">
        <f t="shared" ref="BY133:BY135" si="503">BX133*BE133</f>
        <v>873.770401666666</v>
      </c>
      <c r="BZ133" s="1">
        <f t="shared" si="490"/>
        <v>11.3166666666667</v>
      </c>
      <c r="CB133" s="45">
        <f t="shared" si="491"/>
        <v>465.866666666666</v>
      </c>
      <c r="CC133" s="5">
        <f t="shared" ref="CC133:CC135" si="504">CB133*BE133</f>
        <v>853.048453333332</v>
      </c>
      <c r="CD133" s="1">
        <f t="shared" si="492"/>
        <v>5.36666666666667</v>
      </c>
      <c r="CF133" s="45">
        <f t="shared" si="493"/>
        <v>460.499999999999</v>
      </c>
      <c r="CG133" s="5">
        <f t="shared" ref="CG133:CG135" si="505">CF133*BE133</f>
        <v>843.221549999998</v>
      </c>
      <c r="CH133" s="1">
        <f t="shared" si="494"/>
        <v>10.5</v>
      </c>
      <c r="CJ133" s="45">
        <f t="shared" si="495"/>
        <v>449.999999999999</v>
      </c>
      <c r="CK133" s="5">
        <f t="shared" ref="CK133:CK135" si="506">CJ133*BE133</f>
        <v>823.994999999998</v>
      </c>
    </row>
    <row r="134" ht="17.0">
      <c r="A134" s="41" t="s">
        <v>30</v>
      </c>
      <c r="B134" s="10" t="s">
        <v>289</v>
      </c>
      <c r="C134" s="41" t="s">
        <v>298</v>
      </c>
      <c r="D134" s="42" t="s">
        <v>299</v>
      </c>
      <c r="E134" s="41">
        <v>23.0</v>
      </c>
      <c r="F134" s="41">
        <v>34.0</v>
      </c>
      <c r="G134" s="41">
        <v>5.0</v>
      </c>
      <c r="H134" s="41">
        <v>12.0</v>
      </c>
      <c r="I134" s="41">
        <v>19.0</v>
      </c>
      <c r="J134" s="41">
        <v>-2.0</v>
      </c>
      <c r="K134" s="41">
        <v>-5.0</v>
      </c>
      <c r="L134" s="41">
        <v>-6.0</v>
      </c>
      <c r="M134" s="41">
        <v>-1.0</v>
      </c>
      <c r="N134" s="41">
        <v>-1.0</v>
      </c>
      <c r="O134" s="41">
        <v>22.0</v>
      </c>
      <c r="P134" s="41">
        <v>14.0</v>
      </c>
      <c r="Q134" s="41">
        <v>6.0</v>
      </c>
      <c r="R134" s="41">
        <v>19.0</v>
      </c>
      <c r="S134" s="41">
        <v>18.0</v>
      </c>
      <c r="T134" s="41">
        <v>11.0</v>
      </c>
      <c r="U134" s="41">
        <v>30.0</v>
      </c>
      <c r="V134" s="41">
        <v>21.0</v>
      </c>
      <c r="W134" s="41">
        <v>15.0</v>
      </c>
      <c r="X134" s="41">
        <v>21.0</v>
      </c>
      <c r="Y134" s="41">
        <v>-2.0</v>
      </c>
      <c r="Z134" s="41">
        <v>9.0</v>
      </c>
      <c r="AA134" s="41">
        <v>15.0</v>
      </c>
      <c r="AB134" s="41">
        <v>9.0</v>
      </c>
      <c r="AC134" s="41">
        <v>21.0</v>
      </c>
      <c r="AD134" s="41">
        <v>12.0</v>
      </c>
      <c r="AE134" s="41">
        <v>3.0</v>
      </c>
      <c r="AF134" s="41">
        <v>2.0</v>
      </c>
      <c r="AG134" s="41">
        <v>17.0</v>
      </c>
      <c r="AH134" s="41">
        <v>18.0</v>
      </c>
      <c r="AI134" s="41">
        <v>11.0</v>
      </c>
      <c r="AJ134" s="41">
        <v>9.0</v>
      </c>
      <c r="AK134" s="41">
        <v>9.0</v>
      </c>
      <c r="AL134" s="41">
        <v>11.0</v>
      </c>
      <c r="AM134" s="43">
        <v>9.0</v>
      </c>
      <c r="AN134" s="43">
        <v>6.0</v>
      </c>
      <c r="AO134" s="43">
        <v>3.0</v>
      </c>
      <c r="AP134" s="43">
        <v>39.0</v>
      </c>
      <c r="AQ134" s="43">
        <v>6.0</v>
      </c>
      <c r="AR134" s="43">
        <v>29.0</v>
      </c>
      <c r="AS134" s="43">
        <v>19.0</v>
      </c>
      <c r="AT134" s="4">
        <f t="shared" si="4"/>
        <v>169.0</v>
      </c>
      <c r="AU134" s="4">
        <f t="shared" si="5"/>
        <v>67.0</v>
      </c>
      <c r="AV134" s="4">
        <f t="shared" si="6"/>
        <v>73.7</v>
      </c>
      <c r="AW134" s="1">
        <f t="shared" si="472"/>
        <v>8.29523809523809</v>
      </c>
      <c r="AX134" s="1">
        <f t="shared" si="473"/>
        <v>10.3690476190476</v>
      </c>
      <c r="AY134" s="1">
        <f t="shared" si="474"/>
        <v>11.1666666666667</v>
      </c>
      <c r="AZ134" s="1">
        <f t="shared" si="475"/>
        <v>15.4738095238095</v>
      </c>
      <c r="BA134" s="1">
        <f t="shared" si="476"/>
        <v>7.33809523809523</v>
      </c>
      <c r="BB134" s="1">
        <f t="shared" si="477"/>
        <v>14.3571428571429</v>
      </c>
      <c r="BC134" s="4">
        <f t="shared" si="478"/>
        <v>67.0</v>
      </c>
      <c r="BD134" s="3">
        <f>VLOOKUP(D134,FEB23SOH,2,false)</f>
        <v>489.0</v>
      </c>
      <c r="BE134" s="44">
        <f>VLOOKUP(D134,UNITVALUE,4,false)</f>
        <v>1.8314</v>
      </c>
      <c r="BF134" s="44">
        <f t="shared" si="16"/>
        <v>895.5546</v>
      </c>
      <c r="BI134" s="6">
        <f t="shared" si="479"/>
        <v>422.0</v>
      </c>
      <c r="BJ134" s="1">
        <f>VLOOKUP(C134,MOQ,3,FALSE())</f>
        <v>1002.0</v>
      </c>
      <c r="BK134" s="53" t="s">
        <v>0</v>
      </c>
      <c r="BM134" s="1">
        <f t="shared" si="481"/>
        <v>489.0</v>
      </c>
      <c r="BN134" s="1">
        <f t="shared" si="482"/>
        <v>8.29523809523809</v>
      </c>
      <c r="BP134" s="45">
        <f t="shared" si="483"/>
        <v>480.704761904761</v>
      </c>
      <c r="BQ134" s="5">
        <f t="shared" si="496"/>
        <v>880.362700952379</v>
      </c>
      <c r="BR134" s="1">
        <f t="shared" si="484"/>
        <v>10.3690476190476</v>
      </c>
      <c r="BS134" s="1">
        <f t="shared" si="485"/>
      </c>
      <c r="BT134" s="45">
        <f t="shared" si="486"/>
        <v>470.335714285713</v>
      </c>
      <c r="BU134" s="5">
        <f t="shared" si="497"/>
        <v>861.372827142854</v>
      </c>
      <c r="BV134" s="1">
        <f t="shared" si="487"/>
        <v>11.1666666666667</v>
      </c>
      <c r="BW134" s="1">
        <f t="shared" si="488"/>
      </c>
      <c r="BX134" s="45">
        <f t="shared" si="489"/>
        <v>459.169047619046</v>
      </c>
      <c r="BY134" s="5">
        <f t="shared" si="503"/>
        <v>840.92219380952</v>
      </c>
      <c r="BZ134" s="1">
        <f t="shared" si="490"/>
        <v>15.4738095238095</v>
      </c>
      <c r="CB134" s="45">
        <f t="shared" si="491"/>
        <v>443.695238095237</v>
      </c>
      <c r="CC134" s="5">
        <f t="shared" si="504"/>
        <v>812.583459047617</v>
      </c>
      <c r="CD134" s="1">
        <f t="shared" si="492"/>
        <v>7.33809523809523</v>
      </c>
      <c r="CF134" s="45">
        <f t="shared" si="493"/>
        <v>436.357142857141</v>
      </c>
      <c r="CG134" s="5">
        <f t="shared" si="505"/>
        <v>799.144471428568</v>
      </c>
      <c r="CH134" s="1">
        <f t="shared" si="494"/>
        <v>14.3571428571429</v>
      </c>
      <c r="CJ134" s="45">
        <f t="shared" si="495"/>
        <v>421.999999999998</v>
      </c>
      <c r="CK134" s="5">
        <f t="shared" si="506"/>
        <v>772.850799999996</v>
      </c>
    </row>
    <row r="135" ht="17.0">
      <c r="A135" s="41" t="s">
        <v>30</v>
      </c>
      <c r="B135" s="10" t="s">
        <v>289</v>
      </c>
      <c r="C135" s="41" t="s">
        <v>300</v>
      </c>
      <c r="D135" s="42" t="s">
        <v>301</v>
      </c>
      <c r="E135" s="41">
        <v>2.0</v>
      </c>
      <c r="F135" s="41">
        <v>25.0</v>
      </c>
      <c r="G135" s="41">
        <v>15.0</v>
      </c>
      <c r="H135" s="41">
        <v>9.0</v>
      </c>
      <c r="I135" s="41">
        <v>24.0</v>
      </c>
      <c r="J135" s="41">
        <v>25.0</v>
      </c>
      <c r="K135" s="41">
        <v>29.0</v>
      </c>
      <c r="L135" s="41">
        <v>29.0</v>
      </c>
      <c r="M135" s="41">
        <v>9.0</v>
      </c>
      <c r="N135" s="41">
        <v>15.0</v>
      </c>
      <c r="O135" s="41">
        <v>51.0</v>
      </c>
      <c r="P135" s="41">
        <v>13.0</v>
      </c>
      <c r="Q135" s="41">
        <v>24.0</v>
      </c>
      <c r="R135" s="41">
        <v>27.0</v>
      </c>
      <c r="S135" s="41">
        <v>23.0</v>
      </c>
      <c r="T135" s="41">
        <v>-6.0</v>
      </c>
      <c r="U135" s="41">
        <v>-2.0</v>
      </c>
      <c r="V135" s="41">
        <v>0.0</v>
      </c>
      <c r="W135" s="41">
        <v>-2.0</v>
      </c>
      <c r="X135" s="41">
        <v>-5.0</v>
      </c>
      <c r="Y135" s="41">
        <v>0.0</v>
      </c>
      <c r="Z135" s="41">
        <v>22.0</v>
      </c>
      <c r="AA135" s="41">
        <v>45.0</v>
      </c>
      <c r="AB135" s="41">
        <v>38.0</v>
      </c>
      <c r="AC135" s="41">
        <v>21.0</v>
      </c>
      <c r="AD135" s="41">
        <v>18.0</v>
      </c>
      <c r="AE135" s="41">
        <v>4.0</v>
      </c>
      <c r="AF135" s="41">
        <v>8.0</v>
      </c>
      <c r="AG135" s="41">
        <v>42.0</v>
      </c>
      <c r="AH135" s="41">
        <v>27.0</v>
      </c>
      <c r="AI135" s="41">
        <v>39.0</v>
      </c>
      <c r="AJ135" s="41">
        <v>37.0</v>
      </c>
      <c r="AK135" s="41">
        <v>21.0</v>
      </c>
      <c r="AL135" s="41">
        <v>12.0</v>
      </c>
      <c r="AM135" s="43">
        <v>50.0</v>
      </c>
      <c r="AN135" s="43">
        <v>11.0</v>
      </c>
      <c r="AO135" s="43">
        <v>18.0</v>
      </c>
      <c r="AP135" s="43">
        <v>51.0</v>
      </c>
      <c r="AQ135" s="43">
        <v>12.0</v>
      </c>
      <c r="AR135" s="43">
        <v>15.0</v>
      </c>
      <c r="AS135" s="43">
        <v>26.0</v>
      </c>
      <c r="AT135" s="4">
        <f t="shared" si="4"/>
        <v>319.0</v>
      </c>
      <c r="AU135" s="4">
        <f t="shared" si="5"/>
        <v>186.0</v>
      </c>
      <c r="AV135" s="4">
        <f t="shared" si="6"/>
        <v>204.6</v>
      </c>
      <c r="AW135" s="1">
        <f t="shared" si="472"/>
        <v>23.0285714285714</v>
      </c>
      <c r="AX135" s="1">
        <f t="shared" si="473"/>
        <v>28.7857142857142</v>
      </c>
      <c r="AY135" s="1">
        <f t="shared" si="474"/>
        <v>31.0</v>
      </c>
      <c r="AZ135" s="1">
        <f t="shared" si="475"/>
        <v>42.9571428571429</v>
      </c>
      <c r="BA135" s="1">
        <f t="shared" si="476"/>
        <v>20.3714285714286</v>
      </c>
      <c r="BB135" s="1">
        <f t="shared" si="477"/>
        <v>39.8571428571429</v>
      </c>
      <c r="BC135" s="4">
        <f t="shared" si="478"/>
        <v>186.0</v>
      </c>
      <c r="BD135" s="3">
        <f>VLOOKUP(D135,FEB23SOH,2,false)</f>
        <v>460.0</v>
      </c>
      <c r="BE135" s="44">
        <f>VLOOKUP(D135,UNITVALUE,4,false)</f>
        <v>1.8581</v>
      </c>
      <c r="BF135" s="44">
        <f t="shared" si="16"/>
        <v>854.726</v>
      </c>
      <c r="BI135" s="6">
        <f t="shared" si="479"/>
        <v>274.0</v>
      </c>
      <c r="BJ135" s="1">
        <f>VLOOKUP(C135,MOQ,3,FALSE())</f>
        <v>1002.0</v>
      </c>
      <c r="BK135" s="53" t="s">
        <v>0</v>
      </c>
      <c r="BM135" s="1">
        <f t="shared" si="481"/>
        <v>460.0</v>
      </c>
      <c r="BN135" s="1">
        <f t="shared" si="482"/>
        <v>23.0285714285714</v>
      </c>
      <c r="BP135" s="45">
        <f t="shared" si="483"/>
        <v>436.97142857142</v>
      </c>
      <c r="BQ135" s="5">
        <f t="shared" si="496"/>
        <v>811.936611428556</v>
      </c>
      <c r="BR135" s="1">
        <f t="shared" si="484"/>
        <v>28.7857142857142</v>
      </c>
      <c r="BS135" s="1">
        <f t="shared" si="485"/>
      </c>
      <c r="BT135" s="45">
        <f t="shared" si="486"/>
        <v>408.185714285706</v>
      </c>
      <c r="BU135" s="5">
        <f t="shared" si="497"/>
        <v>758.44987571427</v>
      </c>
      <c r="BV135" s="1">
        <f t="shared" si="487"/>
        <v>31.0</v>
      </c>
      <c r="BW135" s="1">
        <f t="shared" si="488"/>
      </c>
      <c r="BX135" s="45">
        <f t="shared" si="489"/>
        <v>377.185714285706</v>
      </c>
      <c r="BY135" s="5">
        <f t="shared" si="503"/>
        <v>700.84877571427</v>
      </c>
      <c r="BZ135" s="1">
        <f t="shared" si="490"/>
        <v>42.9571428571429</v>
      </c>
      <c r="CB135" s="45">
        <f t="shared" si="491"/>
        <v>334.228571428563</v>
      </c>
      <c r="CC135" s="5">
        <f t="shared" si="504"/>
        <v>621.030108571412</v>
      </c>
      <c r="CD135" s="1">
        <f t="shared" si="492"/>
        <v>20.3714285714286</v>
      </c>
      <c r="CF135" s="45">
        <f t="shared" si="493"/>
        <v>313.857142857134</v>
      </c>
      <c r="CG135" s="5">
        <f t="shared" si="505"/>
        <v>583.17795714284</v>
      </c>
      <c r="CH135" s="1">
        <f t="shared" si="494"/>
        <v>39.8571428571429</v>
      </c>
      <c r="CJ135" s="45">
        <f t="shared" si="495"/>
        <v>273.999999999991</v>
      </c>
      <c r="CK135" s="5">
        <f t="shared" si="506"/>
        <v>509.119399999983</v>
      </c>
    </row>
    <row r="136" ht="17.0">
      <c r="A136" s="41" t="s">
        <v>30</v>
      </c>
      <c r="B136" s="10" t="s">
        <v>289</v>
      </c>
      <c r="C136" s="41" t="s">
        <v>302</v>
      </c>
      <c r="D136" s="55" t="s">
        <v>303</v>
      </c>
      <c r="E136" s="41">
        <v>38.0</v>
      </c>
      <c r="F136" s="41">
        <v>45.0</v>
      </c>
      <c r="G136" s="41">
        <v>18.0</v>
      </c>
      <c r="H136" s="41">
        <v>9.0</v>
      </c>
      <c r="I136" s="41">
        <v>38.0</v>
      </c>
      <c r="J136" s="41">
        <v>37.0</v>
      </c>
      <c r="K136" s="41">
        <v>21.0</v>
      </c>
      <c r="L136" s="41">
        <v>40.0</v>
      </c>
      <c r="M136" s="41">
        <v>24.0</v>
      </c>
      <c r="N136" s="41">
        <v>12.0</v>
      </c>
      <c r="O136" s="41">
        <v>8.0</v>
      </c>
      <c r="P136" s="41">
        <v>21.0</v>
      </c>
      <c r="Q136" s="41">
        <v>24.0</v>
      </c>
      <c r="R136" s="41">
        <v>27.0</v>
      </c>
      <c r="S136" s="41">
        <v>19.0</v>
      </c>
      <c r="T136" s="41">
        <v>14.0</v>
      </c>
      <c r="U136" s="41">
        <v>27.0</v>
      </c>
      <c r="V136" s="41">
        <v>18.0</v>
      </c>
      <c r="W136" s="41">
        <v>12.0</v>
      </c>
      <c r="X136" s="41">
        <v>18.0</v>
      </c>
      <c r="Y136" s="41">
        <v>13.0</v>
      </c>
      <c r="Z136" s="41">
        <v>18.0</v>
      </c>
      <c r="AA136" s="41">
        <v>20.0</v>
      </c>
      <c r="AB136" s="41">
        <v>21.0</v>
      </c>
      <c r="AC136" s="41">
        <v>14.0</v>
      </c>
      <c r="AD136" s="41">
        <v>30.0</v>
      </c>
      <c r="AE136" s="41">
        <v>15.0</v>
      </c>
      <c r="AF136" s="41">
        <v>8.0</v>
      </c>
      <c r="AG136" s="41">
        <v>15.0</v>
      </c>
      <c r="AH136" s="41">
        <v>4.0</v>
      </c>
      <c r="AI136" s="41">
        <v>23.0</v>
      </c>
      <c r="AJ136" s="41">
        <v>18.0</v>
      </c>
      <c r="AK136" s="41">
        <v>12.0</v>
      </c>
      <c r="AL136" s="41">
        <v>5.0</v>
      </c>
      <c r="AM136" s="43">
        <v>30.0</v>
      </c>
      <c r="AN136" s="43">
        <v>12.0</v>
      </c>
      <c r="AO136" s="43">
        <v>-2.0</v>
      </c>
      <c r="AP136" s="43">
        <v>20.0</v>
      </c>
      <c r="AQ136" s="43">
        <v>2.0</v>
      </c>
      <c r="AR136" s="43">
        <v>-2.0</v>
      </c>
      <c r="AS136" s="43">
        <v>-1.0</v>
      </c>
      <c r="AT136" s="4">
        <f t="shared" si="4"/>
        <v>121.0</v>
      </c>
      <c r="AU136" s="4">
        <f t="shared" si="5"/>
        <v>92.0</v>
      </c>
      <c r="AV136" s="4">
        <f t="shared" si="6"/>
        <v>101.2</v>
      </c>
      <c r="AW136" s="1">
        <f t="shared" si="472"/>
        <v>11.3904761904761</v>
      </c>
      <c r="AX136" s="1">
        <f t="shared" si="473"/>
        <v>14.2380952380952</v>
      </c>
      <c r="AY136" s="1">
        <f t="shared" si="474"/>
        <v>15.3333333333333</v>
      </c>
      <c r="AZ136" s="1">
        <f t="shared" si="475"/>
        <v>21.247619047619</v>
      </c>
      <c r="BA136" s="1">
        <f t="shared" si="476"/>
        <v>10.0761904761904</v>
      </c>
      <c r="BB136" s="1">
        <f t="shared" si="477"/>
        <v>19.7142857142857</v>
      </c>
      <c r="BC136" s="4">
        <f t="shared" si="478"/>
        <v>91.9999999999997</v>
      </c>
      <c r="BD136" s="3">
        <f>VLOOKUP(D136,FEB23SOH,2,false)</f>
        <v>1.0</v>
      </c>
      <c r="BE136" s="44">
        <f>VLOOKUP(D136,UNITVALUE,4,false)</f>
        <v>1.81</v>
      </c>
      <c r="BF136" s="44">
        <f t="shared" si="16"/>
        <v>1.81</v>
      </c>
      <c r="BI136" s="6">
        <f t="shared" si="479"/>
        <v>-90.9999999999997</v>
      </c>
      <c r="BJ136" s="1">
        <f>VLOOKUP(C136,MOQ,3,FALSE())</f>
        <v>1002.0</v>
      </c>
      <c r="BK136" s="53" t="s">
        <v>0</v>
      </c>
      <c r="BL136" s="8" t="s">
        <v>5</v>
      </c>
      <c r="BM136" s="1">
        <f t="shared" si="481"/>
        <v>1.0</v>
      </c>
      <c r="BN136" s="1">
        <f t="shared" si="482"/>
        <v>11.3904761904761</v>
      </c>
      <c r="BP136" s="45">
        <f t="shared" si="483"/>
        <v>-10.3904761904761</v>
      </c>
      <c r="BR136" s="1">
        <f t="shared" si="484"/>
        <v>14.2380952380952</v>
      </c>
      <c r="BS136" s="1">
        <f t="shared" si="485"/>
      </c>
      <c r="BT136" s="45">
        <f t="shared" si="486"/>
        <v>-24.6285714285713</v>
      </c>
      <c r="BU136" s="5"/>
      <c r="BV136" s="1">
        <f t="shared" si="487"/>
        <v>15.3333333333333</v>
      </c>
      <c r="BW136" s="1">
        <f t="shared" si="488"/>
      </c>
      <c r="BX136" s="45">
        <f t="shared" si="489"/>
        <v>-39.9619047619046</v>
      </c>
      <c r="BY136" s="5"/>
      <c r="BZ136" s="1">
        <f t="shared" si="490"/>
        <v>21.247619047619</v>
      </c>
      <c r="CB136" s="45">
        <f t="shared" si="491"/>
        <v>-61.2095238095236</v>
      </c>
      <c r="CC136" s="5"/>
      <c r="CD136" s="1">
        <f t="shared" si="492"/>
        <v>10.0761904761904</v>
      </c>
      <c r="CF136" s="45">
        <f t="shared" si="493"/>
        <v>-71.285714285714</v>
      </c>
      <c r="CG136" s="5"/>
      <c r="CH136" s="1">
        <f t="shared" si="494"/>
        <v>19.7142857142857</v>
      </c>
      <c r="CJ136" s="45">
        <f t="shared" si="495"/>
        <v>-90.9999999999995</v>
      </c>
      <c r="CK136" s="5"/>
    </row>
    <row r="137" ht="17.0">
      <c r="A137" s="41" t="s">
        <v>30</v>
      </c>
      <c r="B137" s="10" t="s">
        <v>289</v>
      </c>
      <c r="C137" s="41" t="s">
        <v>304</v>
      </c>
      <c r="D137" s="55" t="s">
        <v>305</v>
      </c>
      <c r="E137" s="41">
        <v>12.0</v>
      </c>
      <c r="F137" s="41">
        <v>21.0</v>
      </c>
      <c r="G137" s="41">
        <v>3.0</v>
      </c>
      <c r="H137" s="41">
        <v>15.0</v>
      </c>
      <c r="I137" s="41">
        <v>30.0</v>
      </c>
      <c r="J137" s="41">
        <v>0.0</v>
      </c>
      <c r="K137" s="41">
        <v>10.0</v>
      </c>
      <c r="L137" s="41">
        <v>27.0</v>
      </c>
      <c r="M137" s="41">
        <v>-1.0</v>
      </c>
      <c r="N137" s="41">
        <v>-1.0</v>
      </c>
      <c r="O137" s="41">
        <v>-3.0</v>
      </c>
      <c r="P137" s="41">
        <v>0.0</v>
      </c>
      <c r="Q137" s="41">
        <v>-1.0</v>
      </c>
      <c r="R137" s="41">
        <v>0.0</v>
      </c>
      <c r="S137" s="41">
        <v>0.0</v>
      </c>
      <c r="T137" s="41">
        <v>0.0</v>
      </c>
      <c r="U137" s="41">
        <v>0.0</v>
      </c>
      <c r="V137" s="41">
        <v>0.0</v>
      </c>
      <c r="W137" s="41">
        <v>0.0</v>
      </c>
      <c r="X137" s="41">
        <v>0.0</v>
      </c>
      <c r="Y137" s="41">
        <v>6.0</v>
      </c>
      <c r="Z137" s="41">
        <v>36.0</v>
      </c>
      <c r="AA137" s="41">
        <v>33.0</v>
      </c>
      <c r="AB137" s="41">
        <v>51.0</v>
      </c>
      <c r="AC137" s="41">
        <v>51.0</v>
      </c>
      <c r="AD137" s="41">
        <v>36.0</v>
      </c>
      <c r="AE137" s="41">
        <v>15.0</v>
      </c>
      <c r="AF137" s="41">
        <v>12.0</v>
      </c>
      <c r="AG137" s="41">
        <v>42.0</v>
      </c>
      <c r="AH137" s="41">
        <v>21.0</v>
      </c>
      <c r="AI137" s="41">
        <v>27.0</v>
      </c>
      <c r="AJ137" s="41">
        <v>12.0</v>
      </c>
      <c r="AK137" s="41">
        <v>6.0</v>
      </c>
      <c r="AL137" s="41">
        <v>11.0</v>
      </c>
      <c r="AM137" s="43">
        <v>27.0</v>
      </c>
      <c r="AN137" s="43">
        <v>9.0</v>
      </c>
      <c r="AO137" s="43">
        <v>15.0</v>
      </c>
      <c r="AP137" s="43">
        <v>42.0</v>
      </c>
      <c r="AQ137" s="43">
        <v>10.0</v>
      </c>
      <c r="AR137" s="43">
        <v>22.0</v>
      </c>
      <c r="AS137" s="43">
        <v>32.0</v>
      </c>
      <c r="AT137" s="4">
        <f t="shared" si="4"/>
        <v>234.0</v>
      </c>
      <c r="AU137" s="4">
        <f t="shared" si="5"/>
        <v>104.0</v>
      </c>
      <c r="AV137" s="4">
        <f t="shared" si="6"/>
        <v>114.4</v>
      </c>
      <c r="AW137" s="1">
        <f t="shared" si="472"/>
        <v>12.8761904761904</v>
      </c>
      <c r="AX137" s="1">
        <f t="shared" si="473"/>
        <v>16.095238095238</v>
      </c>
      <c r="AY137" s="1">
        <f t="shared" si="474"/>
        <v>17.3333333333333</v>
      </c>
      <c r="AZ137" s="1">
        <f t="shared" si="475"/>
        <v>24.0190476190476</v>
      </c>
      <c r="BA137" s="1">
        <f t="shared" si="476"/>
        <v>11.3904761904761</v>
      </c>
      <c r="BB137" s="1">
        <f t="shared" si="477"/>
        <v>22.2857142857142</v>
      </c>
      <c r="BC137" s="4">
        <f t="shared" si="478"/>
        <v>104.0</v>
      </c>
      <c r="BD137" s="3">
        <f>VLOOKUP(D137,FEB23SOH,2,false)</f>
        <v>395.0</v>
      </c>
      <c r="BE137" s="44">
        <f>VLOOKUP(D137,UNITVALUE,4,false)</f>
        <v>1.8577</v>
      </c>
      <c r="BF137" s="44">
        <f t="shared" si="16"/>
        <v>733.7915</v>
      </c>
      <c r="BI137" s="6">
        <f t="shared" si="479"/>
        <v>291.0</v>
      </c>
      <c r="BJ137" s="1">
        <f>VLOOKUP(C137,MOQ,3,FALSE())</f>
        <v>1002.0</v>
      </c>
      <c r="BK137" s="53" t="s">
        <v>0</v>
      </c>
      <c r="BM137" s="1">
        <f t="shared" si="481"/>
        <v>395.0</v>
      </c>
      <c r="BN137" s="1">
        <f t="shared" si="482"/>
        <v>12.8761904761904</v>
      </c>
      <c r="BP137" s="45">
        <f t="shared" si="483"/>
        <v>382.12380952381</v>
      </c>
      <c r="BQ137" s="5">
        <f t="shared" ref="BQ137:BQ138" si="507">BP137*BE137</f>
        <v>709.871400952381</v>
      </c>
      <c r="BR137" s="1">
        <f t="shared" si="484"/>
        <v>16.095238095238</v>
      </c>
      <c r="BS137" s="1">
        <f t="shared" si="485"/>
      </c>
      <c r="BT137" s="45">
        <f t="shared" si="486"/>
        <v>366.028571428572</v>
      </c>
      <c r="BU137" s="5">
        <f t="shared" ref="BU137:BU138" si="508">BT137*BE137</f>
        <v>679.971277142858</v>
      </c>
      <c r="BV137" s="1">
        <f t="shared" si="487"/>
        <v>17.3333333333333</v>
      </c>
      <c r="BW137" s="1">
        <f t="shared" si="488"/>
      </c>
      <c r="BX137" s="45">
        <f t="shared" si="489"/>
        <v>348.695238095239</v>
      </c>
      <c r="BY137" s="5">
        <f t="shared" ref="BY137:BY138" si="509">BX137*BE137</f>
        <v>647.771143809526</v>
      </c>
      <c r="BZ137" s="1">
        <f t="shared" si="490"/>
        <v>24.0190476190476</v>
      </c>
      <c r="CB137" s="45">
        <f t="shared" si="491"/>
        <v>324.676190476191</v>
      </c>
      <c r="CC137" s="5">
        <f t="shared" ref="CC137:CC138" si="510">CB137*BE137</f>
        <v>603.15095904762</v>
      </c>
      <c r="CD137" s="1">
        <f t="shared" si="492"/>
        <v>11.3904761904761</v>
      </c>
      <c r="CF137" s="45">
        <f t="shared" si="493"/>
        <v>313.285714285714</v>
      </c>
      <c r="CG137" s="5">
        <f t="shared" ref="CG137:CG138" si="511">CF137*BE137</f>
        <v>581.99087142857</v>
      </c>
      <c r="CH137" s="1">
        <f t="shared" si="494"/>
        <v>22.2857142857142</v>
      </c>
      <c r="CJ137" s="45">
        <f t="shared" si="495"/>
        <v>291.0</v>
      </c>
      <c r="CK137" s="5">
        <f t="shared" ref="CK137:CK138" si="512">CJ137*BE137</f>
        <v>540.5907</v>
      </c>
    </row>
    <row r="138" ht="17.0">
      <c r="A138" s="41" t="s">
        <v>30</v>
      </c>
      <c r="B138" s="10" t="s">
        <v>289</v>
      </c>
      <c r="C138" s="41" t="s">
        <v>306</v>
      </c>
      <c r="D138" s="55" t="s">
        <v>307</v>
      </c>
      <c r="E138" s="41">
        <v>-10.0</v>
      </c>
      <c r="F138" s="41">
        <v>-6.0</v>
      </c>
      <c r="G138" s="41">
        <v>-3.0</v>
      </c>
      <c r="H138" s="41">
        <v>0.0</v>
      </c>
      <c r="I138" s="41">
        <v>-9.0</v>
      </c>
      <c r="J138" s="41">
        <v>-1.0</v>
      </c>
      <c r="K138" s="41">
        <v>-7.0</v>
      </c>
      <c r="L138" s="41">
        <v>-2.0</v>
      </c>
      <c r="M138" s="41">
        <v>-4.0</v>
      </c>
      <c r="N138" s="41">
        <v>-1.0</v>
      </c>
      <c r="O138" s="41">
        <v>47.0</v>
      </c>
      <c r="P138" s="41">
        <v>40.0</v>
      </c>
      <c r="Q138" s="41">
        <v>24.0</v>
      </c>
      <c r="R138" s="41">
        <v>19.0</v>
      </c>
      <c r="S138" s="41">
        <v>11.0</v>
      </c>
      <c r="T138" s="41">
        <v>18.0</v>
      </c>
      <c r="U138" s="41">
        <v>24.0</v>
      </c>
      <c r="V138" s="41">
        <v>8.0</v>
      </c>
      <c r="W138" s="41">
        <v>5.0</v>
      </c>
      <c r="X138" s="41">
        <v>9.0</v>
      </c>
      <c r="Y138" s="41">
        <v>7.0</v>
      </c>
      <c r="Z138" s="41">
        <v>12.0</v>
      </c>
      <c r="AA138" s="41">
        <v>24.0</v>
      </c>
      <c r="AB138" s="41">
        <v>0.0</v>
      </c>
      <c r="AC138" s="41">
        <v>7.0</v>
      </c>
      <c r="AD138" s="41">
        <v>8.0</v>
      </c>
      <c r="AE138" s="41">
        <v>3.0</v>
      </c>
      <c r="AF138" s="41">
        <v>8.0</v>
      </c>
      <c r="AG138" s="41">
        <v>21.0</v>
      </c>
      <c r="AH138" s="41">
        <v>12.0</v>
      </c>
      <c r="AI138" s="41">
        <v>0.0</v>
      </c>
      <c r="AJ138" s="41">
        <v>12.0</v>
      </c>
      <c r="AK138" s="41">
        <v>6.0</v>
      </c>
      <c r="AL138" s="41">
        <v>9.0</v>
      </c>
      <c r="AM138" s="43">
        <v>23.0</v>
      </c>
      <c r="AN138" s="43">
        <v>2.0</v>
      </c>
      <c r="AO138" s="43">
        <v>3.0</v>
      </c>
      <c r="AP138" s="43">
        <v>12.0</v>
      </c>
      <c r="AQ138" s="43">
        <v>9.0</v>
      </c>
      <c r="AR138" s="43">
        <v>0.0</v>
      </c>
      <c r="AS138" s="43">
        <v>19.0</v>
      </c>
      <c r="AT138" s="4">
        <f t="shared" si="4"/>
        <v>107.0</v>
      </c>
      <c r="AU138" s="4">
        <f t="shared" si="5"/>
        <v>62.0</v>
      </c>
      <c r="AV138" s="4">
        <f t="shared" si="6"/>
        <v>68.2</v>
      </c>
      <c r="AW138" s="1">
        <f t="shared" si="472"/>
        <v>7.67619047619048</v>
      </c>
      <c r="AX138" s="1">
        <f t="shared" si="473"/>
        <v>9.5952380952381</v>
      </c>
      <c r="AY138" s="1">
        <f t="shared" si="474"/>
        <v>10.3333333333333</v>
      </c>
      <c r="AZ138" s="1">
        <f t="shared" si="475"/>
        <v>14.3190476190476</v>
      </c>
      <c r="BA138" s="1">
        <f t="shared" si="476"/>
        <v>6.79047619047619</v>
      </c>
      <c r="BB138" s="1">
        <f t="shared" si="477"/>
        <v>13.2857142857142</v>
      </c>
      <c r="BC138" s="4">
        <f t="shared" si="478"/>
        <v>61.9999999999999</v>
      </c>
      <c r="BD138" s="3">
        <f>VLOOKUP(D138,FEB23SOH,2,false)</f>
        <v>430.0</v>
      </c>
      <c r="BE138" s="44">
        <f>VLOOKUP(D138,UNITVALUE,4,false)</f>
        <v>1.8308</v>
      </c>
      <c r="BF138" s="44">
        <f t="shared" si="16"/>
        <v>787.244</v>
      </c>
      <c r="BI138" s="6">
        <f t="shared" si="479"/>
        <v>368.0</v>
      </c>
      <c r="BJ138" s="1">
        <f>VLOOKUP(C138,MOQ,3,FALSE())</f>
        <v>1002.0</v>
      </c>
      <c r="BK138" s="53" t="s">
        <v>0</v>
      </c>
      <c r="BM138" s="1">
        <f t="shared" si="481"/>
        <v>430.0</v>
      </c>
      <c r="BN138" s="1">
        <f t="shared" si="482"/>
        <v>7.67619047619048</v>
      </c>
      <c r="BP138" s="45">
        <f t="shared" si="483"/>
        <v>422.32380952381</v>
      </c>
      <c r="BQ138" s="5">
        <f t="shared" si="507"/>
        <v>773.190430476191</v>
      </c>
      <c r="BR138" s="1">
        <f t="shared" si="484"/>
        <v>9.5952380952381</v>
      </c>
      <c r="BS138" s="1">
        <f t="shared" si="485"/>
      </c>
      <c r="BT138" s="45">
        <f t="shared" si="486"/>
        <v>412.728571428571</v>
      </c>
      <c r="BU138" s="5">
        <f t="shared" si="508"/>
        <v>755.623468571428</v>
      </c>
      <c r="BV138" s="1">
        <f t="shared" si="487"/>
        <v>10.3333333333333</v>
      </c>
      <c r="BW138" s="1">
        <f t="shared" si="488"/>
      </c>
      <c r="BX138" s="45">
        <f t="shared" si="489"/>
        <v>402.395238095238</v>
      </c>
      <c r="BY138" s="5">
        <f t="shared" si="509"/>
        <v>736.705201904761</v>
      </c>
      <c r="BZ138" s="1">
        <f t="shared" si="490"/>
        <v>14.3190476190476</v>
      </c>
      <c r="CB138" s="45">
        <f t="shared" si="491"/>
        <v>388.07619047619</v>
      </c>
      <c r="CC138" s="5">
        <f t="shared" si="510"/>
        <v>710.489889523809</v>
      </c>
      <c r="CD138" s="1">
        <f t="shared" si="492"/>
        <v>6.79047619047619</v>
      </c>
      <c r="CF138" s="45">
        <f t="shared" si="493"/>
        <v>381.285714285713</v>
      </c>
      <c r="CG138" s="5">
        <f t="shared" si="511"/>
        <v>698.057885714283</v>
      </c>
      <c r="CH138" s="1">
        <f t="shared" si="494"/>
        <v>13.2857142857142</v>
      </c>
      <c r="CJ138" s="45">
        <f t="shared" si="495"/>
        <v>368.0</v>
      </c>
      <c r="CK138" s="5">
        <f t="shared" si="512"/>
        <v>673.7344</v>
      </c>
    </row>
    <row r="139" ht="17.0">
      <c r="A139" s="41" t="s">
        <v>30</v>
      </c>
      <c r="B139" s="10" t="s">
        <v>289</v>
      </c>
      <c r="C139" s="41" t="s">
        <v>308</v>
      </c>
      <c r="D139" s="55" t="s">
        <v>309</v>
      </c>
      <c r="E139" s="41">
        <v>121.0</v>
      </c>
      <c r="F139" s="41">
        <v>102.0</v>
      </c>
      <c r="G139" s="41">
        <v>69.0</v>
      </c>
      <c r="H139" s="41">
        <v>50.0</v>
      </c>
      <c r="I139" s="41">
        <v>84.0</v>
      </c>
      <c r="J139" s="41">
        <v>33.0</v>
      </c>
      <c r="K139" s="41">
        <v>72.0</v>
      </c>
      <c r="L139" s="41">
        <v>15.0</v>
      </c>
      <c r="M139" s="41">
        <v>-8.0</v>
      </c>
      <c r="N139" s="41">
        <v>0.0</v>
      </c>
      <c r="O139" s="41">
        <v>78.0</v>
      </c>
      <c r="P139" s="41">
        <v>27.0</v>
      </c>
      <c r="Q139" s="41">
        <v>41.0</v>
      </c>
      <c r="R139" s="41">
        <v>54.0</v>
      </c>
      <c r="S139" s="41">
        <v>24.0</v>
      </c>
      <c r="T139" s="41">
        <v>36.0</v>
      </c>
      <c r="U139" s="41">
        <v>42.0</v>
      </c>
      <c r="V139" s="41">
        <v>18.0</v>
      </c>
      <c r="W139" s="41">
        <v>24.0</v>
      </c>
      <c r="X139" s="41">
        <v>35.0</v>
      </c>
      <c r="Y139" s="41">
        <v>21.0</v>
      </c>
      <c r="Z139" s="41">
        <v>29.0</v>
      </c>
      <c r="AA139" s="41">
        <v>53.0</v>
      </c>
      <c r="AB139" s="41">
        <v>30.0</v>
      </c>
      <c r="AC139" s="41">
        <v>42.0</v>
      </c>
      <c r="AD139" s="41">
        <v>51.0</v>
      </c>
      <c r="AE139" s="41">
        <v>30.0</v>
      </c>
      <c r="AF139" s="41">
        <v>15.0</v>
      </c>
      <c r="AG139" s="41">
        <v>39.0</v>
      </c>
      <c r="AH139" s="41">
        <v>25.0</v>
      </c>
      <c r="AI139" s="41">
        <v>30.0</v>
      </c>
      <c r="AJ139" s="41">
        <v>8.0</v>
      </c>
      <c r="AK139" s="41">
        <v>21.0</v>
      </c>
      <c r="AL139" s="41">
        <v>6.0</v>
      </c>
      <c r="AM139" s="43">
        <v>14.0</v>
      </c>
      <c r="AN139" s="43">
        <v>18.0</v>
      </c>
      <c r="AO139" s="43">
        <v>25.0</v>
      </c>
      <c r="AP139" s="43">
        <v>15.0</v>
      </c>
      <c r="AQ139" s="43">
        <v>0.0</v>
      </c>
      <c r="AR139" s="43">
        <v>-3.0</v>
      </c>
      <c r="AS139" s="43">
        <v>0.0</v>
      </c>
      <c r="AT139" s="4">
        <f t="shared" si="4"/>
        <v>159.0</v>
      </c>
      <c r="AU139" s="4">
        <f t="shared" si="5"/>
        <v>104.0</v>
      </c>
      <c r="AV139" s="4">
        <f t="shared" si="6"/>
        <v>114.4</v>
      </c>
      <c r="AW139" s="1">
        <f t="shared" si="472"/>
        <v>12.8761904761904</v>
      </c>
      <c r="AX139" s="1">
        <f t="shared" si="473"/>
        <v>16.095238095238</v>
      </c>
      <c r="AY139" s="1">
        <f t="shared" si="474"/>
        <v>17.3333333333333</v>
      </c>
      <c r="AZ139" s="1">
        <f t="shared" si="475"/>
        <v>24.0190476190476</v>
      </c>
      <c r="BA139" s="1">
        <f t="shared" si="476"/>
        <v>11.3904761904761</v>
      </c>
      <c r="BB139" s="1">
        <f t="shared" si="477"/>
        <v>22.2857142857142</v>
      </c>
      <c r="BC139" s="4">
        <f t="shared" si="478"/>
        <v>104.0</v>
      </c>
      <c r="BD139" s="3">
        <f>VLOOKUP(D139,FEB23SOH,2,false)</f>
        <v>3.0</v>
      </c>
      <c r="BE139" s="44">
        <f>VLOOKUP(D139,UNITVALUE,4,false)</f>
        <v>1.83</v>
      </c>
      <c r="BF139" s="44">
        <f t="shared" si="16"/>
        <v>5.49</v>
      </c>
      <c r="BI139" s="6">
        <f t="shared" si="479"/>
        <v>-101.0</v>
      </c>
      <c r="BJ139" s="1">
        <f>VLOOKUP(C139,MOQ,3,FALSE())</f>
        <v>1002.0</v>
      </c>
      <c r="BK139" s="53" t="s">
        <v>0</v>
      </c>
      <c r="BL139" s="8" t="s">
        <v>5</v>
      </c>
      <c r="BM139" s="1">
        <f t="shared" si="481"/>
        <v>3.0</v>
      </c>
      <c r="BN139" s="1">
        <f t="shared" si="482"/>
        <v>12.8761904761904</v>
      </c>
      <c r="BP139" s="45">
        <f t="shared" si="483"/>
        <v>-9.8761904761904</v>
      </c>
      <c r="BR139" s="1">
        <f t="shared" si="484"/>
        <v>16.095238095238</v>
      </c>
      <c r="BS139" s="1">
        <f t="shared" si="485"/>
      </c>
      <c r="BT139" s="45">
        <f t="shared" si="486"/>
        <v>-25.9714285714283</v>
      </c>
      <c r="BU139" s="5"/>
      <c r="BV139" s="1">
        <f t="shared" si="487"/>
        <v>17.3333333333333</v>
      </c>
      <c r="BW139" s="1">
        <f t="shared" si="488"/>
      </c>
      <c r="BX139" s="45">
        <f t="shared" si="489"/>
        <v>-43.3047619047616</v>
      </c>
      <c r="BY139" s="5"/>
      <c r="BZ139" s="1">
        <f t="shared" si="490"/>
        <v>24.0190476190476</v>
      </c>
      <c r="CB139" s="45">
        <f t="shared" si="491"/>
        <v>-67.3238095238092</v>
      </c>
      <c r="CC139" s="5"/>
      <c r="CD139" s="1">
        <f t="shared" si="492"/>
        <v>11.3904761904761</v>
      </c>
      <c r="CF139" s="45">
        <f t="shared" si="493"/>
        <v>-78.7142857142853</v>
      </c>
      <c r="CG139" s="5"/>
      <c r="CH139" s="1">
        <f t="shared" si="494"/>
        <v>22.2857142857142</v>
      </c>
      <c r="CJ139" s="45">
        <f t="shared" si="495"/>
        <v>-100.999999999999</v>
      </c>
      <c r="CK139" s="5"/>
    </row>
    <row r="140" ht="17.0">
      <c r="A140" s="41" t="s">
        <v>30</v>
      </c>
      <c r="B140" s="10" t="s">
        <v>289</v>
      </c>
      <c r="C140" s="41" t="s">
        <v>310</v>
      </c>
      <c r="D140" s="42" t="s">
        <v>311</v>
      </c>
      <c r="E140" s="41">
        <v>54.0</v>
      </c>
      <c r="F140" s="41">
        <v>69.0</v>
      </c>
      <c r="G140" s="41">
        <v>30.0</v>
      </c>
      <c r="H140" s="41">
        <v>30.0</v>
      </c>
      <c r="I140" s="41">
        <v>41.0</v>
      </c>
      <c r="J140" s="41">
        <v>24.0</v>
      </c>
      <c r="K140" s="41">
        <v>39.0</v>
      </c>
      <c r="L140" s="41">
        <v>62.0</v>
      </c>
      <c r="M140" s="41">
        <v>17.0</v>
      </c>
      <c r="N140" s="41">
        <v>45.0</v>
      </c>
      <c r="O140" s="41">
        <v>57.0</v>
      </c>
      <c r="P140" s="41">
        <v>54.0</v>
      </c>
      <c r="Q140" s="41">
        <v>42.0</v>
      </c>
      <c r="R140" s="41">
        <v>21.0</v>
      </c>
      <c r="S140" s="41">
        <v>21.0</v>
      </c>
      <c r="T140" s="41">
        <v>21.0</v>
      </c>
      <c r="U140" s="41">
        <v>45.0</v>
      </c>
      <c r="V140" s="41">
        <v>17.0</v>
      </c>
      <c r="W140" s="41">
        <v>-1.0</v>
      </c>
      <c r="X140" s="41">
        <v>0.0</v>
      </c>
      <c r="Y140" s="41">
        <v>12.0</v>
      </c>
      <c r="Z140" s="41">
        <v>27.0</v>
      </c>
      <c r="AA140" s="41">
        <v>45.0</v>
      </c>
      <c r="AB140" s="41">
        <v>23.0</v>
      </c>
      <c r="AC140" s="41">
        <v>32.0</v>
      </c>
      <c r="AD140" s="41">
        <v>33.0</v>
      </c>
      <c r="AE140" s="41">
        <v>9.0</v>
      </c>
      <c r="AF140" s="41">
        <v>8.0</v>
      </c>
      <c r="AG140" s="41">
        <v>33.0</v>
      </c>
      <c r="AH140" s="41">
        <v>33.0</v>
      </c>
      <c r="AI140" s="41">
        <v>24.0</v>
      </c>
      <c r="AJ140" s="41">
        <v>24.0</v>
      </c>
      <c r="AK140" s="41">
        <v>24.0</v>
      </c>
      <c r="AL140" s="41">
        <v>39.0</v>
      </c>
      <c r="AM140" s="43">
        <v>21.0</v>
      </c>
      <c r="AN140" s="43">
        <v>21.0</v>
      </c>
      <c r="AO140" s="43">
        <v>21.0</v>
      </c>
      <c r="AP140" s="43">
        <v>54.0</v>
      </c>
      <c r="AQ140" s="43">
        <v>24.0</v>
      </c>
      <c r="AR140" s="43">
        <v>24.0</v>
      </c>
      <c r="AS140" s="43">
        <v>51.0</v>
      </c>
      <c r="AT140" s="4">
        <f t="shared" si="4"/>
        <v>360.0</v>
      </c>
      <c r="AU140" s="4">
        <f t="shared" si="5"/>
        <v>165.0</v>
      </c>
      <c r="AV140" s="4">
        <f t="shared" si="6"/>
        <v>181.5</v>
      </c>
      <c r="AW140" s="1">
        <f t="shared" si="472"/>
        <v>20.4285714285714</v>
      </c>
      <c r="AX140" s="1">
        <f t="shared" si="473"/>
        <v>25.5357142857142</v>
      </c>
      <c r="AY140" s="1">
        <f t="shared" si="474"/>
        <v>27.5</v>
      </c>
      <c r="AZ140" s="1">
        <f t="shared" si="475"/>
        <v>38.1071428571429</v>
      </c>
      <c r="BA140" s="1">
        <f t="shared" si="476"/>
        <v>18.071428571429</v>
      </c>
      <c r="BB140" s="1">
        <f t="shared" si="477"/>
        <v>35.3571428571429</v>
      </c>
      <c r="BC140" s="4">
        <f t="shared" si="478"/>
        <v>165.0</v>
      </c>
      <c r="BD140" s="3">
        <f>VLOOKUP(D140,FEB23SOH,2,false)</f>
        <v>425.0</v>
      </c>
      <c r="BE140" s="44">
        <f>VLOOKUP(D140,UNITVALUE,4,false)</f>
        <v>1.8582</v>
      </c>
      <c r="BF140" s="44">
        <f t="shared" si="16"/>
        <v>789.735</v>
      </c>
      <c r="BI140" s="6">
        <f t="shared" si="479"/>
        <v>260.0</v>
      </c>
      <c r="BJ140" s="1">
        <f>VLOOKUP(C140,MOQ,3,FALSE())</f>
        <v>1002.0</v>
      </c>
      <c r="BK140" s="53" t="s">
        <v>0</v>
      </c>
      <c r="BM140" s="1">
        <f t="shared" si="481"/>
        <v>425.0</v>
      </c>
      <c r="BN140" s="1">
        <f t="shared" si="482"/>
        <v>20.4285714285714</v>
      </c>
      <c r="BP140" s="45">
        <f t="shared" si="483"/>
        <v>404.571428571429</v>
      </c>
      <c r="BQ140" s="5">
        <f t="shared" ref="BQ140:BQ143" si="513">BP140*BE140</f>
        <v>751.774628571429</v>
      </c>
      <c r="BR140" s="1">
        <f t="shared" si="484"/>
        <v>25.5357142857142</v>
      </c>
      <c r="BS140" s="1">
        <f t="shared" si="485"/>
      </c>
      <c r="BT140" s="45">
        <f t="shared" si="486"/>
        <v>379.035714285714</v>
      </c>
      <c r="BU140" s="5">
        <f t="shared" ref="BU140:BU143" si="514">BT140*BE140</f>
        <v>704.324164285713</v>
      </c>
      <c r="BV140" s="1">
        <f t="shared" si="487"/>
        <v>27.5</v>
      </c>
      <c r="BW140" s="1">
        <f t="shared" si="488"/>
      </c>
      <c r="BX140" s="45">
        <f t="shared" si="489"/>
        <v>351.535714285714</v>
      </c>
      <c r="BY140" s="5">
        <f t="shared" ref="BY140:BY143" si="515">BX140*BE140</f>
        <v>653.223664285713</v>
      </c>
      <c r="BZ140" s="1">
        <f t="shared" si="490"/>
        <v>38.1071428571429</v>
      </c>
      <c r="CB140" s="45">
        <f t="shared" si="491"/>
        <v>313.428571428571</v>
      </c>
      <c r="CC140" s="5">
        <f t="shared" ref="CC140:CC143" si="516">CB140*BE140</f>
        <v>582.41297142857</v>
      </c>
      <c r="CD140" s="1">
        <f t="shared" si="492"/>
        <v>18.071428571429</v>
      </c>
      <c r="CF140" s="45">
        <f t="shared" si="493"/>
        <v>295.357142857142</v>
      </c>
      <c r="CG140" s="5">
        <f t="shared" ref="CG140:CG143" si="517">CF140*BE140</f>
        <v>548.832642857141</v>
      </c>
      <c r="CH140" s="1">
        <f t="shared" si="494"/>
        <v>35.3571428571429</v>
      </c>
      <c r="CJ140" s="45">
        <f t="shared" si="495"/>
        <v>259.999999999999</v>
      </c>
      <c r="CK140" s="5">
        <f t="shared" ref="CK140:CK143" si="518">CJ140*BE140</f>
        <v>483.131999999998</v>
      </c>
    </row>
    <row r="141" ht="17.0">
      <c r="A141" s="41" t="s">
        <v>30</v>
      </c>
      <c r="B141" s="10" t="s">
        <v>289</v>
      </c>
      <c r="C141" s="41" t="s">
        <v>312</v>
      </c>
      <c r="D141" s="55" t="s">
        <v>313</v>
      </c>
      <c r="E141" s="41">
        <v>-8.0</v>
      </c>
      <c r="F141" s="41">
        <v>3.0</v>
      </c>
      <c r="G141" s="41">
        <v>0.0</v>
      </c>
      <c r="H141" s="41">
        <v>0.0</v>
      </c>
      <c r="I141" s="41">
        <v>-5.0</v>
      </c>
      <c r="J141" s="41">
        <v>-2.0</v>
      </c>
      <c r="K141" s="41">
        <v>-4.0</v>
      </c>
      <c r="L141" s="41">
        <v>0.0</v>
      </c>
      <c r="M141" s="41">
        <v>-1.0</v>
      </c>
      <c r="N141" s="41">
        <v>-2.0</v>
      </c>
      <c r="O141" s="41">
        <v>39.0</v>
      </c>
      <c r="P141" s="41">
        <v>28.0</v>
      </c>
      <c r="Q141" s="41">
        <v>46.0</v>
      </c>
      <c r="R141" s="41">
        <v>21.0</v>
      </c>
      <c r="S141" s="41">
        <v>21.0</v>
      </c>
      <c r="T141" s="41">
        <v>29.0</v>
      </c>
      <c r="U141" s="41">
        <v>30.0</v>
      </c>
      <c r="V141" s="41">
        <v>18.0</v>
      </c>
      <c r="W141" s="41">
        <v>33.0</v>
      </c>
      <c r="X141" s="41">
        <v>27.0</v>
      </c>
      <c r="Y141" s="41">
        <v>21.0</v>
      </c>
      <c r="Z141" s="41">
        <v>28.0</v>
      </c>
      <c r="AA141" s="41">
        <v>47.0</v>
      </c>
      <c r="AB141" s="41">
        <v>30.0</v>
      </c>
      <c r="AC141" s="41">
        <v>24.0</v>
      </c>
      <c r="AD141" s="41">
        <v>36.0</v>
      </c>
      <c r="AE141" s="41">
        <v>12.0</v>
      </c>
      <c r="AF141" s="41">
        <v>3.0</v>
      </c>
      <c r="AG141" s="41">
        <v>35.0</v>
      </c>
      <c r="AH141" s="41">
        <v>18.0</v>
      </c>
      <c r="AI141" s="41">
        <v>11.0</v>
      </c>
      <c r="AJ141" s="41">
        <v>15.0</v>
      </c>
      <c r="AK141" s="41">
        <v>21.0</v>
      </c>
      <c r="AL141" s="41">
        <v>35.0</v>
      </c>
      <c r="AM141" s="43">
        <v>15.0</v>
      </c>
      <c r="AN141" s="43">
        <v>12.0</v>
      </c>
      <c r="AO141" s="43">
        <v>15.0</v>
      </c>
      <c r="AP141" s="43">
        <v>54.0</v>
      </c>
      <c r="AQ141" s="43">
        <v>20.0</v>
      </c>
      <c r="AR141" s="43">
        <v>19.0</v>
      </c>
      <c r="AS141" s="43">
        <v>19.0</v>
      </c>
      <c r="AT141" s="4">
        <f t="shared" si="4"/>
        <v>254.0</v>
      </c>
      <c r="AU141" s="4">
        <f t="shared" si="5"/>
        <v>115.0</v>
      </c>
      <c r="AV141" s="4">
        <f t="shared" si="6"/>
        <v>126.5</v>
      </c>
      <c r="AW141" s="1">
        <f t="shared" si="472"/>
        <v>14.2380952380952</v>
      </c>
      <c r="AX141" s="1">
        <f t="shared" si="473"/>
        <v>17.797619047619</v>
      </c>
      <c r="AY141" s="1">
        <f t="shared" si="474"/>
        <v>19.1666666666667</v>
      </c>
      <c r="AZ141" s="1">
        <f t="shared" si="475"/>
        <v>26.5595238095238</v>
      </c>
      <c r="BA141" s="1">
        <f t="shared" si="476"/>
        <v>12.595238095238</v>
      </c>
      <c r="BB141" s="1">
        <f t="shared" si="477"/>
        <v>24.6428571428571</v>
      </c>
      <c r="BC141" s="4">
        <f t="shared" si="478"/>
        <v>115.0</v>
      </c>
      <c r="BD141" s="3">
        <f>VLOOKUP(D141,FEB23SOH,2,false)</f>
        <v>40.0</v>
      </c>
      <c r="BE141" s="44">
        <f>VLOOKUP(D141,UNITVALUE,4,false)</f>
        <v>1.8308</v>
      </c>
      <c r="BF141" s="44">
        <f t="shared" si="16"/>
        <v>73.232</v>
      </c>
      <c r="BI141" s="6">
        <f t="shared" si="479"/>
        <v>-75.0</v>
      </c>
      <c r="BJ141" s="1">
        <f>VLOOKUP(C141,MOQ,3,FALSE())</f>
        <v>1002.0</v>
      </c>
      <c r="BK141" s="53" t="s">
        <v>0</v>
      </c>
      <c r="BL141" s="8" t="s">
        <v>7</v>
      </c>
      <c r="BM141" s="1">
        <f t="shared" si="481"/>
        <v>40.0</v>
      </c>
      <c r="BN141" s="1">
        <f t="shared" si="482"/>
        <v>14.2380952380952</v>
      </c>
      <c r="BP141" s="45">
        <f t="shared" si="483"/>
        <v>25.7619047619048</v>
      </c>
      <c r="BQ141" s="5">
        <f t="shared" si="513"/>
        <v>47.1648952380953</v>
      </c>
      <c r="BR141" s="1">
        <f t="shared" si="484"/>
        <v>17.797619047619</v>
      </c>
      <c r="BS141" s="1">
        <f t="shared" si="485"/>
      </c>
      <c r="BT141" s="45">
        <f t="shared" si="486"/>
        <v>7.9642857142858</v>
      </c>
      <c r="BU141" s="5">
        <f t="shared" si="514"/>
        <v>14.5810142857144</v>
      </c>
      <c r="BV141" s="1">
        <f t="shared" si="487"/>
        <v>19.1666666666667</v>
      </c>
      <c r="BW141" s="1">
        <f t="shared" si="488"/>
      </c>
      <c r="BX141" s="45">
        <f t="shared" si="489"/>
        <v>-11.2023809523809</v>
      </c>
      <c r="BY141" s="5">
        <f t="shared" si="515"/>
        <v>-20.5093190476188</v>
      </c>
      <c r="BZ141" s="1">
        <f t="shared" si="490"/>
        <v>26.5595238095238</v>
      </c>
      <c r="CB141" s="45">
        <f t="shared" si="491"/>
        <v>-37.7619047619047</v>
      </c>
      <c r="CC141" s="5">
        <f t="shared" si="516"/>
        <v>-69.1344952380951</v>
      </c>
      <c r="CD141" s="1">
        <f t="shared" si="492"/>
        <v>12.595238095238</v>
      </c>
      <c r="CF141" s="45">
        <f t="shared" si="493"/>
        <v>-50.3571428571427</v>
      </c>
      <c r="CG141" s="5">
        <f t="shared" si="517"/>
        <v>-92.1938571428567</v>
      </c>
      <c r="CH141" s="1">
        <f t="shared" si="494"/>
        <v>24.6428571428571</v>
      </c>
      <c r="CJ141" s="45">
        <f t="shared" si="495"/>
        <v>-74.9999999999998</v>
      </c>
      <c r="CK141" s="5">
        <f t="shared" si="518"/>
        <v>-137.309999999998</v>
      </c>
    </row>
    <row r="142" ht="17.0">
      <c r="A142" s="41" t="s">
        <v>30</v>
      </c>
      <c r="B142" s="10" t="s">
        <v>289</v>
      </c>
      <c r="C142" s="41" t="s">
        <v>314</v>
      </c>
      <c r="D142" s="55" t="s">
        <v>315</v>
      </c>
      <c r="E142" s="41">
        <v>53.0</v>
      </c>
      <c r="F142" s="41">
        <v>50.0</v>
      </c>
      <c r="G142" s="41">
        <v>30.0</v>
      </c>
      <c r="H142" s="41">
        <v>20.0</v>
      </c>
      <c r="I142" s="41">
        <v>53.0</v>
      </c>
      <c r="J142" s="41">
        <v>33.0</v>
      </c>
      <c r="K142" s="41">
        <v>66.0</v>
      </c>
      <c r="L142" s="41">
        <v>51.0</v>
      </c>
      <c r="M142" s="41">
        <v>51.0</v>
      </c>
      <c r="N142" s="41">
        <v>24.0</v>
      </c>
      <c r="O142" s="41">
        <v>63.0</v>
      </c>
      <c r="P142" s="41">
        <v>31.0</v>
      </c>
      <c r="Q142" s="41">
        <v>57.0</v>
      </c>
      <c r="R142" s="41">
        <v>51.0</v>
      </c>
      <c r="S142" s="41">
        <v>30.0</v>
      </c>
      <c r="T142" s="41">
        <v>18.0</v>
      </c>
      <c r="U142" s="41">
        <v>0.0</v>
      </c>
      <c r="V142" s="41">
        <v>0.0</v>
      </c>
      <c r="W142" s="41">
        <v>6.0</v>
      </c>
      <c r="X142" s="41">
        <v>0.0</v>
      </c>
      <c r="Y142" s="41">
        <v>9.0</v>
      </c>
      <c r="Z142" s="41">
        <v>30.0</v>
      </c>
      <c r="AA142" s="41">
        <v>45.0</v>
      </c>
      <c r="AB142" s="41">
        <v>51.0</v>
      </c>
      <c r="AC142" s="41">
        <v>51.0</v>
      </c>
      <c r="AD142" s="41">
        <v>51.0</v>
      </c>
      <c r="AE142" s="41">
        <v>24.0</v>
      </c>
      <c r="AF142" s="41">
        <v>17.0</v>
      </c>
      <c r="AG142" s="41">
        <v>63.0</v>
      </c>
      <c r="AH142" s="41">
        <v>36.0</v>
      </c>
      <c r="AI142" s="41">
        <v>45.0</v>
      </c>
      <c r="AJ142" s="41">
        <v>21.0</v>
      </c>
      <c r="AK142" s="41">
        <v>27.0</v>
      </c>
      <c r="AL142" s="41">
        <v>15.0</v>
      </c>
      <c r="AM142" s="43">
        <v>45.0</v>
      </c>
      <c r="AN142" s="43">
        <v>15.0</v>
      </c>
      <c r="AO142" s="43">
        <v>36.0</v>
      </c>
      <c r="AP142" s="43">
        <v>72.0</v>
      </c>
      <c r="AQ142" s="43">
        <v>36.0</v>
      </c>
      <c r="AR142" s="43">
        <v>33.0</v>
      </c>
      <c r="AS142" s="43">
        <v>29.0</v>
      </c>
      <c r="AT142" s="4">
        <f t="shared" si="4"/>
        <v>410.0</v>
      </c>
      <c r="AU142" s="4">
        <f t="shared" si="5"/>
        <v>189.0</v>
      </c>
      <c r="AV142" s="4">
        <f t="shared" si="6"/>
        <v>207.9</v>
      </c>
      <c r="AW142" s="1">
        <f t="shared" si="472"/>
        <v>23.4</v>
      </c>
      <c r="AX142" s="1">
        <f t="shared" si="473"/>
        <v>29.25</v>
      </c>
      <c r="AY142" s="1">
        <f t="shared" si="474"/>
        <v>31.5</v>
      </c>
      <c r="AZ142" s="1">
        <f t="shared" si="475"/>
        <v>43.65</v>
      </c>
      <c r="BA142" s="1">
        <f t="shared" si="476"/>
        <v>20.7</v>
      </c>
      <c r="BB142" s="1">
        <f t="shared" si="477"/>
        <v>40.5</v>
      </c>
      <c r="BC142" s="4">
        <f t="shared" si="478"/>
        <v>189.0</v>
      </c>
      <c r="BD142" s="3">
        <f>VLOOKUP(D142,FEB23SOH,2,false)</f>
        <v>144.0</v>
      </c>
      <c r="BE142" s="44">
        <f>VLOOKUP(D142,UNITVALUE,4,false)</f>
        <v>1.8594</v>
      </c>
      <c r="BF142" s="44">
        <f t="shared" si="16"/>
        <v>267.7536</v>
      </c>
      <c r="BI142" s="6">
        <f t="shared" si="479"/>
        <v>-45.0</v>
      </c>
      <c r="BJ142" s="1">
        <f>VLOOKUP(C142,MOQ,3,FALSE())</f>
        <v>1002.0</v>
      </c>
      <c r="BK142" s="53" t="s">
        <v>0</v>
      </c>
      <c r="BL142" s="8" t="s">
        <v>9</v>
      </c>
      <c r="BM142" s="1">
        <f t="shared" si="481"/>
        <v>144.0</v>
      </c>
      <c r="BN142" s="1">
        <f t="shared" si="482"/>
        <v>23.4</v>
      </c>
      <c r="BP142" s="45">
        <f t="shared" si="483"/>
        <v>120.6</v>
      </c>
      <c r="BQ142" s="5">
        <f t="shared" si="513"/>
        <v>224.24364</v>
      </c>
      <c r="BR142" s="1">
        <f t="shared" si="484"/>
        <v>29.25</v>
      </c>
      <c r="BS142" s="1">
        <f t="shared" si="485"/>
      </c>
      <c r="BT142" s="45">
        <f t="shared" si="486"/>
        <v>91.35</v>
      </c>
      <c r="BU142" s="5">
        <f t="shared" si="514"/>
        <v>169.85619</v>
      </c>
      <c r="BV142" s="1">
        <f t="shared" si="487"/>
        <v>31.5</v>
      </c>
      <c r="BW142" s="1">
        <f t="shared" si="488"/>
      </c>
      <c r="BX142" s="45">
        <f t="shared" si="489"/>
        <v>59.85</v>
      </c>
      <c r="BY142" s="5">
        <f t="shared" si="515"/>
        <v>111.28509</v>
      </c>
      <c r="BZ142" s="1">
        <f t="shared" si="490"/>
        <v>43.65</v>
      </c>
      <c r="CB142" s="45">
        <f t="shared" si="491"/>
        <v>16.2</v>
      </c>
      <c r="CC142" s="5">
        <f t="shared" si="516"/>
        <v>30.12228</v>
      </c>
      <c r="CD142" s="1">
        <f t="shared" si="492"/>
        <v>20.7</v>
      </c>
      <c r="CF142" s="45">
        <f t="shared" si="493"/>
        <v>-4.5</v>
      </c>
      <c r="CG142" s="5">
        <f t="shared" si="517"/>
        <v>-8.3673</v>
      </c>
      <c r="CH142" s="1">
        <f t="shared" si="494"/>
        <v>40.5</v>
      </c>
      <c r="CJ142" s="45">
        <f t="shared" si="495"/>
        <v>-45.0</v>
      </c>
      <c r="CK142" s="5">
        <f t="shared" si="518"/>
        <v>-83.673</v>
      </c>
    </row>
    <row r="143" ht="17.0">
      <c r="A143" s="41" t="s">
        <v>30</v>
      </c>
      <c r="B143" s="10" t="s">
        <v>289</v>
      </c>
      <c r="C143" s="41" t="s">
        <v>316</v>
      </c>
      <c r="D143" s="55" t="s">
        <v>317</v>
      </c>
      <c r="E143" s="41">
        <v>12.0</v>
      </c>
      <c r="F143" s="41">
        <v>3.0</v>
      </c>
      <c r="G143" s="41">
        <v>3.0</v>
      </c>
      <c r="H143" s="41">
        <v>0.0</v>
      </c>
      <c r="I143" s="41">
        <v>9.0</v>
      </c>
      <c r="J143" s="41">
        <v>9.0</v>
      </c>
      <c r="K143" s="41">
        <v>4.0</v>
      </c>
      <c r="L143" s="41">
        <v>27.0</v>
      </c>
      <c r="M143" s="41">
        <v>12.0</v>
      </c>
      <c r="N143" s="41">
        <v>6.0</v>
      </c>
      <c r="O143" s="41">
        <v>15.0</v>
      </c>
      <c r="P143" s="41">
        <v>3.0</v>
      </c>
      <c r="Q143" s="41">
        <v>18.0</v>
      </c>
      <c r="R143" s="41">
        <v>8.0</v>
      </c>
      <c r="S143" s="41">
        <v>3.0</v>
      </c>
      <c r="T143" s="41">
        <v>-1.0</v>
      </c>
      <c r="U143" s="41">
        <v>12.0</v>
      </c>
      <c r="V143" s="41">
        <v>6.0</v>
      </c>
      <c r="W143" s="41">
        <v>5.0</v>
      </c>
      <c r="X143" s="41">
        <v>11.0</v>
      </c>
      <c r="Y143" s="41">
        <v>3.0</v>
      </c>
      <c r="Z143" s="41">
        <v>9.0</v>
      </c>
      <c r="AA143" s="41">
        <v>2.0</v>
      </c>
      <c r="AB143" s="41">
        <v>9.0</v>
      </c>
      <c r="AC143" s="41">
        <v>0.0</v>
      </c>
      <c r="AD143" s="41">
        <v>1.0</v>
      </c>
      <c r="AE143" s="41">
        <v>0.0</v>
      </c>
      <c r="AF143" s="41">
        <v>5.0</v>
      </c>
      <c r="AG143" s="41">
        <v>0.0</v>
      </c>
      <c r="AH143" s="41">
        <v>3.0</v>
      </c>
      <c r="AI143" s="41">
        <v>6.0</v>
      </c>
      <c r="AJ143" s="41">
        <v>0.0</v>
      </c>
      <c r="AK143" s="41">
        <v>12.0</v>
      </c>
      <c r="AL143" s="41">
        <v>2.0</v>
      </c>
      <c r="AM143" s="43">
        <v>0.0</v>
      </c>
      <c r="AN143" s="43">
        <v>-4.0</v>
      </c>
      <c r="AO143" s="43">
        <v>-2.0</v>
      </c>
      <c r="AP143" s="43">
        <v>6.0</v>
      </c>
      <c r="AQ143" s="43">
        <v>6.0</v>
      </c>
      <c r="AR143" s="43">
        <v>9.0</v>
      </c>
      <c r="AS143" s="43">
        <v>-2.0</v>
      </c>
      <c r="AT143" s="4">
        <f t="shared" si="4"/>
        <v>36.0</v>
      </c>
      <c r="AU143" s="4">
        <f t="shared" si="5"/>
        <v>23.0</v>
      </c>
      <c r="AV143" s="4">
        <f t="shared" si="6"/>
        <v>25.3</v>
      </c>
      <c r="AW143" s="1">
        <f t="shared" si="472"/>
        <v>2.84761904761904</v>
      </c>
      <c r="AX143" s="1">
        <f t="shared" si="473"/>
        <v>3.5595238095238</v>
      </c>
      <c r="AY143" s="1">
        <f t="shared" si="474"/>
        <v>3.83333333333333</v>
      </c>
      <c r="AZ143" s="1">
        <f t="shared" si="475"/>
        <v>5.31190476190476</v>
      </c>
      <c r="BA143" s="1">
        <f t="shared" si="476"/>
        <v>2.51904761904761</v>
      </c>
      <c r="BB143" s="1">
        <f t="shared" si="477"/>
        <v>4.92857142857142</v>
      </c>
      <c r="BC143" s="4">
        <f t="shared" si="478"/>
        <v>23.0</v>
      </c>
      <c r="BD143" s="3">
        <f>VLOOKUP(D143,FEB23SOH,2,false)</f>
        <v>254.0</v>
      </c>
      <c r="BE143" s="44">
        <f>VLOOKUP(D143,UNITVALUE,4,false)</f>
        <v>1.3915</v>
      </c>
      <c r="BF143" s="44">
        <f t="shared" si="16"/>
        <v>353.441</v>
      </c>
      <c r="BI143" s="6">
        <f t="shared" si="479"/>
        <v>231.0</v>
      </c>
      <c r="BJ143" s="1">
        <f>VLOOKUP(C143,MOQ,3,FALSE())</f>
        <v>1002.0</v>
      </c>
      <c r="BK143" s="53" t="s">
        <v>0</v>
      </c>
      <c r="BM143" s="1">
        <f t="shared" si="481"/>
        <v>254.0</v>
      </c>
      <c r="BN143" s="1">
        <f t="shared" si="482"/>
        <v>2.84761904761904</v>
      </c>
      <c r="BP143" s="45">
        <f t="shared" si="483"/>
        <v>251.15238095238</v>
      </c>
      <c r="BQ143" s="5">
        <f t="shared" si="513"/>
        <v>349.478538095237</v>
      </c>
      <c r="BR143" s="1">
        <f t="shared" si="484"/>
        <v>3.5595238095238</v>
      </c>
      <c r="BS143" s="1">
        <f t="shared" si="485"/>
      </c>
      <c r="BT143" s="45">
        <f t="shared" si="486"/>
        <v>247.592857142856</v>
      </c>
      <c r="BU143" s="5">
        <f t="shared" si="514"/>
        <v>344.525460714284</v>
      </c>
      <c r="BV143" s="1">
        <f t="shared" si="487"/>
        <v>3.83333333333333</v>
      </c>
      <c r="BW143" s="1">
        <f t="shared" si="488"/>
      </c>
      <c r="BX143" s="45">
        <f t="shared" si="489"/>
        <v>243.759523809522</v>
      </c>
      <c r="BY143" s="5">
        <f t="shared" si="515"/>
        <v>339.19137738095</v>
      </c>
      <c r="BZ143" s="1">
        <f t="shared" si="490"/>
        <v>5.31190476190476</v>
      </c>
      <c r="CB143" s="45">
        <f t="shared" si="491"/>
        <v>238.447619047617</v>
      </c>
      <c r="CC143" s="5">
        <f t="shared" si="516"/>
        <v>331.799861904759</v>
      </c>
      <c r="CD143" s="1">
        <f t="shared" si="492"/>
        <v>2.51904761904761</v>
      </c>
      <c r="CF143" s="45">
        <f t="shared" si="493"/>
        <v>235.928571428569</v>
      </c>
      <c r="CG143" s="5">
        <f t="shared" si="517"/>
        <v>328.294607142853</v>
      </c>
      <c r="CH143" s="1">
        <f t="shared" si="494"/>
        <v>4.92857142857142</v>
      </c>
      <c r="CJ143" s="45">
        <f t="shared" si="495"/>
        <v>231.0</v>
      </c>
      <c r="CK143" s="5">
        <f t="shared" si="518"/>
        <v>321.4365</v>
      </c>
    </row>
    <row r="144" ht="17.0">
      <c r="A144" s="41" t="s">
        <v>30</v>
      </c>
      <c r="B144" s="10" t="s">
        <v>289</v>
      </c>
      <c r="C144" s="41" t="s">
        <v>318</v>
      </c>
      <c r="D144" s="55" t="s">
        <v>319</v>
      </c>
      <c r="E144" s="41">
        <v>51.0</v>
      </c>
      <c r="F144" s="41">
        <v>27.0</v>
      </c>
      <c r="G144" s="41">
        <v>33.0</v>
      </c>
      <c r="H144" s="41">
        <v>6.0</v>
      </c>
      <c r="I144" s="41">
        <v>36.0</v>
      </c>
      <c r="J144" s="41">
        <v>34.0</v>
      </c>
      <c r="K144" s="41">
        <v>24.0</v>
      </c>
      <c r="L144" s="41">
        <v>48.0</v>
      </c>
      <c r="M144" s="41">
        <v>17.0</v>
      </c>
      <c r="N144" s="41">
        <v>24.0</v>
      </c>
      <c r="O144" s="41">
        <v>39.0</v>
      </c>
      <c r="P144" s="41">
        <v>18.0</v>
      </c>
      <c r="Q144" s="41">
        <v>21.0</v>
      </c>
      <c r="R144" s="41">
        <v>18.0</v>
      </c>
      <c r="S144" s="41">
        <v>15.0</v>
      </c>
      <c r="T144" s="41">
        <v>12.0</v>
      </c>
      <c r="U144" s="41">
        <v>24.0</v>
      </c>
      <c r="V144" s="41">
        <v>9.0</v>
      </c>
      <c r="W144" s="41">
        <v>6.0</v>
      </c>
      <c r="X144" s="41">
        <v>15.0</v>
      </c>
      <c r="Y144" s="41">
        <v>14.0</v>
      </c>
      <c r="Z144" s="41">
        <v>14.0</v>
      </c>
      <c r="AA144" s="41">
        <v>24.0</v>
      </c>
      <c r="AB144" s="41">
        <v>15.0</v>
      </c>
      <c r="AC144" s="41">
        <v>30.0</v>
      </c>
      <c r="AD144" s="41">
        <v>12.0</v>
      </c>
      <c r="AE144" s="41">
        <v>1.0</v>
      </c>
      <c r="AF144" s="41">
        <v>9.0</v>
      </c>
      <c r="AG144" s="41">
        <v>30.0</v>
      </c>
      <c r="AH144" s="41">
        <v>12.0</v>
      </c>
      <c r="AI144" s="41">
        <v>9.0</v>
      </c>
      <c r="AJ144" s="41">
        <v>14.0</v>
      </c>
      <c r="AK144" s="41">
        <v>6.0</v>
      </c>
      <c r="AL144" s="41">
        <v>6.0</v>
      </c>
      <c r="AM144" s="43">
        <v>24.0</v>
      </c>
      <c r="AN144" s="43">
        <v>11.0</v>
      </c>
      <c r="AO144" s="43">
        <v>6.0</v>
      </c>
      <c r="AP144" s="43">
        <v>15.0</v>
      </c>
      <c r="AQ144" s="43">
        <v>12.0</v>
      </c>
      <c r="AR144" s="43">
        <v>5.0</v>
      </c>
      <c r="AS144" s="43">
        <v>0.0</v>
      </c>
      <c r="AT144" s="4">
        <f t="shared" si="4"/>
        <v>120.0</v>
      </c>
      <c r="AU144" s="4">
        <f t="shared" si="5"/>
        <v>71.0</v>
      </c>
      <c r="AV144" s="4">
        <f t="shared" si="6"/>
        <v>78.1</v>
      </c>
      <c r="AW144" s="1">
        <f t="shared" si="472"/>
        <v>8.79047619047619</v>
      </c>
      <c r="AX144" s="1">
        <f t="shared" si="473"/>
        <v>10.9880952380952</v>
      </c>
      <c r="AY144" s="1">
        <f t="shared" si="474"/>
        <v>11.8333333333333</v>
      </c>
      <c r="AZ144" s="1">
        <f t="shared" si="475"/>
        <v>16.397619047619</v>
      </c>
      <c r="BA144" s="1">
        <f t="shared" si="476"/>
        <v>7.77619047619048</v>
      </c>
      <c r="BB144" s="1">
        <f t="shared" si="477"/>
        <v>15.2142857142857</v>
      </c>
      <c r="BC144" s="4">
        <f t="shared" si="478"/>
        <v>70.9999999999999</v>
      </c>
      <c r="BD144" s="3">
        <f>VLOOKUP(D144,FEB23SOH,2,false)</f>
        <v>3.0</v>
      </c>
      <c r="BE144" s="44">
        <f>VLOOKUP(D144,UNITVALUE,4,false)</f>
        <v>1.8133</v>
      </c>
      <c r="BF144" s="44">
        <f t="shared" si="16"/>
        <v>5.4399</v>
      </c>
      <c r="BI144" s="6">
        <f t="shared" si="479"/>
        <v>-67.9999999999999</v>
      </c>
      <c r="BJ144" s="1">
        <f>VLOOKUP(C144,MOQ,3,FALSE())</f>
        <v>1002.0</v>
      </c>
      <c r="BK144" s="53" t="s">
        <v>0</v>
      </c>
      <c r="BL144" s="8" t="s">
        <v>5</v>
      </c>
      <c r="BM144" s="1">
        <f t="shared" si="481"/>
        <v>3.0</v>
      </c>
      <c r="BN144" s="1">
        <f t="shared" si="482"/>
        <v>8.79047619047619</v>
      </c>
      <c r="BP144" s="45">
        <f t="shared" si="483"/>
        <v>-5.79047619047617</v>
      </c>
      <c r="BR144" s="1">
        <f t="shared" si="484"/>
        <v>10.9880952380952</v>
      </c>
      <c r="BS144" s="1">
        <f t="shared" si="485"/>
      </c>
      <c r="BT144" s="45">
        <f t="shared" si="486"/>
        <v>-16.7785714285713</v>
      </c>
      <c r="BU144" s="5"/>
      <c r="BV144" s="1">
        <f t="shared" si="487"/>
        <v>11.8333333333333</v>
      </c>
      <c r="BW144" s="1">
        <f t="shared" si="488"/>
      </c>
      <c r="BX144" s="45">
        <f t="shared" si="489"/>
        <v>-28.6119047619046</v>
      </c>
      <c r="BY144" s="5"/>
      <c r="BZ144" s="1">
        <f t="shared" si="490"/>
        <v>16.397619047619</v>
      </c>
      <c r="CB144" s="45">
        <f t="shared" si="491"/>
        <v>-45.0095238095236</v>
      </c>
      <c r="CC144" s="5"/>
      <c r="CD144" s="1">
        <f t="shared" si="492"/>
        <v>7.77619047619048</v>
      </c>
      <c r="CF144" s="45">
        <f t="shared" si="493"/>
        <v>-52.785714285714</v>
      </c>
      <c r="CG144" s="5"/>
      <c r="CH144" s="1">
        <f t="shared" si="494"/>
        <v>15.2142857142857</v>
      </c>
      <c r="CJ144" s="45">
        <f t="shared" si="495"/>
        <v>-67.9999999999997</v>
      </c>
      <c r="CK144" s="5"/>
    </row>
    <row r="145" ht="17.0">
      <c r="A145" s="41" t="s">
        <v>30</v>
      </c>
      <c r="B145" s="10" t="s">
        <v>289</v>
      </c>
      <c r="C145" s="41" t="s">
        <v>320</v>
      </c>
      <c r="D145" s="55" t="s">
        <v>321</v>
      </c>
      <c r="E145" s="41">
        <v>54.0</v>
      </c>
      <c r="F145" s="41">
        <v>56.0</v>
      </c>
      <c r="G145" s="41">
        <v>27.0</v>
      </c>
      <c r="H145" s="41">
        <v>24.0</v>
      </c>
      <c r="I145" s="41">
        <v>50.0</v>
      </c>
      <c r="J145" s="41">
        <v>36.0</v>
      </c>
      <c r="K145" s="41">
        <v>36.0</v>
      </c>
      <c r="L145" s="41">
        <v>38.0</v>
      </c>
      <c r="M145" s="41">
        <v>29.0</v>
      </c>
      <c r="N145" s="41">
        <v>24.0</v>
      </c>
      <c r="O145" s="41">
        <v>60.0</v>
      </c>
      <c r="P145" s="41">
        <v>27.0</v>
      </c>
      <c r="Q145" s="41">
        <v>18.0</v>
      </c>
      <c r="R145" s="41">
        <v>18.0</v>
      </c>
      <c r="S145" s="41">
        <v>12.0</v>
      </c>
      <c r="T145" s="41">
        <v>21.0</v>
      </c>
      <c r="U145" s="41">
        <v>30.0</v>
      </c>
      <c r="V145" s="41">
        <v>27.0</v>
      </c>
      <c r="W145" s="41">
        <v>27.0</v>
      </c>
      <c r="X145" s="41">
        <v>21.0</v>
      </c>
      <c r="Y145" s="41">
        <v>15.0</v>
      </c>
      <c r="Z145" s="41">
        <v>21.0</v>
      </c>
      <c r="AA145" s="41">
        <v>42.0</v>
      </c>
      <c r="AB145" s="41">
        <v>24.0</v>
      </c>
      <c r="AC145" s="41">
        <v>42.0</v>
      </c>
      <c r="AD145" s="41">
        <v>27.0</v>
      </c>
      <c r="AE145" s="41">
        <v>15.0</v>
      </c>
      <c r="AF145" s="41">
        <v>12.0</v>
      </c>
      <c r="AG145" s="41">
        <v>33.0</v>
      </c>
      <c r="AH145" s="41">
        <v>26.0</v>
      </c>
      <c r="AI145" s="41">
        <v>21.0</v>
      </c>
      <c r="AJ145" s="41">
        <v>23.0</v>
      </c>
      <c r="AK145" s="41">
        <v>23.0</v>
      </c>
      <c r="AL145" s="41">
        <v>14.0</v>
      </c>
      <c r="AM145" s="43">
        <v>45.0</v>
      </c>
      <c r="AN145" s="43">
        <v>12.0</v>
      </c>
      <c r="AO145" s="43">
        <v>17.0</v>
      </c>
      <c r="AP145" s="43">
        <v>51.0</v>
      </c>
      <c r="AQ145" s="43">
        <v>24.0</v>
      </c>
      <c r="AR145" s="43">
        <v>12.0</v>
      </c>
      <c r="AS145" s="43">
        <v>26.0</v>
      </c>
      <c r="AT145" s="4">
        <f t="shared" si="4"/>
        <v>294.0</v>
      </c>
      <c r="AU145" s="4">
        <f t="shared" si="5"/>
        <v>152.0</v>
      </c>
      <c r="AV145" s="4">
        <f t="shared" si="6"/>
        <v>167.2</v>
      </c>
      <c r="AW145" s="1">
        <f t="shared" si="472"/>
        <v>18.8190476190476</v>
      </c>
      <c r="AX145" s="1">
        <f t="shared" si="473"/>
        <v>23.5238095238095</v>
      </c>
      <c r="AY145" s="1">
        <f t="shared" si="474"/>
        <v>25.3333333333333</v>
      </c>
      <c r="AZ145" s="1">
        <f t="shared" si="475"/>
        <v>35.1047619047619</v>
      </c>
      <c r="BA145" s="1">
        <f t="shared" si="476"/>
        <v>16.647619047619</v>
      </c>
      <c r="BB145" s="1">
        <f t="shared" si="477"/>
        <v>32.5714285714286</v>
      </c>
      <c r="BC145" s="4">
        <f t="shared" si="478"/>
        <v>152.0</v>
      </c>
      <c r="BD145" s="3">
        <f>VLOOKUP(D145,FEB23SOH,2,false)</f>
        <v>394.0</v>
      </c>
      <c r="BE145" s="44">
        <f>VLOOKUP(D145,UNITVALUE,4,false)</f>
        <v>1.8581</v>
      </c>
      <c r="BF145" s="44">
        <f t="shared" si="16"/>
        <v>732.0914</v>
      </c>
      <c r="BI145" s="6">
        <f t="shared" si="479"/>
        <v>242.0</v>
      </c>
      <c r="BJ145" s="1">
        <f>VLOOKUP(C145,MOQ,3,FALSE())</f>
        <v>1002.0</v>
      </c>
      <c r="BK145" s="53" t="s">
        <v>0</v>
      </c>
      <c r="BM145" s="1">
        <f t="shared" si="481"/>
        <v>394.0</v>
      </c>
      <c r="BN145" s="1">
        <f t="shared" si="482"/>
        <v>18.8190476190476</v>
      </c>
      <c r="BP145" s="45">
        <f t="shared" si="483"/>
        <v>375.180952380952</v>
      </c>
      <c r="BQ145" s="5">
        <f t="shared" ref="BQ145:BQ154" si="519">BP145*BE145</f>
        <v>697.123727619047</v>
      </c>
      <c r="BR145" s="1">
        <f t="shared" si="484"/>
        <v>23.5238095238095</v>
      </c>
      <c r="BS145" s="1">
        <f t="shared" si="485"/>
      </c>
      <c r="BT145" s="45">
        <f t="shared" si="486"/>
        <v>351.657142857142</v>
      </c>
      <c r="BU145" s="5">
        <f t="shared" ref="BU145:BU154" si="520">BT145*BE145</f>
        <v>653.414137142856</v>
      </c>
      <c r="BV145" s="1">
        <f t="shared" si="487"/>
        <v>25.3333333333333</v>
      </c>
      <c r="BW145" s="1">
        <f t="shared" si="488"/>
      </c>
      <c r="BX145" s="45">
        <f t="shared" si="489"/>
        <v>326.323809523809</v>
      </c>
      <c r="BY145" s="5">
        <f t="shared" ref="BY145:BY154" si="521">BX145*BE145</f>
        <v>606.34227047619</v>
      </c>
      <c r="BZ145" s="1">
        <f t="shared" si="490"/>
        <v>35.1047619047619</v>
      </c>
      <c r="CB145" s="45">
        <f t="shared" si="491"/>
        <v>291.219047619047</v>
      </c>
      <c r="CC145" s="5">
        <f t="shared" ref="CC145:CC154" si="522">CB145*BE145</f>
        <v>541.114112380951</v>
      </c>
      <c r="CD145" s="1">
        <f t="shared" si="492"/>
        <v>16.647619047619</v>
      </c>
      <c r="CF145" s="45">
        <f t="shared" si="493"/>
        <v>274.571428571428</v>
      </c>
      <c r="CG145" s="5">
        <f t="shared" ref="CG145:CG154" si="523">CF145*BE145</f>
        <v>510.18117142857</v>
      </c>
      <c r="CH145" s="1">
        <f t="shared" si="494"/>
        <v>32.5714285714286</v>
      </c>
      <c r="CJ145" s="45">
        <f t="shared" si="495"/>
        <v>241.999999999999</v>
      </c>
      <c r="CK145" s="5">
        <f t="shared" ref="CK145:CK154" si="524">CJ145*BE145</f>
        <v>449.660199999998</v>
      </c>
    </row>
    <row r="146" ht="17.0">
      <c r="A146" s="41" t="s">
        <v>30</v>
      </c>
      <c r="B146" s="10" t="s">
        <v>289</v>
      </c>
      <c r="C146" s="41" t="s">
        <v>322</v>
      </c>
      <c r="D146" s="55" t="s">
        <v>323</v>
      </c>
      <c r="E146" s="41">
        <v>29.0</v>
      </c>
      <c r="F146" s="41">
        <v>27.0</v>
      </c>
      <c r="G146" s="41">
        <v>18.0</v>
      </c>
      <c r="H146" s="41">
        <v>15.0</v>
      </c>
      <c r="I146" s="41">
        <v>36.0</v>
      </c>
      <c r="J146" s="41">
        <v>26.0</v>
      </c>
      <c r="K146" s="41">
        <v>21.0</v>
      </c>
      <c r="L146" s="41">
        <v>33.0</v>
      </c>
      <c r="M146" s="41">
        <v>9.0</v>
      </c>
      <c r="N146" s="41">
        <v>12.0</v>
      </c>
      <c r="O146" s="41">
        <v>30.0</v>
      </c>
      <c r="P146" s="41">
        <v>6.0</v>
      </c>
      <c r="Q146" s="41">
        <v>15.0</v>
      </c>
      <c r="R146" s="41">
        <v>14.0</v>
      </c>
      <c r="S146" s="41">
        <v>9.0</v>
      </c>
      <c r="T146" s="41">
        <v>6.0</v>
      </c>
      <c r="U146" s="41">
        <v>9.0</v>
      </c>
      <c r="V146" s="41">
        <v>12.0</v>
      </c>
      <c r="W146" s="41">
        <v>12.0</v>
      </c>
      <c r="X146" s="41">
        <v>15.0</v>
      </c>
      <c r="Y146" s="41">
        <v>9.0</v>
      </c>
      <c r="Z146" s="41">
        <v>12.0</v>
      </c>
      <c r="AA146" s="41">
        <v>15.0</v>
      </c>
      <c r="AB146" s="41">
        <v>6.0</v>
      </c>
      <c r="AC146" s="41">
        <v>6.0</v>
      </c>
      <c r="AD146" s="41">
        <v>15.0</v>
      </c>
      <c r="AE146" s="41">
        <v>6.0</v>
      </c>
      <c r="AF146" s="41">
        <v>-1.0</v>
      </c>
      <c r="AG146" s="41">
        <v>15.0</v>
      </c>
      <c r="AH146" s="41">
        <v>15.0</v>
      </c>
      <c r="AI146" s="41">
        <v>9.0</v>
      </c>
      <c r="AJ146" s="41">
        <v>6.0</v>
      </c>
      <c r="AK146" s="41">
        <v>0.0</v>
      </c>
      <c r="AL146" s="41">
        <v>3.0</v>
      </c>
      <c r="AM146" s="43">
        <v>24.0</v>
      </c>
      <c r="AN146" s="43">
        <v>3.0</v>
      </c>
      <c r="AO146" s="43">
        <v>6.0</v>
      </c>
      <c r="AP146" s="43">
        <v>24.0</v>
      </c>
      <c r="AQ146" s="43">
        <v>6.0</v>
      </c>
      <c r="AR146" s="43">
        <v>7.0</v>
      </c>
      <c r="AS146" s="43">
        <v>26.0</v>
      </c>
      <c r="AT146" s="4">
        <f t="shared" si="4"/>
        <v>129.0</v>
      </c>
      <c r="AU146" s="4">
        <f t="shared" si="5"/>
        <v>57.0</v>
      </c>
      <c r="AV146" s="4">
        <f t="shared" si="6"/>
        <v>62.7</v>
      </c>
      <c r="AW146" s="1">
        <f t="shared" si="472"/>
        <v>7.05714285714286</v>
      </c>
      <c r="AX146" s="1">
        <f t="shared" si="473"/>
        <v>8.82142857142857</v>
      </c>
      <c r="AY146" s="1">
        <f t="shared" si="474"/>
        <v>9.5</v>
      </c>
      <c r="AZ146" s="1">
        <f t="shared" si="475"/>
        <v>13.1642857142857</v>
      </c>
      <c r="BA146" s="1">
        <f t="shared" si="476"/>
        <v>6.24285714285714</v>
      </c>
      <c r="BB146" s="1">
        <f t="shared" si="477"/>
        <v>12.2142857142857</v>
      </c>
      <c r="BC146" s="4">
        <f t="shared" si="478"/>
        <v>57.0</v>
      </c>
      <c r="BD146" s="3">
        <f>VLOOKUP(D146,FEB23SOH,2,false)</f>
        <v>153.0</v>
      </c>
      <c r="BE146" s="44">
        <f>VLOOKUP(D146,UNITVALUE,4,false)</f>
        <v>1.7954</v>
      </c>
      <c r="BF146" s="44">
        <f t="shared" si="16"/>
        <v>274.6962</v>
      </c>
      <c r="BI146" s="6">
        <f t="shared" si="479"/>
        <v>96.0</v>
      </c>
      <c r="BJ146" s="1">
        <f>VLOOKUP(C146,MOQ,3,FALSE())</f>
        <v>1002.0</v>
      </c>
      <c r="BK146" s="53" t="s">
        <v>0</v>
      </c>
      <c r="BM146" s="1">
        <f t="shared" si="481"/>
        <v>153.0</v>
      </c>
      <c r="BN146" s="1">
        <f t="shared" si="482"/>
        <v>7.05714285714286</v>
      </c>
      <c r="BP146" s="45">
        <f t="shared" si="483"/>
        <v>145.942857142857</v>
      </c>
      <c r="BQ146" s="5">
        <f t="shared" si="519"/>
        <v>262.025805714285</v>
      </c>
      <c r="BR146" s="1">
        <f t="shared" si="484"/>
        <v>8.82142857142857</v>
      </c>
      <c r="BS146" s="1">
        <f t="shared" si="485"/>
      </c>
      <c r="BT146" s="45">
        <f t="shared" si="486"/>
        <v>137.121428571428</v>
      </c>
      <c r="BU146" s="5">
        <f t="shared" si="520"/>
        <v>246.187812857141</v>
      </c>
      <c r="BV146" s="1">
        <f t="shared" si="487"/>
        <v>9.5</v>
      </c>
      <c r="BW146" s="1">
        <f t="shared" si="488"/>
      </c>
      <c r="BX146" s="45">
        <f t="shared" si="489"/>
        <v>127.621428571428</v>
      </c>
      <c r="BY146" s="5">
        <f t="shared" si="521"/>
        <v>229.131512857141</v>
      </c>
      <c r="BZ146" s="1">
        <f t="shared" si="490"/>
        <v>13.1642857142857</v>
      </c>
      <c r="CB146" s="45">
        <f t="shared" si="491"/>
        <v>114.457142857142</v>
      </c>
      <c r="CC146" s="5">
        <f t="shared" si="522"/>
        <v>205.496354285712</v>
      </c>
      <c r="CD146" s="1">
        <f t="shared" si="492"/>
        <v>6.24285714285714</v>
      </c>
      <c r="CF146" s="45">
        <f t="shared" si="493"/>
        <v>108.214285714284</v>
      </c>
      <c r="CG146" s="5">
        <f t="shared" si="523"/>
        <v>194.287928571426</v>
      </c>
      <c r="CH146" s="1">
        <f t="shared" si="494"/>
        <v>12.2142857142857</v>
      </c>
      <c r="CJ146" s="45">
        <f t="shared" si="495"/>
        <v>95.9999999999983</v>
      </c>
      <c r="CK146" s="5">
        <f t="shared" si="524"/>
        <v>172.358399999997</v>
      </c>
    </row>
    <row r="147" ht="17.0">
      <c r="A147" s="41" t="s">
        <v>30</v>
      </c>
      <c r="B147" s="10" t="s">
        <v>289</v>
      </c>
      <c r="C147" s="41" t="s">
        <v>324</v>
      </c>
      <c r="D147" s="55" t="s">
        <v>325</v>
      </c>
      <c r="E147" s="41">
        <v>84.0</v>
      </c>
      <c r="F147" s="41">
        <v>84.0</v>
      </c>
      <c r="G147" s="41">
        <v>39.0</v>
      </c>
      <c r="H147" s="41">
        <v>27.0</v>
      </c>
      <c r="I147" s="41">
        <v>93.0</v>
      </c>
      <c r="J147" s="41">
        <v>42.0</v>
      </c>
      <c r="K147" s="41">
        <v>69.0</v>
      </c>
      <c r="L147" s="41">
        <v>84.0</v>
      </c>
      <c r="M147" s="41">
        <v>39.0</v>
      </c>
      <c r="N147" s="41">
        <v>45.0</v>
      </c>
      <c r="O147" s="41">
        <v>78.0</v>
      </c>
      <c r="P147" s="41">
        <v>45.0</v>
      </c>
      <c r="Q147" s="41">
        <v>54.0</v>
      </c>
      <c r="R147" s="41">
        <v>33.0</v>
      </c>
      <c r="S147" s="41">
        <v>24.0</v>
      </c>
      <c r="T147" s="41">
        <v>27.0</v>
      </c>
      <c r="U147" s="41">
        <v>45.0</v>
      </c>
      <c r="V147" s="41">
        <v>39.0</v>
      </c>
      <c r="W147" s="41">
        <v>45.0</v>
      </c>
      <c r="X147" s="41">
        <v>33.0</v>
      </c>
      <c r="Y147" s="41">
        <v>24.0</v>
      </c>
      <c r="Z147" s="41">
        <v>36.0</v>
      </c>
      <c r="AA147" s="41">
        <v>47.0</v>
      </c>
      <c r="AB147" s="41">
        <v>48.0</v>
      </c>
      <c r="AC147" s="41">
        <v>48.0</v>
      </c>
      <c r="AD147" s="41">
        <v>51.0</v>
      </c>
      <c r="AE147" s="41">
        <v>9.0</v>
      </c>
      <c r="AF147" s="41">
        <v>15.0</v>
      </c>
      <c r="AG147" s="41">
        <v>68.0</v>
      </c>
      <c r="AH147" s="41">
        <v>39.0</v>
      </c>
      <c r="AI147" s="41">
        <v>29.0</v>
      </c>
      <c r="AJ147" s="41">
        <v>24.0</v>
      </c>
      <c r="AK147" s="41">
        <v>27.0</v>
      </c>
      <c r="AL147" s="41">
        <v>31.0</v>
      </c>
      <c r="AM147" s="43">
        <v>44.0</v>
      </c>
      <c r="AN147" s="43">
        <v>12.0</v>
      </c>
      <c r="AO147" s="43">
        <v>22.0</v>
      </c>
      <c r="AP147" s="43">
        <v>59.0</v>
      </c>
      <c r="AQ147" s="43">
        <v>24.0</v>
      </c>
      <c r="AR147" s="43">
        <v>23.0</v>
      </c>
      <c r="AS147" s="43">
        <v>23.0</v>
      </c>
      <c r="AT147" s="4">
        <f t="shared" si="4"/>
        <v>357.0</v>
      </c>
      <c r="AU147" s="4">
        <f t="shared" si="5"/>
        <v>194.0</v>
      </c>
      <c r="AV147" s="4">
        <f t="shared" si="6"/>
        <v>213.4</v>
      </c>
      <c r="AW147" s="1">
        <f t="shared" si="472"/>
        <v>24.0190476190476</v>
      </c>
      <c r="AX147" s="1">
        <f t="shared" si="473"/>
        <v>30.0238095238095</v>
      </c>
      <c r="AY147" s="1">
        <f t="shared" si="474"/>
        <v>32.3333333333333</v>
      </c>
      <c r="AZ147" s="1">
        <f t="shared" si="475"/>
        <v>44.8047619047619</v>
      </c>
      <c r="BA147" s="1">
        <f t="shared" si="476"/>
        <v>21.247619047619</v>
      </c>
      <c r="BB147" s="1">
        <f t="shared" si="477"/>
        <v>41.5714285714286</v>
      </c>
      <c r="BC147" s="4">
        <f t="shared" si="478"/>
        <v>194.0</v>
      </c>
      <c r="BD147" s="3">
        <f>VLOOKUP(D147,FEB23SOH,2,false)</f>
        <v>713.0</v>
      </c>
      <c r="BE147" s="44">
        <f>VLOOKUP(D147,UNITVALUE,4,false)</f>
        <v>2.3073</v>
      </c>
      <c r="BF147" s="44">
        <f t="shared" si="16"/>
        <v>1645.1049</v>
      </c>
      <c r="BI147" s="6">
        <f t="shared" si="479"/>
        <v>519.0</v>
      </c>
      <c r="BJ147" s="1">
        <f>VLOOKUP(C147,MOQ,3,FALSE())</f>
        <v>1002.0</v>
      </c>
      <c r="BK147" s="53" t="s">
        <v>0</v>
      </c>
      <c r="BM147" s="1">
        <f t="shared" si="481"/>
        <v>713.0</v>
      </c>
      <c r="BN147" s="1">
        <f t="shared" si="482"/>
        <v>24.0190476190476</v>
      </c>
      <c r="BP147" s="45">
        <f t="shared" si="483"/>
        <v>688.980952380952</v>
      </c>
      <c r="BQ147" s="5">
        <f t="shared" si="519"/>
        <v>1589.68575142857</v>
      </c>
      <c r="BR147" s="1">
        <f t="shared" si="484"/>
        <v>30.0238095238095</v>
      </c>
      <c r="BS147" s="1">
        <f t="shared" si="485"/>
      </c>
      <c r="BT147" s="45">
        <f t="shared" si="486"/>
        <v>658.957142857142</v>
      </c>
      <c r="BU147" s="5">
        <f t="shared" si="520"/>
        <v>1520.41181571428</v>
      </c>
      <c r="BV147" s="1">
        <f t="shared" si="487"/>
        <v>32.3333333333333</v>
      </c>
      <c r="BW147" s="1">
        <f t="shared" si="488"/>
      </c>
      <c r="BX147" s="45">
        <f t="shared" si="489"/>
        <v>626.623809523809</v>
      </c>
      <c r="BY147" s="5">
        <f t="shared" si="521"/>
        <v>1445.80911571428</v>
      </c>
      <c r="BZ147" s="1">
        <f t="shared" si="490"/>
        <v>44.8047619047619</v>
      </c>
      <c r="CB147" s="45">
        <f t="shared" si="491"/>
        <v>581.819047619047</v>
      </c>
      <c r="CC147" s="5">
        <f t="shared" si="522"/>
        <v>1342.43108857142</v>
      </c>
      <c r="CD147" s="1">
        <f t="shared" si="492"/>
        <v>21.247619047619</v>
      </c>
      <c r="CF147" s="45">
        <f t="shared" si="493"/>
        <v>560.571428571428</v>
      </c>
      <c r="CG147" s="5">
        <f t="shared" si="523"/>
        <v>1293.40645714286</v>
      </c>
      <c r="CH147" s="1">
        <f t="shared" si="494"/>
        <v>41.5714285714286</v>
      </c>
      <c r="CJ147" s="45">
        <f t="shared" si="495"/>
        <v>518.999999999999</v>
      </c>
      <c r="CK147" s="5">
        <f t="shared" si="524"/>
        <v>1197.4887</v>
      </c>
    </row>
    <row r="148" ht="17.0">
      <c r="A148" s="41" t="s">
        <v>30</v>
      </c>
      <c r="B148" s="10" t="s">
        <v>289</v>
      </c>
      <c r="C148" s="41" t="s">
        <v>326</v>
      </c>
      <c r="D148" s="55" t="s">
        <v>327</v>
      </c>
      <c r="E148" s="41">
        <v>51.0</v>
      </c>
      <c r="F148" s="41">
        <v>72.0</v>
      </c>
      <c r="G148" s="41">
        <v>21.0</v>
      </c>
      <c r="H148" s="41">
        <v>3.0</v>
      </c>
      <c r="I148" s="41">
        <v>38.0</v>
      </c>
      <c r="J148" s="41">
        <v>27.0</v>
      </c>
      <c r="K148" s="41">
        <v>21.0</v>
      </c>
      <c r="L148" s="41">
        <v>54.0</v>
      </c>
      <c r="M148" s="41">
        <v>15.0</v>
      </c>
      <c r="N148" s="41">
        <v>30.0</v>
      </c>
      <c r="O148" s="41">
        <v>42.0</v>
      </c>
      <c r="P148" s="41">
        <v>24.0</v>
      </c>
      <c r="Q148" s="41">
        <v>24.0</v>
      </c>
      <c r="R148" s="41">
        <v>20.0</v>
      </c>
      <c r="S148" s="41">
        <v>18.0</v>
      </c>
      <c r="T148" s="41">
        <v>24.0</v>
      </c>
      <c r="U148" s="41">
        <v>45.0</v>
      </c>
      <c r="V148" s="41">
        <v>6.0</v>
      </c>
      <c r="W148" s="41">
        <v>18.0</v>
      </c>
      <c r="X148" s="41">
        <v>18.0</v>
      </c>
      <c r="Y148" s="41">
        <v>9.0</v>
      </c>
      <c r="Z148" s="41">
        <v>12.0</v>
      </c>
      <c r="AA148" s="41">
        <v>21.0</v>
      </c>
      <c r="AB148" s="41">
        <v>6.0</v>
      </c>
      <c r="AC148" s="41">
        <v>15.0</v>
      </c>
      <c r="AD148" s="41">
        <v>24.0</v>
      </c>
      <c r="AE148" s="41">
        <v>9.0</v>
      </c>
      <c r="AF148" s="41">
        <v>9.0</v>
      </c>
      <c r="AG148" s="41">
        <v>30.0</v>
      </c>
      <c r="AH148" s="41">
        <v>12.0</v>
      </c>
      <c r="AI148" s="41">
        <v>18.0</v>
      </c>
      <c r="AJ148" s="41">
        <v>8.0</v>
      </c>
      <c r="AK148" s="41">
        <v>6.0</v>
      </c>
      <c r="AL148" s="41">
        <v>12.0</v>
      </c>
      <c r="AM148" s="43">
        <v>24.0</v>
      </c>
      <c r="AN148" s="43">
        <v>11.0</v>
      </c>
      <c r="AO148" s="43">
        <v>5.0</v>
      </c>
      <c r="AP148" s="43">
        <v>45.0</v>
      </c>
      <c r="AQ148" s="43">
        <v>12.0</v>
      </c>
      <c r="AR148" s="43">
        <v>12.0</v>
      </c>
      <c r="AS148" s="43">
        <v>29.0</v>
      </c>
      <c r="AT148" s="4">
        <f t="shared" si="4"/>
        <v>194.0</v>
      </c>
      <c r="AU148" s="4">
        <f t="shared" si="5"/>
        <v>80.0</v>
      </c>
      <c r="AV148" s="4">
        <f t="shared" si="6"/>
        <v>88.0</v>
      </c>
      <c r="AW148" s="1">
        <f t="shared" si="472"/>
        <v>9.9047619047619</v>
      </c>
      <c r="AX148" s="1">
        <f t="shared" si="473"/>
        <v>12.3809523809523</v>
      </c>
      <c r="AY148" s="1">
        <f t="shared" si="474"/>
        <v>13.3333333333333</v>
      </c>
      <c r="AZ148" s="1">
        <f t="shared" si="475"/>
        <v>18.4761904761904</v>
      </c>
      <c r="BA148" s="1">
        <f t="shared" si="476"/>
        <v>8.76190476190476</v>
      </c>
      <c r="BB148" s="1">
        <f t="shared" si="477"/>
        <v>17.1428571428571</v>
      </c>
      <c r="BC148" s="4">
        <f t="shared" si="478"/>
        <v>79.9999999999998</v>
      </c>
      <c r="BD148" s="3">
        <f>VLOOKUP(D148,FEB23SOH,2,false)</f>
        <v>696.0</v>
      </c>
      <c r="BE148" s="44">
        <f>VLOOKUP(D148,UNITVALUE,4,false)</f>
        <v>1.8577</v>
      </c>
      <c r="BF148" s="44">
        <f t="shared" si="16"/>
        <v>1292.9592</v>
      </c>
      <c r="BI148" s="6">
        <f t="shared" si="479"/>
        <v>616.0</v>
      </c>
      <c r="BJ148" s="1">
        <f>VLOOKUP(C148,MOQ,3,FALSE())</f>
        <v>1002.0</v>
      </c>
      <c r="BK148" s="53" t="s">
        <v>0</v>
      </c>
      <c r="BM148" s="1">
        <f t="shared" si="481"/>
        <v>696.0</v>
      </c>
      <c r="BN148" s="1">
        <f t="shared" si="482"/>
        <v>9.9047619047619</v>
      </c>
      <c r="BP148" s="45">
        <f t="shared" si="483"/>
        <v>686.095238095238</v>
      </c>
      <c r="BQ148" s="5">
        <f t="shared" si="519"/>
        <v>1274.55912380952</v>
      </c>
      <c r="BR148" s="1">
        <f t="shared" si="484"/>
        <v>12.3809523809523</v>
      </c>
      <c r="BS148" s="1">
        <f t="shared" si="485"/>
      </c>
      <c r="BT148" s="45">
        <f t="shared" si="486"/>
        <v>673.714285714286</v>
      </c>
      <c r="BU148" s="5">
        <f t="shared" si="520"/>
        <v>1251.55902857142</v>
      </c>
      <c r="BV148" s="1">
        <f t="shared" si="487"/>
        <v>13.3333333333333</v>
      </c>
      <c r="BW148" s="1">
        <f t="shared" si="488"/>
      </c>
      <c r="BX148" s="45">
        <f t="shared" si="489"/>
        <v>660.380952380952</v>
      </c>
      <c r="BY148" s="5">
        <f t="shared" si="521"/>
        <v>1226.78969523809</v>
      </c>
      <c r="BZ148" s="1">
        <f t="shared" si="490"/>
        <v>18.4761904761904</v>
      </c>
      <c r="CB148" s="45">
        <f t="shared" si="491"/>
        <v>641.904761904761</v>
      </c>
      <c r="CC148" s="5">
        <f t="shared" si="522"/>
        <v>1192.46647619047</v>
      </c>
      <c r="CD148" s="1">
        <f t="shared" si="492"/>
        <v>8.76190476190476</v>
      </c>
      <c r="CF148" s="45">
        <f t="shared" si="493"/>
        <v>633.142857142856</v>
      </c>
      <c r="CG148" s="5">
        <f t="shared" si="523"/>
        <v>1176.18948571428</v>
      </c>
      <c r="CH148" s="1">
        <f t="shared" si="494"/>
        <v>17.1428571428571</v>
      </c>
      <c r="CJ148" s="45">
        <f t="shared" si="495"/>
        <v>615.999999999999</v>
      </c>
      <c r="CK148" s="5">
        <f t="shared" si="524"/>
        <v>1144.3432</v>
      </c>
    </row>
    <row r="149" ht="17.0">
      <c r="A149" s="41" t="s">
        <v>30</v>
      </c>
      <c r="B149" s="10" t="s">
        <v>289</v>
      </c>
      <c r="C149" s="41" t="s">
        <v>328</v>
      </c>
      <c r="D149" s="55" t="s">
        <v>329</v>
      </c>
      <c r="E149" s="41">
        <v>42.0</v>
      </c>
      <c r="F149" s="41">
        <v>60.0</v>
      </c>
      <c r="G149" s="41">
        <v>21.0</v>
      </c>
      <c r="H149" s="41">
        <v>12.0</v>
      </c>
      <c r="I149" s="41">
        <v>90.0</v>
      </c>
      <c r="J149" s="41">
        <v>39.0</v>
      </c>
      <c r="K149" s="41">
        <v>56.0</v>
      </c>
      <c r="L149" s="41">
        <v>51.0</v>
      </c>
      <c r="M149" s="41">
        <v>33.0</v>
      </c>
      <c r="N149" s="41">
        <v>18.0</v>
      </c>
      <c r="O149" s="41">
        <v>45.0</v>
      </c>
      <c r="P149" s="41">
        <v>25.0</v>
      </c>
      <c r="Q149" s="41">
        <v>26.0</v>
      </c>
      <c r="R149" s="41">
        <v>45.0</v>
      </c>
      <c r="S149" s="41">
        <v>24.0</v>
      </c>
      <c r="T149" s="41">
        <v>12.0</v>
      </c>
      <c r="U149" s="41">
        <v>36.0</v>
      </c>
      <c r="V149" s="41">
        <v>27.0</v>
      </c>
      <c r="W149" s="41">
        <v>41.0</v>
      </c>
      <c r="X149" s="41">
        <v>12.0</v>
      </c>
      <c r="Y149" s="41">
        <v>3.0</v>
      </c>
      <c r="Z149" s="41">
        <v>15.0</v>
      </c>
      <c r="AA149" s="41">
        <v>41.0</v>
      </c>
      <c r="AB149" s="41">
        <v>3.0</v>
      </c>
      <c r="AC149" s="41">
        <v>30.0</v>
      </c>
      <c r="AD149" s="41">
        <v>21.0</v>
      </c>
      <c r="AE149" s="41">
        <v>17.0</v>
      </c>
      <c r="AF149" s="41">
        <v>12.0</v>
      </c>
      <c r="AG149" s="41">
        <v>27.0</v>
      </c>
      <c r="AH149" s="41">
        <v>11.0</v>
      </c>
      <c r="AI149" s="41">
        <v>24.0</v>
      </c>
      <c r="AJ149" s="41">
        <v>9.0</v>
      </c>
      <c r="AK149" s="41">
        <v>14.0</v>
      </c>
      <c r="AL149" s="41">
        <v>24.0</v>
      </c>
      <c r="AM149" s="43">
        <v>33.0</v>
      </c>
      <c r="AN149" s="43">
        <v>10.0</v>
      </c>
      <c r="AO149" s="43">
        <v>19.0</v>
      </c>
      <c r="AP149" s="43">
        <v>36.0</v>
      </c>
      <c r="AQ149" s="43">
        <v>14.0</v>
      </c>
      <c r="AR149" s="43">
        <v>9.0</v>
      </c>
      <c r="AS149" s="43">
        <v>33.0</v>
      </c>
      <c r="AT149" s="4">
        <f t="shared" si="4"/>
        <v>236.0</v>
      </c>
      <c r="AU149" s="4">
        <f t="shared" si="5"/>
        <v>115.0</v>
      </c>
      <c r="AV149" s="4">
        <f t="shared" si="6"/>
        <v>126.5</v>
      </c>
      <c r="AW149" s="1">
        <f t="shared" si="472"/>
        <v>14.2380952380952</v>
      </c>
      <c r="AX149" s="1">
        <f t="shared" si="473"/>
        <v>17.797619047619</v>
      </c>
      <c r="AY149" s="1">
        <f t="shared" si="474"/>
        <v>19.1666666666667</v>
      </c>
      <c r="AZ149" s="1">
        <f t="shared" si="475"/>
        <v>26.5595238095238</v>
      </c>
      <c r="BA149" s="1">
        <f t="shared" si="476"/>
        <v>12.595238095238</v>
      </c>
      <c r="BB149" s="1">
        <f t="shared" si="477"/>
        <v>24.6428571428571</v>
      </c>
      <c r="BC149" s="4">
        <f t="shared" si="478"/>
        <v>115.0</v>
      </c>
      <c r="BD149" s="3">
        <f>VLOOKUP(D149,FEB23SOH,2,false)</f>
        <v>483.0</v>
      </c>
      <c r="BE149" s="44">
        <f>VLOOKUP(D149,UNITVALUE,4,false)</f>
        <v>1.858</v>
      </c>
      <c r="BF149" s="44">
        <f t="shared" si="16"/>
        <v>897.414</v>
      </c>
      <c r="BI149" s="6">
        <f t="shared" si="479"/>
        <v>368.0</v>
      </c>
      <c r="BJ149" s="1">
        <f>VLOOKUP(C149,MOQ,3,FALSE())</f>
        <v>1002.0</v>
      </c>
      <c r="BK149" s="53" t="s">
        <v>0</v>
      </c>
      <c r="BM149" s="1">
        <f t="shared" si="481"/>
        <v>483.0</v>
      </c>
      <c r="BN149" s="1">
        <f t="shared" si="482"/>
        <v>14.2380952380952</v>
      </c>
      <c r="BP149" s="45">
        <f t="shared" si="483"/>
        <v>468.761904761904</v>
      </c>
      <c r="BQ149" s="5">
        <f t="shared" si="519"/>
        <v>870.959619047618</v>
      </c>
      <c r="BR149" s="1">
        <f t="shared" si="484"/>
        <v>17.797619047619</v>
      </c>
      <c r="BS149" s="1">
        <f t="shared" si="485"/>
      </c>
      <c r="BT149" s="45">
        <f t="shared" si="486"/>
        <v>450.964285714285</v>
      </c>
      <c r="BU149" s="5">
        <f t="shared" si="520"/>
        <v>837.891642857141</v>
      </c>
      <c r="BV149" s="1">
        <f t="shared" si="487"/>
        <v>19.1666666666667</v>
      </c>
      <c r="BW149" s="1">
        <f t="shared" si="488"/>
      </c>
      <c r="BX149" s="45">
        <f t="shared" si="489"/>
        <v>431.797619047618</v>
      </c>
      <c r="BY149" s="5">
        <f t="shared" si="521"/>
        <v>802.279976190474</v>
      </c>
      <c r="BZ149" s="1">
        <f t="shared" si="490"/>
        <v>26.5595238095238</v>
      </c>
      <c r="CB149" s="45">
        <f t="shared" si="491"/>
        <v>405.238095238094</v>
      </c>
      <c r="CC149" s="5">
        <f t="shared" si="522"/>
        <v>752.932380952379</v>
      </c>
      <c r="CD149" s="1">
        <f t="shared" si="492"/>
        <v>12.595238095238</v>
      </c>
      <c r="CF149" s="45">
        <f t="shared" si="493"/>
        <v>392.642857142856</v>
      </c>
      <c r="CG149" s="5">
        <f t="shared" si="523"/>
        <v>729.530428571427</v>
      </c>
      <c r="CH149" s="1">
        <f t="shared" si="494"/>
        <v>24.6428571428571</v>
      </c>
      <c r="CJ149" s="45">
        <f t="shared" si="495"/>
        <v>368.0</v>
      </c>
      <c r="CK149" s="5">
        <f t="shared" si="524"/>
        <v>683.744</v>
      </c>
    </row>
    <row r="150" ht="17.0">
      <c r="A150" s="41" t="s">
        <v>30</v>
      </c>
      <c r="B150" s="10" t="s">
        <v>289</v>
      </c>
      <c r="C150" s="41" t="s">
        <v>330</v>
      </c>
      <c r="D150" s="55" t="s">
        <v>331</v>
      </c>
      <c r="E150" s="41">
        <v>0.0</v>
      </c>
      <c r="F150" s="41">
        <v>0.0</v>
      </c>
      <c r="G150" s="41">
        <v>0.0</v>
      </c>
      <c r="H150" s="41">
        <v>0.0</v>
      </c>
      <c r="I150" s="41">
        <v>0.0</v>
      </c>
      <c r="J150" s="41">
        <v>0.0</v>
      </c>
      <c r="K150" s="41">
        <v>0.0</v>
      </c>
      <c r="L150" s="41">
        <v>0.0</v>
      </c>
      <c r="M150" s="41">
        <v>0.0</v>
      </c>
      <c r="N150" s="41">
        <v>6.0</v>
      </c>
      <c r="O150" s="41">
        <v>105.0</v>
      </c>
      <c r="P150" s="41">
        <v>48.0</v>
      </c>
      <c r="Q150" s="41">
        <v>45.0</v>
      </c>
      <c r="R150" s="41">
        <v>30.0</v>
      </c>
      <c r="S150" s="41">
        <v>12.0</v>
      </c>
      <c r="T150" s="41">
        <v>30.0</v>
      </c>
      <c r="U150" s="41">
        <v>39.0</v>
      </c>
      <c r="V150" s="41">
        <v>15.0</v>
      </c>
      <c r="W150" s="41">
        <v>24.0</v>
      </c>
      <c r="X150" s="41">
        <v>6.0</v>
      </c>
      <c r="Y150" s="41">
        <v>12.0</v>
      </c>
      <c r="Z150" s="41">
        <v>11.0</v>
      </c>
      <c r="AA150" s="41">
        <v>21.0</v>
      </c>
      <c r="AB150" s="41">
        <v>24.0</v>
      </c>
      <c r="AC150" s="41">
        <v>16.0</v>
      </c>
      <c r="AD150" s="41">
        <v>30.0</v>
      </c>
      <c r="AE150" s="41">
        <v>18.0</v>
      </c>
      <c r="AF150" s="41">
        <v>5.0</v>
      </c>
      <c r="AG150" s="41">
        <v>15.0</v>
      </c>
      <c r="AH150" s="41">
        <v>12.0</v>
      </c>
      <c r="AI150" s="41">
        <v>12.0</v>
      </c>
      <c r="AJ150" s="41">
        <v>9.0</v>
      </c>
      <c r="AK150" s="41">
        <v>6.0</v>
      </c>
      <c r="AL150" s="41">
        <v>8.0</v>
      </c>
      <c r="AM150" s="43">
        <v>18.0</v>
      </c>
      <c r="AN150" s="43">
        <v>9.0</v>
      </c>
      <c r="AO150" s="43">
        <v>7.0</v>
      </c>
      <c r="AP150" s="43">
        <v>30.0</v>
      </c>
      <c r="AQ150" s="43">
        <v>4.0</v>
      </c>
      <c r="AR150" s="43">
        <v>14.0</v>
      </c>
      <c r="AS150" s="43">
        <v>21.0</v>
      </c>
      <c r="AT150" s="4">
        <f t="shared" si="4"/>
        <v>150.0</v>
      </c>
      <c r="AU150" s="4">
        <f t="shared" si="5"/>
        <v>65.0</v>
      </c>
      <c r="AV150" s="4">
        <f t="shared" si="6"/>
        <v>71.5</v>
      </c>
      <c r="AW150" s="1">
        <f t="shared" si="472"/>
        <v>8.04761904761904</v>
      </c>
      <c r="AX150" s="1">
        <f t="shared" si="473"/>
        <v>10.0595238095238</v>
      </c>
      <c r="AY150" s="1">
        <f t="shared" si="474"/>
        <v>10.8333333333333</v>
      </c>
      <c r="AZ150" s="1">
        <f t="shared" si="475"/>
        <v>15.0119047619048</v>
      </c>
      <c r="BA150" s="1">
        <f t="shared" si="476"/>
        <v>7.11904761904761</v>
      </c>
      <c r="BB150" s="1">
        <f t="shared" si="477"/>
        <v>13.9285714285714</v>
      </c>
      <c r="BC150" s="4">
        <f t="shared" si="478"/>
        <v>65.0</v>
      </c>
      <c r="BD150" s="3">
        <f>VLOOKUP(D150,FEB23SOH,2,false)</f>
        <v>186.0</v>
      </c>
      <c r="BE150" s="44">
        <f>VLOOKUP(D150,UNITVALUE,4,false)</f>
        <v>1.8297</v>
      </c>
      <c r="BF150" s="44">
        <f t="shared" si="16"/>
        <v>340.3242</v>
      </c>
      <c r="BI150" s="6">
        <f t="shared" si="479"/>
        <v>121.0</v>
      </c>
      <c r="BJ150" s="1">
        <f>VLOOKUP(C150,MOQ,3,FALSE())</f>
        <v>1002.0</v>
      </c>
      <c r="BK150" s="53" t="s">
        <v>0</v>
      </c>
      <c r="BM150" s="1">
        <f t="shared" si="481"/>
        <v>186.0</v>
      </c>
      <c r="BN150" s="1">
        <f t="shared" si="482"/>
        <v>8.04761904761904</v>
      </c>
      <c r="BP150" s="45">
        <f t="shared" si="483"/>
        <v>177.95238095238</v>
      </c>
      <c r="BQ150" s="5">
        <f t="shared" si="519"/>
        <v>325.59947142857</v>
      </c>
      <c r="BR150" s="1">
        <f t="shared" si="484"/>
        <v>10.0595238095238</v>
      </c>
      <c r="BS150" s="1">
        <f t="shared" si="485"/>
      </c>
      <c r="BT150" s="45">
        <f t="shared" si="486"/>
        <v>167.892857142856</v>
      </c>
      <c r="BU150" s="5">
        <f t="shared" si="520"/>
        <v>307.193560714283</v>
      </c>
      <c r="BV150" s="1">
        <f t="shared" si="487"/>
        <v>10.8333333333333</v>
      </c>
      <c r="BW150" s="1">
        <f t="shared" si="488"/>
      </c>
      <c r="BX150" s="45">
        <f t="shared" si="489"/>
        <v>157.059523809522</v>
      </c>
      <c r="BY150" s="5">
        <f t="shared" si="521"/>
        <v>287.371810714282</v>
      </c>
      <c r="BZ150" s="1">
        <f t="shared" si="490"/>
        <v>15.0119047619048</v>
      </c>
      <c r="CB150" s="45">
        <f t="shared" si="491"/>
        <v>142.047619047617</v>
      </c>
      <c r="CC150" s="5">
        <f t="shared" si="522"/>
        <v>259.904528571424</v>
      </c>
      <c r="CD150" s="1">
        <f t="shared" si="492"/>
        <v>7.11904761904761</v>
      </c>
      <c r="CF150" s="45">
        <f t="shared" si="493"/>
        <v>134.928571428569</v>
      </c>
      <c r="CG150" s="5">
        <f t="shared" si="523"/>
        <v>246.878807142852</v>
      </c>
      <c r="CH150" s="1">
        <f t="shared" si="494"/>
        <v>13.9285714285714</v>
      </c>
      <c r="CJ150" s="45">
        <f t="shared" si="495"/>
        <v>120.999999999998</v>
      </c>
      <c r="CK150" s="5">
        <f t="shared" si="524"/>
        <v>221.393699999996</v>
      </c>
    </row>
    <row r="151" ht="17.0">
      <c r="A151" s="41" t="s">
        <v>30</v>
      </c>
      <c r="B151" s="10" t="s">
        <v>289</v>
      </c>
      <c r="C151" s="41" t="s">
        <v>332</v>
      </c>
      <c r="D151" s="55" t="s">
        <v>333</v>
      </c>
      <c r="E151" s="41">
        <v>0.0</v>
      </c>
      <c r="F151" s="41">
        <v>0.0</v>
      </c>
      <c r="G151" s="41">
        <v>0.0</v>
      </c>
      <c r="H151" s="41">
        <v>0.0</v>
      </c>
      <c r="I151" s="41">
        <v>0.0</v>
      </c>
      <c r="J151" s="41">
        <v>0.0</v>
      </c>
      <c r="K151" s="41">
        <v>0.0</v>
      </c>
      <c r="L151" s="41">
        <v>0.0</v>
      </c>
      <c r="M151" s="41">
        <v>0.0</v>
      </c>
      <c r="N151" s="41">
        <v>0.0</v>
      </c>
      <c r="O151" s="41">
        <v>0.0</v>
      </c>
      <c r="P151" s="41">
        <v>0.0</v>
      </c>
      <c r="Q151" s="41">
        <v>0.0</v>
      </c>
      <c r="R151" s="41">
        <v>0.0</v>
      </c>
      <c r="S151" s="41">
        <v>0.0</v>
      </c>
      <c r="T151" s="41">
        <v>0.0</v>
      </c>
      <c r="U151" s="41">
        <v>0.0</v>
      </c>
      <c r="V151" s="41">
        <v>0.0</v>
      </c>
      <c r="W151" s="41">
        <v>0.0</v>
      </c>
      <c r="X151" s="41">
        <v>0.0</v>
      </c>
      <c r="Y151" s="41">
        <v>20.0</v>
      </c>
      <c r="Z151" s="41">
        <v>51.0</v>
      </c>
      <c r="AA151" s="41">
        <v>63.0</v>
      </c>
      <c r="AB151" s="41">
        <v>33.0</v>
      </c>
      <c r="AC151" s="41">
        <v>27.0</v>
      </c>
      <c r="AD151" s="41">
        <v>27.0</v>
      </c>
      <c r="AE151" s="41">
        <v>6.0</v>
      </c>
      <c r="AF151" s="41">
        <v>6.0</v>
      </c>
      <c r="AG151" s="41">
        <v>0.0</v>
      </c>
      <c r="AH151" s="41">
        <v>9.0</v>
      </c>
      <c r="AI151" s="41">
        <v>3.0</v>
      </c>
      <c r="AJ151" s="41">
        <v>6.0</v>
      </c>
      <c r="AK151" s="41">
        <v>6.0</v>
      </c>
      <c r="AL151" s="41">
        <v>3.0</v>
      </c>
      <c r="AM151" s="43">
        <v>15.0</v>
      </c>
      <c r="AN151" s="43">
        <v>9.0</v>
      </c>
      <c r="AO151" s="43">
        <v>5.0</v>
      </c>
      <c r="AP151" s="43">
        <v>15.0</v>
      </c>
      <c r="AQ151" s="43">
        <v>6.0</v>
      </c>
      <c r="AR151" s="43">
        <v>0.0</v>
      </c>
      <c r="AS151" s="43">
        <v>29.0</v>
      </c>
      <c r="AT151" s="4">
        <f t="shared" si="4"/>
        <v>106.0</v>
      </c>
      <c r="AU151" s="4">
        <f t="shared" si="5"/>
        <v>42.0</v>
      </c>
      <c r="AV151" s="4">
        <f t="shared" si="6"/>
        <v>46.2</v>
      </c>
      <c r="AW151" s="1">
        <f t="shared" si="472"/>
        <v>5.2</v>
      </c>
      <c r="AX151" s="1">
        <f t="shared" si="473"/>
        <v>6.5</v>
      </c>
      <c r="AY151" s="1">
        <f t="shared" si="474"/>
        <v>7.0</v>
      </c>
      <c r="AZ151" s="1">
        <f t="shared" si="475"/>
        <v>9.7</v>
      </c>
      <c r="BA151" s="1">
        <f t="shared" si="476"/>
        <v>4.6</v>
      </c>
      <c r="BB151" s="1">
        <f t="shared" si="477"/>
        <v>9.0</v>
      </c>
      <c r="BC151" s="4">
        <f t="shared" si="478"/>
        <v>42.0</v>
      </c>
      <c r="BD151" s="3">
        <f>VLOOKUP(D151,FEB23SOH,2,false)</f>
        <v>559.0</v>
      </c>
      <c r="BE151" s="44">
        <f>VLOOKUP(D151,UNITVALUE,4,false)</f>
        <v>1.8579</v>
      </c>
      <c r="BF151" s="44">
        <f t="shared" si="16"/>
        <v>1038.5661</v>
      </c>
      <c r="BI151" s="6">
        <f t="shared" si="479"/>
        <v>517.0</v>
      </c>
      <c r="BJ151" s="1">
        <v>1002.0</v>
      </c>
      <c r="BK151" s="53" t="s">
        <v>0</v>
      </c>
      <c r="BM151" s="1">
        <f t="shared" si="481"/>
        <v>559.0</v>
      </c>
      <c r="BN151" s="1">
        <f t="shared" si="482"/>
        <v>5.2</v>
      </c>
      <c r="BP151" s="45">
        <f t="shared" si="483"/>
        <v>553.8</v>
      </c>
      <c r="BQ151" s="5">
        <f t="shared" si="519"/>
        <v>1028.90502</v>
      </c>
      <c r="BR151" s="1">
        <f t="shared" si="484"/>
        <v>6.5</v>
      </c>
      <c r="BS151" s="1">
        <f t="shared" si="485"/>
      </c>
      <c r="BT151" s="45">
        <f t="shared" si="486"/>
        <v>547.3</v>
      </c>
      <c r="BU151" s="5">
        <f t="shared" si="520"/>
        <v>1016.82867</v>
      </c>
      <c r="BV151" s="1">
        <f t="shared" si="487"/>
        <v>7.0</v>
      </c>
      <c r="BW151" s="1">
        <f t="shared" si="488"/>
      </c>
      <c r="BX151" s="45">
        <f t="shared" si="489"/>
        <v>540.3</v>
      </c>
      <c r="BY151" s="5">
        <f t="shared" si="521"/>
        <v>1003.82337</v>
      </c>
      <c r="BZ151" s="1">
        <f t="shared" si="490"/>
        <v>9.7</v>
      </c>
      <c r="CB151" s="45">
        <f t="shared" si="491"/>
        <v>530.6</v>
      </c>
      <c r="CC151" s="5">
        <f t="shared" si="522"/>
        <v>985.80174</v>
      </c>
      <c r="CD151" s="1">
        <f t="shared" si="492"/>
        <v>4.6</v>
      </c>
      <c r="CF151" s="45">
        <f t="shared" si="493"/>
        <v>526.0</v>
      </c>
      <c r="CG151" s="5">
        <f t="shared" si="523"/>
        <v>977.2554</v>
      </c>
      <c r="CH151" s="1">
        <f t="shared" si="494"/>
        <v>9.0</v>
      </c>
      <c r="CJ151" s="45">
        <f t="shared" si="495"/>
        <v>517.0</v>
      </c>
      <c r="CK151" s="5">
        <f t="shared" si="524"/>
        <v>960.5343</v>
      </c>
    </row>
    <row r="152" ht="17.0">
      <c r="A152" s="41" t="s">
        <v>30</v>
      </c>
      <c r="B152" s="10" t="s">
        <v>289</v>
      </c>
      <c r="C152" s="41" t="s">
        <v>334</v>
      </c>
      <c r="D152" s="55" t="s">
        <v>335</v>
      </c>
      <c r="E152" s="41">
        <v>0.0</v>
      </c>
      <c r="F152" s="41">
        <v>0.0</v>
      </c>
      <c r="G152" s="41">
        <v>0.0</v>
      </c>
      <c r="H152" s="41">
        <v>0.0</v>
      </c>
      <c r="I152" s="41">
        <v>0.0</v>
      </c>
      <c r="J152" s="41">
        <v>0.0</v>
      </c>
      <c r="K152" s="41">
        <v>0.0</v>
      </c>
      <c r="L152" s="41">
        <v>0.0</v>
      </c>
      <c r="M152" s="41">
        <v>0.0</v>
      </c>
      <c r="N152" s="41">
        <v>0.0</v>
      </c>
      <c r="O152" s="41">
        <v>0.0</v>
      </c>
      <c r="P152" s="41">
        <v>0.0</v>
      </c>
      <c r="Q152" s="41">
        <v>0.0</v>
      </c>
      <c r="R152" s="41">
        <v>0.0</v>
      </c>
      <c r="S152" s="41">
        <v>0.0</v>
      </c>
      <c r="T152" s="41">
        <v>0.0</v>
      </c>
      <c r="U152" s="41">
        <v>0.0</v>
      </c>
      <c r="V152" s="41">
        <v>0.0</v>
      </c>
      <c r="W152" s="41">
        <v>0.0</v>
      </c>
      <c r="X152" s="41">
        <v>0.0</v>
      </c>
      <c r="Y152" s="41">
        <v>17.0</v>
      </c>
      <c r="Z152" s="41">
        <v>57.0</v>
      </c>
      <c r="AA152" s="41">
        <v>48.0</v>
      </c>
      <c r="AB152" s="41">
        <v>30.0</v>
      </c>
      <c r="AC152" s="41">
        <v>42.0</v>
      </c>
      <c r="AD152" s="41">
        <v>12.0</v>
      </c>
      <c r="AE152" s="41">
        <v>0.0</v>
      </c>
      <c r="AF152" s="41">
        <v>9.0</v>
      </c>
      <c r="AG152" s="41">
        <v>6.0</v>
      </c>
      <c r="AH152" s="41">
        <v>6.0</v>
      </c>
      <c r="AI152" s="41">
        <v>14.0</v>
      </c>
      <c r="AJ152" s="41">
        <v>12.0</v>
      </c>
      <c r="AK152" s="41">
        <v>3.0</v>
      </c>
      <c r="AL152" s="41">
        <v>15.0</v>
      </c>
      <c r="AM152" s="43">
        <v>24.0</v>
      </c>
      <c r="AN152" s="43">
        <v>6.0</v>
      </c>
      <c r="AO152" s="43">
        <v>4.0</v>
      </c>
      <c r="AP152" s="43">
        <v>30.0</v>
      </c>
      <c r="AQ152" s="43">
        <v>9.0</v>
      </c>
      <c r="AR152" s="43">
        <v>6.0</v>
      </c>
      <c r="AS152" s="43">
        <v>13.0</v>
      </c>
      <c r="AT152" s="4">
        <f t="shared" si="4"/>
        <v>142.0</v>
      </c>
      <c r="AU152" s="4">
        <f t="shared" si="5"/>
        <v>74.0</v>
      </c>
      <c r="AV152" s="4">
        <f t="shared" si="6"/>
        <v>81.4</v>
      </c>
      <c r="AW152" s="1">
        <f t="shared" si="472"/>
        <v>9.16190476190476</v>
      </c>
      <c r="AX152" s="1">
        <f t="shared" si="473"/>
        <v>11.45238095238</v>
      </c>
      <c r="AY152" s="1">
        <f t="shared" si="474"/>
        <v>12.3333333333333</v>
      </c>
      <c r="AZ152" s="1">
        <f t="shared" si="475"/>
        <v>17.0904761904761</v>
      </c>
      <c r="BA152" s="1">
        <f t="shared" si="476"/>
        <v>8.1047619047619</v>
      </c>
      <c r="BB152" s="1">
        <f t="shared" si="477"/>
        <v>15.8571428571429</v>
      </c>
      <c r="BC152" s="4">
        <f t="shared" si="478"/>
        <v>73.999999999999</v>
      </c>
      <c r="BD152" s="3">
        <f>VLOOKUP(D152,FEB23SOH,2,false)</f>
        <v>535.0</v>
      </c>
      <c r="BE152" s="44">
        <f>VLOOKUP(D152,UNITVALUE,4,false)</f>
        <v>1.8579</v>
      </c>
      <c r="BF152" s="44">
        <f t="shared" si="16"/>
        <v>993.9765</v>
      </c>
      <c r="BI152" s="6">
        <f t="shared" si="479"/>
        <v>461.000000000001</v>
      </c>
      <c r="BJ152" s="1">
        <v>1002.0</v>
      </c>
      <c r="BK152" s="53" t="s">
        <v>0</v>
      </c>
      <c r="BM152" s="1">
        <f t="shared" si="481"/>
        <v>535.0</v>
      </c>
      <c r="BN152" s="1">
        <f t="shared" si="482"/>
        <v>9.16190476190476</v>
      </c>
      <c r="BP152" s="45">
        <f t="shared" si="483"/>
        <v>525.838095238095</v>
      </c>
      <c r="BQ152" s="5">
        <f t="shared" si="519"/>
        <v>976.954597142857</v>
      </c>
      <c r="BR152" s="1">
        <f t="shared" si="484"/>
        <v>11.45238095238</v>
      </c>
      <c r="BS152" s="1">
        <f t="shared" si="485"/>
      </c>
      <c r="BT152" s="45">
        <f t="shared" si="486"/>
        <v>514.385714285714</v>
      </c>
      <c r="BU152" s="5">
        <f t="shared" si="520"/>
        <v>955.677218571428</v>
      </c>
      <c r="BV152" s="1">
        <f t="shared" si="487"/>
        <v>12.3333333333333</v>
      </c>
      <c r="BW152" s="1">
        <f t="shared" si="488"/>
      </c>
      <c r="BX152" s="45">
        <f t="shared" si="489"/>
        <v>502.05238095238</v>
      </c>
      <c r="BY152" s="5">
        <f t="shared" si="521"/>
        <v>932.76311857142</v>
      </c>
      <c r="BZ152" s="1">
        <f t="shared" si="490"/>
        <v>17.0904761904761</v>
      </c>
      <c r="CB152" s="45">
        <f t="shared" si="491"/>
        <v>484.961904761903</v>
      </c>
      <c r="CC152" s="5">
        <f t="shared" si="522"/>
        <v>901.01072285714</v>
      </c>
      <c r="CD152" s="1">
        <f t="shared" si="492"/>
        <v>8.1047619047619</v>
      </c>
      <c r="CF152" s="45">
        <f t="shared" si="493"/>
        <v>476.857142857141</v>
      </c>
      <c r="CG152" s="5">
        <f t="shared" si="523"/>
        <v>885.952885714282</v>
      </c>
      <c r="CH152" s="1">
        <f t="shared" si="494"/>
        <v>15.8571428571429</v>
      </c>
      <c r="CJ152" s="45">
        <f t="shared" si="495"/>
        <v>460.999999999998</v>
      </c>
      <c r="CK152" s="5">
        <f t="shared" si="524"/>
        <v>856.491899999996</v>
      </c>
    </row>
    <row r="153" ht="17.0">
      <c r="A153" s="41" t="s">
        <v>30</v>
      </c>
      <c r="B153" s="10" t="s">
        <v>289</v>
      </c>
      <c r="C153" s="41" t="s">
        <v>336</v>
      </c>
      <c r="D153" s="55" t="s">
        <v>337</v>
      </c>
      <c r="E153" s="41">
        <v>0.0</v>
      </c>
      <c r="F153" s="41">
        <v>0.0</v>
      </c>
      <c r="G153" s="41">
        <v>0.0</v>
      </c>
      <c r="H153" s="41">
        <v>0.0</v>
      </c>
      <c r="I153" s="41">
        <v>0.0</v>
      </c>
      <c r="J153" s="41">
        <v>0.0</v>
      </c>
      <c r="K153" s="41">
        <v>0.0</v>
      </c>
      <c r="L153" s="41">
        <v>0.0</v>
      </c>
      <c r="M153" s="41">
        <v>0.0</v>
      </c>
      <c r="N153" s="41">
        <v>0.0</v>
      </c>
      <c r="O153" s="41">
        <v>0.0</v>
      </c>
      <c r="P153" s="41">
        <v>0.0</v>
      </c>
      <c r="Q153" s="41">
        <v>0.0</v>
      </c>
      <c r="R153" s="41">
        <v>0.0</v>
      </c>
      <c r="S153" s="41">
        <v>0.0</v>
      </c>
      <c r="T153" s="41">
        <v>0.0</v>
      </c>
      <c r="U153" s="41">
        <v>0.0</v>
      </c>
      <c r="V153" s="41">
        <v>0.0</v>
      </c>
      <c r="W153" s="41">
        <v>0.0</v>
      </c>
      <c r="X153" s="41">
        <v>0.0</v>
      </c>
      <c r="Y153" s="41">
        <v>20.0</v>
      </c>
      <c r="Z153" s="41">
        <v>54.0</v>
      </c>
      <c r="AA153" s="41">
        <v>48.0</v>
      </c>
      <c r="AB153" s="41">
        <v>39.0</v>
      </c>
      <c r="AC153" s="41">
        <v>30.0</v>
      </c>
      <c r="AD153" s="41">
        <v>27.0</v>
      </c>
      <c r="AE153" s="41">
        <v>6.0</v>
      </c>
      <c r="AF153" s="41">
        <v>6.0</v>
      </c>
      <c r="AG153" s="41">
        <v>15.0</v>
      </c>
      <c r="AH153" s="41">
        <v>9.0</v>
      </c>
      <c r="AI153" s="41">
        <v>6.0</v>
      </c>
      <c r="AJ153" s="41">
        <v>6.0</v>
      </c>
      <c r="AK153" s="41">
        <v>3.0</v>
      </c>
      <c r="AL153" s="41">
        <v>9.0</v>
      </c>
      <c r="AM153" s="43">
        <v>0.0</v>
      </c>
      <c r="AN153" s="43">
        <v>2.0</v>
      </c>
      <c r="AO153" s="43">
        <v>0.0</v>
      </c>
      <c r="AP153" s="43">
        <v>27.0</v>
      </c>
      <c r="AQ153" s="43">
        <v>5.0</v>
      </c>
      <c r="AR153" s="43">
        <v>6.0</v>
      </c>
      <c r="AS153" s="43">
        <v>15.0</v>
      </c>
      <c r="AT153" s="4">
        <f t="shared" si="4"/>
        <v>88.0</v>
      </c>
      <c r="AU153" s="4">
        <f t="shared" si="5"/>
        <v>33.0</v>
      </c>
      <c r="AV153" s="4">
        <f t="shared" si="6"/>
        <v>36.3</v>
      </c>
      <c r="AW153" s="1">
        <f t="shared" si="472"/>
        <v>4.08571428571429</v>
      </c>
      <c r="AX153" s="1">
        <f t="shared" si="473"/>
        <v>5.1071428571429</v>
      </c>
      <c r="AY153" s="1">
        <f t="shared" si="474"/>
        <v>5.5</v>
      </c>
      <c r="AZ153" s="1">
        <f t="shared" si="475"/>
        <v>7.62142857142857</v>
      </c>
      <c r="BA153" s="1">
        <f t="shared" si="476"/>
        <v>3.61428571428571</v>
      </c>
      <c r="BB153" s="1">
        <f t="shared" si="477"/>
        <v>7.07142857142857</v>
      </c>
      <c r="BC153" s="4">
        <f t="shared" si="478"/>
        <v>33.0</v>
      </c>
      <c r="BD153" s="3">
        <f>VLOOKUP(D153,FEB23SOH,2,false)</f>
        <v>562.0</v>
      </c>
      <c r="BE153" s="44">
        <f>VLOOKUP(D153,UNITVALUE,4,false)</f>
        <v>1.8578</v>
      </c>
      <c r="BF153" s="44">
        <f t="shared" si="16"/>
        <v>1044.0836</v>
      </c>
      <c r="BI153" s="6">
        <f t="shared" si="479"/>
        <v>529.0</v>
      </c>
      <c r="BJ153" s="1">
        <v>1002.0</v>
      </c>
      <c r="BK153" s="53" t="s">
        <v>0</v>
      </c>
      <c r="BM153" s="1">
        <f t="shared" si="481"/>
        <v>562.0</v>
      </c>
      <c r="BN153" s="1">
        <f t="shared" si="482"/>
        <v>4.08571428571429</v>
      </c>
      <c r="BP153" s="45">
        <f t="shared" si="483"/>
        <v>557.914285714286</v>
      </c>
      <c r="BQ153" s="5">
        <f t="shared" si="519"/>
        <v>1036.49316</v>
      </c>
      <c r="BR153" s="1">
        <f t="shared" si="484"/>
        <v>5.1071428571429</v>
      </c>
      <c r="BS153" s="1">
        <f t="shared" si="485"/>
      </c>
      <c r="BT153" s="45">
        <f t="shared" si="486"/>
        <v>552.807142857143</v>
      </c>
      <c r="BU153" s="5">
        <f t="shared" si="520"/>
        <v>1027.00511</v>
      </c>
      <c r="BV153" s="1">
        <f t="shared" si="487"/>
        <v>5.5</v>
      </c>
      <c r="BW153" s="1">
        <f t="shared" si="488"/>
      </c>
      <c r="BX153" s="45">
        <f t="shared" si="489"/>
        <v>547.307142857143</v>
      </c>
      <c r="BY153" s="5">
        <f t="shared" si="521"/>
        <v>1016.78721</v>
      </c>
      <c r="BZ153" s="1">
        <f t="shared" si="490"/>
        <v>7.62142857142857</v>
      </c>
      <c r="CB153" s="45">
        <f t="shared" si="491"/>
        <v>539.685714285714</v>
      </c>
      <c r="CC153" s="5">
        <f t="shared" si="522"/>
        <v>1002.62812</v>
      </c>
      <c r="CD153" s="1">
        <f t="shared" si="492"/>
        <v>3.61428571428571</v>
      </c>
      <c r="CF153" s="45">
        <f t="shared" si="493"/>
        <v>536.071428571428</v>
      </c>
      <c r="CG153" s="5">
        <f t="shared" si="523"/>
        <v>995.913499999999</v>
      </c>
      <c r="CH153" s="1">
        <f t="shared" si="494"/>
        <v>7.07142857142857</v>
      </c>
      <c r="CJ153" s="45">
        <f t="shared" si="495"/>
        <v>528.999999999999</v>
      </c>
      <c r="CK153" s="5">
        <f t="shared" si="524"/>
        <v>982.776199999998</v>
      </c>
    </row>
    <row r="154" ht="17.0">
      <c r="A154" s="41" t="s">
        <v>30</v>
      </c>
      <c r="B154" s="10" t="s">
        <v>289</v>
      </c>
      <c r="C154" s="41" t="s">
        <v>338</v>
      </c>
      <c r="D154" s="55" t="s">
        <v>339</v>
      </c>
      <c r="E154" s="41">
        <v>0.0</v>
      </c>
      <c r="F154" s="41">
        <v>0.0</v>
      </c>
      <c r="G154" s="41">
        <v>0.0</v>
      </c>
      <c r="H154" s="41">
        <v>0.0</v>
      </c>
      <c r="I154" s="41">
        <v>0.0</v>
      </c>
      <c r="J154" s="41">
        <v>0.0</v>
      </c>
      <c r="K154" s="41">
        <v>0.0</v>
      </c>
      <c r="L154" s="41">
        <v>0.0</v>
      </c>
      <c r="M154" s="41">
        <v>0.0</v>
      </c>
      <c r="N154" s="41">
        <v>0.0</v>
      </c>
      <c r="O154" s="41">
        <v>0.0</v>
      </c>
      <c r="P154" s="41">
        <v>0.0</v>
      </c>
      <c r="Q154" s="41">
        <v>0.0</v>
      </c>
      <c r="R154" s="41">
        <v>0.0</v>
      </c>
      <c r="S154" s="41">
        <v>0.0</v>
      </c>
      <c r="T154" s="41">
        <v>0.0</v>
      </c>
      <c r="U154" s="41">
        <v>0.0</v>
      </c>
      <c r="V154" s="41">
        <v>0.0</v>
      </c>
      <c r="W154" s="41">
        <v>0.0</v>
      </c>
      <c r="X154" s="41">
        <v>0.0</v>
      </c>
      <c r="Y154" s="41">
        <v>11.0</v>
      </c>
      <c r="Z154" s="41">
        <v>54.0</v>
      </c>
      <c r="AA154" s="41">
        <v>54.0</v>
      </c>
      <c r="AB154" s="41">
        <v>33.0</v>
      </c>
      <c r="AC154" s="41">
        <v>45.0</v>
      </c>
      <c r="AD154" s="41">
        <v>21.0</v>
      </c>
      <c r="AE154" s="41">
        <v>9.0</v>
      </c>
      <c r="AF154" s="41">
        <v>12.0</v>
      </c>
      <c r="AG154" s="41">
        <v>6.0</v>
      </c>
      <c r="AH154" s="41">
        <v>9.0</v>
      </c>
      <c r="AI154" s="41">
        <v>36.0</v>
      </c>
      <c r="AJ154" s="41">
        <v>18.0</v>
      </c>
      <c r="AK154" s="41">
        <v>6.0</v>
      </c>
      <c r="AL154" s="41">
        <v>3.0</v>
      </c>
      <c r="AM154" s="43">
        <v>21.0</v>
      </c>
      <c r="AN154" s="43">
        <v>-2.0</v>
      </c>
      <c r="AO154" s="43">
        <v>3.0</v>
      </c>
      <c r="AP154" s="43">
        <v>9.0</v>
      </c>
      <c r="AQ154" s="43">
        <v>9.0</v>
      </c>
      <c r="AR154" s="43">
        <v>3.0</v>
      </c>
      <c r="AS154" s="43">
        <v>11.0</v>
      </c>
      <c r="AT154" s="4">
        <f t="shared" si="4"/>
        <v>126.0</v>
      </c>
      <c r="AU154" s="4">
        <f t="shared" si="5"/>
        <v>93.0</v>
      </c>
      <c r="AV154" s="4">
        <f t="shared" si="6"/>
        <v>102.3</v>
      </c>
      <c r="AW154" s="1">
        <f t="shared" si="472"/>
        <v>11.5142857142857</v>
      </c>
      <c r="AX154" s="1">
        <f t="shared" si="473"/>
        <v>14.3928571428571</v>
      </c>
      <c r="AY154" s="1">
        <f t="shared" si="474"/>
        <v>15.5</v>
      </c>
      <c r="AZ154" s="1">
        <f t="shared" si="475"/>
        <v>21.4785714285714</v>
      </c>
      <c r="BA154" s="1">
        <f t="shared" si="476"/>
        <v>10.1857142857142</v>
      </c>
      <c r="BB154" s="1">
        <f t="shared" si="477"/>
        <v>19.9285714285714</v>
      </c>
      <c r="BC154" s="4">
        <f t="shared" si="478"/>
        <v>92.9999999999998</v>
      </c>
      <c r="BD154" s="3">
        <f>VLOOKUP(D154,FEB23SOH,2,false)</f>
        <v>519.0</v>
      </c>
      <c r="BE154" s="44">
        <f>VLOOKUP(D154,UNITVALUE,4,false)</f>
        <v>1.8578</v>
      </c>
      <c r="BF154" s="44">
        <f t="shared" si="16"/>
        <v>964.1982</v>
      </c>
      <c r="BI154" s="6">
        <f t="shared" si="479"/>
        <v>426.0</v>
      </c>
      <c r="BJ154" s="1">
        <v>1002.0</v>
      </c>
      <c r="BK154" s="53" t="s">
        <v>0</v>
      </c>
      <c r="BM154" s="1">
        <f t="shared" si="481"/>
        <v>519.0</v>
      </c>
      <c r="BN154" s="1">
        <f t="shared" si="482"/>
        <v>11.5142857142857</v>
      </c>
      <c r="BP154" s="45">
        <f t="shared" si="483"/>
        <v>507.485714285714</v>
      </c>
      <c r="BQ154" s="5">
        <f t="shared" si="519"/>
        <v>942.806959999999</v>
      </c>
      <c r="BR154" s="1">
        <f t="shared" si="484"/>
        <v>14.3928571428571</v>
      </c>
      <c r="BS154" s="1">
        <f t="shared" si="485"/>
      </c>
      <c r="BT154" s="45">
        <f t="shared" si="486"/>
        <v>493.09285714286</v>
      </c>
      <c r="BU154" s="5">
        <f t="shared" si="520"/>
        <v>916.067910000005</v>
      </c>
      <c r="BV154" s="1">
        <f t="shared" si="487"/>
        <v>15.5</v>
      </c>
      <c r="BW154" s="1">
        <f t="shared" si="488"/>
      </c>
      <c r="BX154" s="45">
        <f t="shared" si="489"/>
        <v>477.59285714286</v>
      </c>
      <c r="BY154" s="5">
        <f t="shared" si="521"/>
        <v>887.272010000005</v>
      </c>
      <c r="BZ154" s="1">
        <f t="shared" si="490"/>
        <v>21.4785714285714</v>
      </c>
      <c r="CB154" s="45">
        <f t="shared" si="491"/>
        <v>456.114285714289</v>
      </c>
      <c r="CC154" s="5">
        <f t="shared" si="522"/>
        <v>847.369120000006</v>
      </c>
      <c r="CD154" s="1">
        <f t="shared" si="492"/>
        <v>10.1857142857142</v>
      </c>
      <c r="CF154" s="45">
        <f t="shared" si="493"/>
        <v>445.928571428574</v>
      </c>
      <c r="CG154" s="5">
        <f t="shared" si="523"/>
        <v>828.446100000004</v>
      </c>
      <c r="CH154" s="1">
        <f t="shared" si="494"/>
        <v>19.9285714285714</v>
      </c>
      <c r="CJ154" s="45">
        <f t="shared" si="495"/>
        <v>426.000000000002</v>
      </c>
      <c r="CK154" s="5">
        <f t="shared" si="524"/>
        <v>791.422800000003</v>
      </c>
    </row>
    <row r="155" ht="17.0">
      <c r="A155" s="46" t="s">
        <v>30</v>
      </c>
      <c r="B155" s="70" t="s">
        <v>289</v>
      </c>
      <c r="C155" s="46" t="s">
        <v>340</v>
      </c>
      <c r="D155" s="47" t="s">
        <v>341</v>
      </c>
      <c r="E155" s="41">
        <v>0.0</v>
      </c>
      <c r="F155" s="41">
        <v>0.0</v>
      </c>
      <c r="G155" s="41">
        <v>0.0</v>
      </c>
      <c r="H155" s="41">
        <v>1.0</v>
      </c>
      <c r="I155" s="41">
        <v>3.0</v>
      </c>
      <c r="J155" s="41">
        <v>2.0</v>
      </c>
      <c r="K155" s="41">
        <v>1.0</v>
      </c>
      <c r="L155" s="41">
        <v>0.0</v>
      </c>
      <c r="M155" s="41">
        <v>0.0</v>
      </c>
      <c r="N155" s="41">
        <v>0.0</v>
      </c>
      <c r="O155" s="41">
        <v>0.0</v>
      </c>
      <c r="P155" s="41">
        <v>0.0</v>
      </c>
      <c r="Q155" s="41">
        <v>0.0</v>
      </c>
      <c r="R155" s="41">
        <v>1.0</v>
      </c>
      <c r="S155" s="41">
        <v>0.0</v>
      </c>
      <c r="T155" s="41">
        <v>0.0</v>
      </c>
      <c r="U155" s="41">
        <v>2.0</v>
      </c>
      <c r="V155" s="41">
        <v>2.0</v>
      </c>
      <c r="W155" s="41">
        <v>0.0</v>
      </c>
      <c r="X155" s="41">
        <v>1.0</v>
      </c>
      <c r="Y155" s="41">
        <v>1.0</v>
      </c>
      <c r="Z155" s="41">
        <v>2.0</v>
      </c>
      <c r="AA155" s="41">
        <v>1.0</v>
      </c>
      <c r="AB155" s="41">
        <v>3.0</v>
      </c>
      <c r="AC155" s="41">
        <v>0.0</v>
      </c>
      <c r="AD155" s="41">
        <v>0.0</v>
      </c>
      <c r="AE155" s="41">
        <v>0.0</v>
      </c>
      <c r="AF155" s="41">
        <v>0.0</v>
      </c>
      <c r="AG155" s="41">
        <v>1.0</v>
      </c>
      <c r="AH155" s="41">
        <v>1.0</v>
      </c>
      <c r="AI155" s="41">
        <v>0.0</v>
      </c>
      <c r="AJ155" s="41">
        <v>0.0</v>
      </c>
      <c r="AK155" s="41">
        <v>1.0</v>
      </c>
      <c r="AL155" s="41">
        <v>1.0</v>
      </c>
      <c r="AM155" s="43">
        <v>1.0</v>
      </c>
      <c r="AN155" s="43">
        <v>1.0</v>
      </c>
      <c r="AO155" s="43">
        <v>1.0</v>
      </c>
      <c r="AP155" s="43">
        <v>0.0</v>
      </c>
      <c r="AQ155" s="43">
        <v>0.0</v>
      </c>
      <c r="AR155" s="43">
        <v>0.0</v>
      </c>
      <c r="AS155" s="43">
        <v>0.0</v>
      </c>
      <c r="AT155" s="4">
        <f t="shared" si="4"/>
        <v>6.0</v>
      </c>
      <c r="AU155" s="4">
        <f t="shared" si="5"/>
        <v>4.0</v>
      </c>
      <c r="AV155" s="4">
        <f t="shared" si="6"/>
        <v>4.4</v>
      </c>
      <c r="AW155" s="48">
        <f t="shared" si="472"/>
        <v>0.495238095238095</v>
      </c>
      <c r="AX155" s="48">
        <f t="shared" si="473"/>
        <v>0.619047619047619</v>
      </c>
      <c r="AY155" s="48">
        <f t="shared" si="474"/>
        <v>0.666666666666667</v>
      </c>
      <c r="AZ155" s="48">
        <f t="shared" si="475"/>
        <v>0.923809523809523</v>
      </c>
      <c r="BA155" s="48">
        <f t="shared" si="476"/>
        <v>0.438095238095238</v>
      </c>
      <c r="BB155" s="48">
        <f t="shared" si="477"/>
        <v>0.857142857142857</v>
      </c>
      <c r="BC155" s="4">
        <f t="shared" si="478"/>
        <v>4.0</v>
      </c>
      <c r="BD155" s="3">
        <f>VLOOKUP(D155,FEB23SOH,2,false)</f>
        <v>1.0</v>
      </c>
      <c r="BE155" s="44">
        <f>VLOOKUP(D155,UNITVALUE,4,false)</f>
        <v>309.05</v>
      </c>
      <c r="BF155" s="44">
        <f t="shared" si="16"/>
        <v>309.05</v>
      </c>
      <c r="BJ155" s="1">
        <f>VLOOKUP(C155,MOQ,3,FALSE())</f>
      </c>
      <c r="BK155" s="53" t="s">
        <v>0</v>
      </c>
      <c r="BP155" s="45"/>
      <c r="BT155" s="45"/>
      <c r="BU155" s="5"/>
      <c r="BX155" s="45"/>
      <c r="BY155" s="5"/>
      <c r="CB155" s="45"/>
      <c r="CC155" s="5"/>
      <c r="CF155" s="45"/>
      <c r="CG155" s="5"/>
      <c r="CJ155" s="45"/>
      <c r="CK155" s="5"/>
      <c r="CL155" s="49"/>
      <c r="CM155" s="49"/>
      <c r="CN155" s="49"/>
      <c r="CO155" s="49"/>
      <c r="CP155" s="49"/>
      <c r="CQ155" s="49"/>
      <c r="CR155" s="49"/>
      <c r="CS155" s="49"/>
      <c r="CT155" s="49"/>
      <c r="CU155" s="49"/>
      <c r="CV155" s="49"/>
      <c r="CW155" s="49"/>
      <c r="CX155" s="49"/>
      <c r="CY155" s="49"/>
      <c r="CZ155" s="49"/>
      <c r="DA155" s="49"/>
      <c r="DB155" s="49"/>
      <c r="DC155" s="49"/>
      <c r="DD155" s="49"/>
      <c r="DE155" s="49"/>
      <c r="DF155" s="49"/>
      <c r="DG155" s="49"/>
      <c r="DH155" s="49"/>
      <c r="DI155" s="49"/>
      <c r="DJ155" s="49"/>
      <c r="DK155" s="49"/>
    </row>
    <row r="156" ht="17.0">
      <c r="A156" s="41" t="s">
        <v>30</v>
      </c>
      <c r="B156" s="41" t="s">
        <v>197</v>
      </c>
      <c r="C156" s="41" t="s">
        <v>342</v>
      </c>
      <c r="D156" s="42" t="s">
        <v>343</v>
      </c>
      <c r="E156" s="41">
        <v>1.0</v>
      </c>
      <c r="F156" s="41">
        <v>1.0</v>
      </c>
      <c r="G156" s="41">
        <v>1.0</v>
      </c>
      <c r="H156" s="41">
        <v>0.0</v>
      </c>
      <c r="I156" s="41">
        <v>2.0</v>
      </c>
      <c r="J156" s="41">
        <v>1.0</v>
      </c>
      <c r="K156" s="41">
        <v>0.0</v>
      </c>
      <c r="L156" s="41">
        <v>2.0</v>
      </c>
      <c r="M156" s="41">
        <v>0.0</v>
      </c>
      <c r="N156" s="41">
        <v>1.0</v>
      </c>
      <c r="O156" s="41">
        <v>2.0</v>
      </c>
      <c r="P156" s="41">
        <v>0.0</v>
      </c>
      <c r="Q156" s="41">
        <v>1.0</v>
      </c>
      <c r="R156" s="41">
        <v>1.0</v>
      </c>
      <c r="S156" s="41">
        <v>1.0</v>
      </c>
      <c r="T156" s="41">
        <v>3.0</v>
      </c>
      <c r="U156" s="41">
        <v>2.0</v>
      </c>
      <c r="V156" s="41">
        <v>0.0</v>
      </c>
      <c r="W156" s="41">
        <v>1.0</v>
      </c>
      <c r="X156" s="41">
        <v>0.0</v>
      </c>
      <c r="Y156" s="41">
        <v>0.0</v>
      </c>
      <c r="Z156" s="41">
        <v>2.0</v>
      </c>
      <c r="AA156" s="41">
        <v>2.0</v>
      </c>
      <c r="AB156" s="41">
        <v>0.0</v>
      </c>
      <c r="AC156" s="41">
        <v>1.0</v>
      </c>
      <c r="AD156" s="41">
        <v>0.0</v>
      </c>
      <c r="AE156" s="41">
        <v>0.0</v>
      </c>
      <c r="AF156" s="41">
        <v>1.0</v>
      </c>
      <c r="AG156" s="41">
        <v>2.0</v>
      </c>
      <c r="AH156" s="41">
        <v>1.0</v>
      </c>
      <c r="AI156" s="41">
        <v>0.0</v>
      </c>
      <c r="AJ156" s="41">
        <v>1.0</v>
      </c>
      <c r="AK156" s="41">
        <v>0.0</v>
      </c>
      <c r="AL156" s="41">
        <v>0.0</v>
      </c>
      <c r="AM156" s="43">
        <v>0.0</v>
      </c>
      <c r="AN156" s="43">
        <v>0.0</v>
      </c>
      <c r="AO156" s="43">
        <v>1.0</v>
      </c>
      <c r="AP156" s="43">
        <v>4.0</v>
      </c>
      <c r="AQ156" s="43">
        <v>0.0</v>
      </c>
      <c r="AR156" s="43">
        <v>2.0</v>
      </c>
      <c r="AS156" s="43">
        <v>2.0</v>
      </c>
      <c r="AT156" s="4">
        <f t="shared" si="4"/>
        <v>11.0</v>
      </c>
      <c r="AU156" s="4">
        <f t="shared" si="5"/>
        <v>2.0</v>
      </c>
      <c r="AV156" s="4">
        <f t="shared" si="6"/>
        <v>2.2</v>
      </c>
      <c r="AW156" s="1">
        <f t="shared" si="472"/>
        <v>0.247619047619048</v>
      </c>
      <c r="AX156" s="1">
        <f t="shared" si="473"/>
        <v>0.30952380952381</v>
      </c>
      <c r="AY156" s="1">
        <f t="shared" si="474"/>
        <v>0.333333333333333</v>
      </c>
      <c r="AZ156" s="1">
        <f t="shared" si="475"/>
        <v>0.461904761904761</v>
      </c>
      <c r="BA156" s="1">
        <f t="shared" si="476"/>
        <v>0.219047619047619</v>
      </c>
      <c r="BB156" s="1">
        <f t="shared" si="477"/>
        <v>0.428571428571429</v>
      </c>
      <c r="BC156" s="4">
        <f t="shared" si="478"/>
        <v>2.0</v>
      </c>
      <c r="BD156" s="3">
        <f>VLOOKUP(D156,FEB23SOH,2,false)</f>
        <v>60.0</v>
      </c>
      <c r="BE156" s="44">
        <f>VLOOKUP(D156,UNITVALUE,4,false)</f>
        <v>85.7715</v>
      </c>
      <c r="BF156" s="44">
        <f t="shared" si="16"/>
        <v>5146.29</v>
      </c>
      <c r="BI156" s="6">
        <f t="shared" ref="BI156:BI167" si="526">BD156+BG156+BH156-BC156</f>
        <v>58.0</v>
      </c>
      <c r="BJ156" s="1">
        <f>VLOOKUP(C156,MOQ,3,FALSE())</f>
        <v>100.0</v>
      </c>
      <c r="BM156" s="1">
        <f t="shared" ref="BM156:BM167" si="527">BD156</f>
        <v>60.0</v>
      </c>
      <c r="BN156" s="1">
        <f t="shared" ref="BN156:BN167" si="528">AW156</f>
        <v>0.247619047619048</v>
      </c>
      <c r="BP156" s="45">
        <f t="shared" ref="BP156:BP167" si="529">BM156+BO156-BN156</f>
        <v>59.752380952381</v>
      </c>
      <c r="BQ156" s="5">
        <f t="shared" ref="BQ156:BQ167" si="530">BP156*BE156</f>
        <v>5125.05134285714</v>
      </c>
      <c r="BR156" s="1">
        <f t="shared" ref="BR156:BR167" si="531">AX156</f>
        <v>0.30952380952381</v>
      </c>
      <c r="BS156" s="1">
        <f t="shared" ref="BS156:BS167" si="532">BG156</f>
      </c>
      <c r="BT156" s="45">
        <f t="shared" ref="BT156:BT167" si="533">BP156+BS156-BR156</f>
        <v>59.4428571428571</v>
      </c>
      <c r="BU156" s="5">
        <f t="shared" ref="BU156:BU167" si="534">BT156*BE156</f>
        <v>5098.50302142857</v>
      </c>
      <c r="BV156" s="1">
        <f t="shared" ref="BV156:BV167" si="535">AY156</f>
        <v>0.333333333333333</v>
      </c>
      <c r="BW156" s="1">
        <f t="shared" ref="BW156:BW167" si="536">BG156</f>
      </c>
      <c r="BX156" s="45">
        <f t="shared" ref="BX156:BX167" si="537">BT156+BW156-BV156</f>
        <v>59.1095238095238</v>
      </c>
      <c r="BY156" s="5">
        <f t="shared" ref="BY156:BY160" si="538">BX156*BE156</f>
        <v>5069.91252142857</v>
      </c>
      <c r="BZ156" s="1">
        <f t="shared" ref="BZ156:BZ167" si="539">AZ156</f>
        <v>0.461904761904761</v>
      </c>
      <c r="CB156" s="45">
        <f t="shared" ref="CB156:CB167" si="540">BX156+CA156-BZ156</f>
        <v>58.647619047619</v>
      </c>
      <c r="CC156" s="5">
        <f t="shared" ref="CC156:CC160" si="541">CB156*BE156</f>
        <v>5030.29425714285</v>
      </c>
      <c r="CD156" s="1">
        <f t="shared" ref="CD156:CD167" si="542">BA156</f>
        <v>0.219047619047619</v>
      </c>
      <c r="CF156" s="45">
        <f t="shared" ref="CF156:CF167" si="543">CB156+CE156-CD156</f>
        <v>58.4285714285713</v>
      </c>
      <c r="CG156" s="5">
        <f t="shared" ref="CG156:CG160" si="544">CF156*BE156</f>
        <v>5011.5062142857</v>
      </c>
      <c r="CH156" s="1">
        <f t="shared" ref="CH156:CH167" si="545">BB156</f>
        <v>0.428571428571429</v>
      </c>
      <c r="CJ156" s="45">
        <f t="shared" ref="CJ156:CJ167" si="546">CF156+CI156-CH156</f>
        <v>57.9999999999999</v>
      </c>
      <c r="CK156" s="5">
        <f t="shared" ref="CK156:CK160" si="547">CJ156*BE156</f>
        <v>4974.74699999999</v>
      </c>
    </row>
    <row r="157" ht="17.0">
      <c r="A157" s="41" t="s">
        <v>30</v>
      </c>
      <c r="B157" s="10" t="s">
        <v>344</v>
      </c>
      <c r="C157" s="41" t="s">
        <v>345</v>
      </c>
      <c r="D157" s="42" t="s">
        <v>346</v>
      </c>
      <c r="E157" s="41">
        <v>0.0</v>
      </c>
      <c r="F157" s="41">
        <v>0.0</v>
      </c>
      <c r="G157" s="41">
        <v>0.0</v>
      </c>
      <c r="H157" s="41">
        <v>0.0</v>
      </c>
      <c r="I157" s="41">
        <v>0.0</v>
      </c>
      <c r="J157" s="41">
        <v>0.0</v>
      </c>
      <c r="K157" s="41">
        <v>0.0</v>
      </c>
      <c r="L157" s="41">
        <v>0.0</v>
      </c>
      <c r="M157" s="41">
        <v>0.0</v>
      </c>
      <c r="N157" s="41">
        <v>24.0</v>
      </c>
      <c r="O157" s="41">
        <v>8.0</v>
      </c>
      <c r="P157" s="41">
        <v>40.0</v>
      </c>
      <c r="Q157" s="41">
        <v>56.0</v>
      </c>
      <c r="R157" s="41">
        <v>36.0</v>
      </c>
      <c r="S157" s="41">
        <v>12.0</v>
      </c>
      <c r="T157" s="41">
        <v>8.0</v>
      </c>
      <c r="U157" s="41">
        <v>12.0</v>
      </c>
      <c r="V157" s="41">
        <v>0.0</v>
      </c>
      <c r="W157" s="41">
        <v>8.0</v>
      </c>
      <c r="X157" s="41">
        <v>4.0</v>
      </c>
      <c r="Y157" s="41">
        <v>4.0</v>
      </c>
      <c r="Z157" s="41">
        <v>12.0</v>
      </c>
      <c r="AA157" s="41">
        <v>0.0</v>
      </c>
      <c r="AB157" s="41">
        <v>12.0</v>
      </c>
      <c r="AC157" s="41">
        <v>8.0</v>
      </c>
      <c r="AD157" s="41">
        <v>8.0</v>
      </c>
      <c r="AE157" s="41">
        <v>8.0</v>
      </c>
      <c r="AF157" s="41">
        <v>0.0</v>
      </c>
      <c r="AG157" s="41">
        <v>4.0</v>
      </c>
      <c r="AH157" s="41">
        <v>8.0</v>
      </c>
      <c r="AI157" s="41">
        <v>0.0</v>
      </c>
      <c r="AJ157" s="41">
        <v>0.0</v>
      </c>
      <c r="AK157" s="41">
        <v>0.0</v>
      </c>
      <c r="AL157" s="41">
        <v>4.0</v>
      </c>
      <c r="AM157" s="43">
        <v>4.0</v>
      </c>
      <c r="AN157" s="43">
        <v>-4.0</v>
      </c>
      <c r="AO157" s="43">
        <v>12.0</v>
      </c>
      <c r="AP157" s="43">
        <v>4.0</v>
      </c>
      <c r="AQ157" s="43">
        <v>0.0</v>
      </c>
      <c r="AR157" s="43">
        <v>12.0</v>
      </c>
      <c r="AS157" s="43">
        <v>5.0</v>
      </c>
      <c r="AT157" s="4">
        <f t="shared" si="4"/>
        <v>45.0</v>
      </c>
      <c r="AU157" s="4">
        <f t="shared" si="5"/>
        <v>16.0</v>
      </c>
      <c r="AV157" s="4">
        <f t="shared" si="6"/>
        <v>17.6</v>
      </c>
      <c r="AW157" s="1">
        <f t="shared" si="472"/>
        <v>1.98095238095238</v>
      </c>
      <c r="AX157" s="1">
        <f t="shared" si="473"/>
        <v>2.4761904761904</v>
      </c>
      <c r="AY157" s="1">
        <f t="shared" si="474"/>
        <v>2.66666666666667</v>
      </c>
      <c r="AZ157" s="1">
        <f t="shared" si="475"/>
        <v>3.6952380952381</v>
      </c>
      <c r="BA157" s="1">
        <f t="shared" si="476"/>
        <v>1.75238095238095</v>
      </c>
      <c r="BB157" s="1">
        <f t="shared" si="477"/>
        <v>3.42857142857142</v>
      </c>
      <c r="BC157" s="4">
        <f t="shared" si="478"/>
        <v>15.9999999999999</v>
      </c>
      <c r="BD157" s="3">
        <f>VLOOKUP(D157,FEB23SOH,2,false)</f>
        <v>224.0</v>
      </c>
      <c r="BE157" s="44">
        <f>VLOOKUP(D157,UNITVALUE,4,false)</f>
        <v>2.6702</v>
      </c>
      <c r="BF157" s="44">
        <f t="shared" si="16"/>
        <v>598.1248</v>
      </c>
      <c r="BI157" s="6">
        <f t="shared" si="526"/>
        <v>208.0</v>
      </c>
      <c r="BJ157" s="1">
        <f>VLOOKUP(C157,MOQ,3,FALSE())</f>
        <v>1000.0</v>
      </c>
      <c r="BK157" s="53" t="s">
        <v>0</v>
      </c>
      <c r="BM157" s="1">
        <f t="shared" si="527"/>
        <v>224.0</v>
      </c>
      <c r="BN157" s="1">
        <f t="shared" si="528"/>
        <v>1.98095238095238</v>
      </c>
      <c r="BP157" s="45">
        <f t="shared" si="529"/>
        <v>222.019047619048</v>
      </c>
      <c r="BQ157" s="5">
        <f t="shared" si="530"/>
        <v>592.835260952382</v>
      </c>
      <c r="BR157" s="1">
        <f t="shared" si="531"/>
        <v>2.4761904761904</v>
      </c>
      <c r="BS157" s="1">
        <f t="shared" si="532"/>
      </c>
      <c r="BT157" s="45">
        <f t="shared" si="533"/>
        <v>219.542857142858</v>
      </c>
      <c r="BU157" s="5">
        <f t="shared" si="534"/>
        <v>586.223337142859</v>
      </c>
      <c r="BV157" s="1">
        <f t="shared" si="535"/>
        <v>2.66666666666667</v>
      </c>
      <c r="BW157" s="1">
        <f t="shared" si="536"/>
      </c>
      <c r="BX157" s="45">
        <f t="shared" si="537"/>
        <v>216.876190476191</v>
      </c>
      <c r="BY157" s="5">
        <f t="shared" si="538"/>
        <v>579.102803809525</v>
      </c>
      <c r="BZ157" s="1">
        <f t="shared" si="539"/>
        <v>3.6952380952381</v>
      </c>
      <c r="CB157" s="45">
        <f t="shared" si="540"/>
        <v>213.180952380952</v>
      </c>
      <c r="CC157" s="5">
        <f t="shared" si="541"/>
        <v>569.235779047618</v>
      </c>
      <c r="CD157" s="1">
        <f t="shared" si="542"/>
        <v>1.75238095238095</v>
      </c>
      <c r="CF157" s="45">
        <f t="shared" si="543"/>
        <v>211.428571428571</v>
      </c>
      <c r="CG157" s="5">
        <f t="shared" si="544"/>
        <v>564.55657142857</v>
      </c>
      <c r="CH157" s="1">
        <f t="shared" si="545"/>
        <v>3.42857142857142</v>
      </c>
      <c r="CJ157" s="45">
        <f t="shared" si="546"/>
        <v>208.0</v>
      </c>
      <c r="CK157" s="5">
        <f t="shared" si="547"/>
        <v>555.4016</v>
      </c>
    </row>
    <row r="158" ht="17.0">
      <c r="A158" s="41" t="s">
        <v>30</v>
      </c>
      <c r="B158" s="10" t="s">
        <v>344</v>
      </c>
      <c r="C158" s="41" t="s">
        <v>347</v>
      </c>
      <c r="D158" s="55" t="s">
        <v>348</v>
      </c>
      <c r="E158" s="41">
        <v>0.0</v>
      </c>
      <c r="F158" s="41">
        <v>0.0</v>
      </c>
      <c r="G158" s="41">
        <v>0.0</v>
      </c>
      <c r="H158" s="41">
        <v>0.0</v>
      </c>
      <c r="I158" s="41">
        <v>0.0</v>
      </c>
      <c r="J158" s="41">
        <v>0.0</v>
      </c>
      <c r="K158" s="41">
        <v>0.0</v>
      </c>
      <c r="L158" s="41">
        <v>0.0</v>
      </c>
      <c r="M158" s="41">
        <v>0.0</v>
      </c>
      <c r="N158" s="41">
        <v>24.0</v>
      </c>
      <c r="O158" s="41">
        <v>8.0</v>
      </c>
      <c r="P158" s="41">
        <v>12.0</v>
      </c>
      <c r="Q158" s="41">
        <v>28.0</v>
      </c>
      <c r="R158" s="41">
        <v>32.0</v>
      </c>
      <c r="S158" s="41">
        <v>20.0</v>
      </c>
      <c r="T158" s="41">
        <v>20.0</v>
      </c>
      <c r="U158" s="41">
        <v>16.0</v>
      </c>
      <c r="V158" s="41">
        <v>40.0</v>
      </c>
      <c r="W158" s="41">
        <v>12.0</v>
      </c>
      <c r="X158" s="41">
        <v>14.0</v>
      </c>
      <c r="Y158" s="41">
        <v>8.0</v>
      </c>
      <c r="Z158" s="41">
        <v>20.0</v>
      </c>
      <c r="AA158" s="41">
        <v>8.0</v>
      </c>
      <c r="AB158" s="41">
        <v>20.0</v>
      </c>
      <c r="AC158" s="41">
        <v>20.0</v>
      </c>
      <c r="AD158" s="41">
        <v>28.0</v>
      </c>
      <c r="AE158" s="41">
        <v>0.0</v>
      </c>
      <c r="AF158" s="41">
        <v>4.0</v>
      </c>
      <c r="AG158" s="41">
        <v>20.0</v>
      </c>
      <c r="AH158" s="41">
        <v>4.0</v>
      </c>
      <c r="AI158" s="41">
        <v>13.0</v>
      </c>
      <c r="AJ158" s="41">
        <v>4.0</v>
      </c>
      <c r="AK158" s="41">
        <v>8.0</v>
      </c>
      <c r="AL158" s="41">
        <v>4.0</v>
      </c>
      <c r="AM158" s="43">
        <v>4.0</v>
      </c>
      <c r="AN158" s="43">
        <v>8.0</v>
      </c>
      <c r="AO158" s="43">
        <v>12.0</v>
      </c>
      <c r="AP158" s="43">
        <v>12.0</v>
      </c>
      <c r="AQ158" s="43">
        <v>8.0</v>
      </c>
      <c r="AR158" s="43">
        <v>4.0</v>
      </c>
      <c r="AS158" s="43">
        <v>5.0</v>
      </c>
      <c r="AT158" s="4">
        <f t="shared" si="4"/>
        <v>86.0</v>
      </c>
      <c r="AU158" s="4">
        <f t="shared" si="5"/>
        <v>37.0</v>
      </c>
      <c r="AV158" s="4">
        <f t="shared" si="6"/>
        <v>40.7</v>
      </c>
      <c r="AW158" s="1">
        <f>AV158*$AW$4/$AV$4+4*$AW$168</f>
        <v>7.55238095238095</v>
      </c>
      <c r="AX158" s="1">
        <f>AV158*$AX$4/$AV$4+4*$AX$168</f>
        <v>9.44047619047619</v>
      </c>
      <c r="AY158" s="1">
        <f>AV158*$AY$4/$AV$4+4*$AY$168</f>
        <v>10.1666666666667</v>
      </c>
      <c r="AZ158" s="1">
        <f>AV158*$AZ$4/$AV$4+4*$AZ$168</f>
        <v>14.0880952380952</v>
      </c>
      <c r="BA158" s="1">
        <f>AV158*$BA$4/$AV$4+4*$BA$168</f>
        <v>6.68095238095237</v>
      </c>
      <c r="BB158" s="1">
        <f>AV158*$BB$4/$AV$4+4*$BB$168</f>
        <v>13.0714285714286</v>
      </c>
      <c r="BC158" s="4">
        <f t="shared" si="478"/>
        <v>61.0</v>
      </c>
      <c r="BD158" s="3">
        <f>VLOOKUP(D158,FEB23SOH,2,false)</f>
        <v>74.0</v>
      </c>
      <c r="BE158" s="44">
        <f>VLOOKUP(D158,UNITVALUE,4,false)</f>
        <v>2.6628</v>
      </c>
      <c r="BF158" s="44">
        <f t="shared" si="16"/>
        <v>197.0472</v>
      </c>
      <c r="BI158" s="6">
        <f t="shared" si="526"/>
        <v>13.0</v>
      </c>
      <c r="BJ158" s="1">
        <f>VLOOKUP(C158,MOQ,3,FALSE())</f>
        <v>1000.0</v>
      </c>
      <c r="BK158" s="53" t="s">
        <v>0</v>
      </c>
      <c r="BM158" s="1">
        <f t="shared" si="527"/>
        <v>74.0</v>
      </c>
      <c r="BN158" s="1">
        <f t="shared" si="528"/>
        <v>7.55238095238095</v>
      </c>
      <c r="BP158" s="45">
        <f t="shared" si="529"/>
        <v>66.447619047619</v>
      </c>
      <c r="BQ158" s="5">
        <f t="shared" si="530"/>
        <v>176.93672</v>
      </c>
      <c r="BR158" s="1">
        <f t="shared" si="531"/>
        <v>9.44047619047619</v>
      </c>
      <c r="BS158" s="1">
        <f t="shared" si="532"/>
      </c>
      <c r="BT158" s="45">
        <f t="shared" si="533"/>
        <v>57.0071428571428</v>
      </c>
      <c r="BU158" s="5">
        <f t="shared" si="534"/>
        <v>151.79862</v>
      </c>
      <c r="BV158" s="1">
        <f t="shared" si="535"/>
        <v>10.1666666666667</v>
      </c>
      <c r="BW158" s="1">
        <f t="shared" si="536"/>
      </c>
      <c r="BX158" s="45">
        <f t="shared" si="537"/>
        <v>46.8404761904761</v>
      </c>
      <c r="BY158" s="5">
        <f t="shared" si="538"/>
        <v>124.72682</v>
      </c>
      <c r="BZ158" s="1">
        <f t="shared" si="539"/>
        <v>14.0880952380952</v>
      </c>
      <c r="CB158" s="45">
        <f t="shared" si="540"/>
        <v>32.7523809523809</v>
      </c>
      <c r="CC158" s="5">
        <f t="shared" si="541"/>
        <v>87.21304</v>
      </c>
      <c r="CD158" s="1">
        <f t="shared" si="542"/>
        <v>6.68095238095237</v>
      </c>
      <c r="CF158" s="45">
        <f t="shared" si="543"/>
        <v>26.0714285714285</v>
      </c>
      <c r="CG158" s="5">
        <f t="shared" si="544"/>
        <v>69.4229999999998</v>
      </c>
      <c r="CH158" s="1">
        <f t="shared" si="545"/>
        <v>13.0714285714286</v>
      </c>
      <c r="CJ158" s="45">
        <f t="shared" si="546"/>
        <v>13.0</v>
      </c>
      <c r="CK158" s="5">
        <f t="shared" si="547"/>
        <v>34.6164</v>
      </c>
    </row>
    <row r="159" ht="17.0">
      <c r="A159" s="41" t="s">
        <v>30</v>
      </c>
      <c r="B159" s="10" t="s">
        <v>344</v>
      </c>
      <c r="C159" s="41" t="s">
        <v>349</v>
      </c>
      <c r="D159" s="42" t="s">
        <v>350</v>
      </c>
      <c r="E159" s="41">
        <v>0.0</v>
      </c>
      <c r="F159" s="41">
        <v>0.0</v>
      </c>
      <c r="G159" s="41">
        <v>0.0</v>
      </c>
      <c r="H159" s="41">
        <v>0.0</v>
      </c>
      <c r="I159" s="41">
        <v>0.0</v>
      </c>
      <c r="J159" s="41">
        <v>0.0</v>
      </c>
      <c r="K159" s="41">
        <v>0.0</v>
      </c>
      <c r="L159" s="41">
        <v>0.0</v>
      </c>
      <c r="M159" s="41">
        <v>0.0</v>
      </c>
      <c r="N159" s="41">
        <v>0.0</v>
      </c>
      <c r="O159" s="41">
        <v>0.0</v>
      </c>
      <c r="P159" s="41">
        <v>12.0</v>
      </c>
      <c r="Q159" s="41">
        <v>56.0</v>
      </c>
      <c r="R159" s="41">
        <v>41.0</v>
      </c>
      <c r="S159" s="41">
        <v>28.0</v>
      </c>
      <c r="T159" s="41">
        <v>4.0</v>
      </c>
      <c r="U159" s="41">
        <v>32.0</v>
      </c>
      <c r="V159" s="41">
        <v>37.0</v>
      </c>
      <c r="W159" s="41">
        <v>8.0</v>
      </c>
      <c r="X159" s="41">
        <v>9.0</v>
      </c>
      <c r="Y159" s="41">
        <v>20.0</v>
      </c>
      <c r="Z159" s="41">
        <v>20.0</v>
      </c>
      <c r="AA159" s="41">
        <v>12.0</v>
      </c>
      <c r="AB159" s="41">
        <v>24.0</v>
      </c>
      <c r="AC159" s="41">
        <v>20.0</v>
      </c>
      <c r="AD159" s="41">
        <v>20.0</v>
      </c>
      <c r="AE159" s="41">
        <v>4.0</v>
      </c>
      <c r="AF159" s="41">
        <v>20.0</v>
      </c>
      <c r="AG159" s="41">
        <v>8.0</v>
      </c>
      <c r="AH159" s="41">
        <v>0.0</v>
      </c>
      <c r="AI159" s="41">
        <v>4.0</v>
      </c>
      <c r="AJ159" s="41">
        <v>8.0</v>
      </c>
      <c r="AK159" s="41">
        <v>12.0</v>
      </c>
      <c r="AL159" s="41">
        <v>8.0</v>
      </c>
      <c r="AM159" s="43">
        <v>0.0</v>
      </c>
      <c r="AN159" s="43">
        <v>16.0</v>
      </c>
      <c r="AO159" s="43">
        <v>12.0</v>
      </c>
      <c r="AP159" s="43">
        <v>8.0</v>
      </c>
      <c r="AQ159" s="43">
        <v>8.0</v>
      </c>
      <c r="AR159" s="43">
        <v>4.0</v>
      </c>
      <c r="AS159" s="43">
        <v>10.0</v>
      </c>
      <c r="AT159" s="4">
        <f t="shared" si="4"/>
        <v>90.0</v>
      </c>
      <c r="AU159" s="4">
        <f t="shared" si="5"/>
        <v>32.0</v>
      </c>
      <c r="AV159" s="4">
        <f t="shared" si="6"/>
        <v>35.2</v>
      </c>
      <c r="AW159" s="1">
        <f>AV159*$AW$4/$AV$4</f>
        <v>3.96190476190476</v>
      </c>
      <c r="AX159" s="1">
        <f>AV159*$AX$4/$AV$4</f>
        <v>4.95238095238095</v>
      </c>
      <c r="AY159" s="1">
        <f>AV159*$AY$4/$AV$4</f>
        <v>5.33333333333333</v>
      </c>
      <c r="AZ159" s="1">
        <f>AV159*$AZ$4/$AV$4</f>
        <v>7.39047619047619</v>
      </c>
      <c r="BA159" s="1">
        <f>AV159*$BA$4/$AV$4</f>
        <v>3.5047619047619</v>
      </c>
      <c r="BB159" s="1">
        <f>AV159*$BB$4/$AV$4</f>
        <v>6.8571428571429</v>
      </c>
      <c r="BC159" s="4">
        <f t="shared" si="478"/>
        <v>32.0</v>
      </c>
      <c r="BD159" s="3">
        <f>VLOOKUP(D159,FEB23SOH,2,false)</f>
        <v>83.0</v>
      </c>
      <c r="BE159" s="44">
        <f>VLOOKUP(D159,UNITVALUE,4,false)</f>
        <v>2.6418</v>
      </c>
      <c r="BF159" s="44">
        <f t="shared" si="16"/>
        <v>219.2694</v>
      </c>
      <c r="BI159" s="6">
        <f t="shared" si="526"/>
        <v>51.0</v>
      </c>
      <c r="BJ159" s="1">
        <f>VLOOKUP(C159,MOQ,3,FALSE())</f>
        <v>500.0</v>
      </c>
      <c r="BK159" s="53" t="s">
        <v>0</v>
      </c>
      <c r="BM159" s="1">
        <f t="shared" si="527"/>
        <v>83.0</v>
      </c>
      <c r="BN159" s="1">
        <f t="shared" si="528"/>
        <v>3.96190476190476</v>
      </c>
      <c r="BP159" s="45">
        <f t="shared" si="529"/>
        <v>79.0380952380952</v>
      </c>
      <c r="BQ159" s="5">
        <f t="shared" si="530"/>
        <v>208.80284</v>
      </c>
      <c r="BR159" s="1">
        <f t="shared" si="531"/>
        <v>4.95238095238095</v>
      </c>
      <c r="BS159" s="1">
        <f t="shared" si="532"/>
      </c>
      <c r="BT159" s="45">
        <f t="shared" si="533"/>
        <v>74.0857142857142</v>
      </c>
      <c r="BU159" s="5">
        <f t="shared" si="534"/>
        <v>195.71964</v>
      </c>
      <c r="BV159" s="1">
        <f t="shared" si="535"/>
        <v>5.33333333333333</v>
      </c>
      <c r="BW159" s="1">
        <f t="shared" si="536"/>
      </c>
      <c r="BX159" s="45">
        <f t="shared" si="537"/>
        <v>68.7523809523809</v>
      </c>
      <c r="BY159" s="5">
        <f t="shared" si="538"/>
        <v>181.63004</v>
      </c>
      <c r="BZ159" s="1">
        <f t="shared" si="539"/>
        <v>7.39047619047619</v>
      </c>
      <c r="CB159" s="45">
        <f t="shared" si="540"/>
        <v>61.3619047619047</v>
      </c>
      <c r="CC159" s="5">
        <f t="shared" si="541"/>
        <v>162.10588</v>
      </c>
      <c r="CD159" s="1">
        <f t="shared" si="542"/>
        <v>3.5047619047619</v>
      </c>
      <c r="CF159" s="45">
        <f t="shared" si="543"/>
        <v>57.8571428571428</v>
      </c>
      <c r="CG159" s="5">
        <f t="shared" si="544"/>
        <v>152.847</v>
      </c>
      <c r="CH159" s="1">
        <f t="shared" si="545"/>
        <v>6.8571428571429</v>
      </c>
      <c r="CJ159" s="45">
        <f t="shared" si="546"/>
        <v>50.9999999999999</v>
      </c>
      <c r="CK159" s="5">
        <f t="shared" si="547"/>
        <v>134.7318</v>
      </c>
    </row>
    <row r="160" ht="17.0">
      <c r="A160" s="41" t="s">
        <v>30</v>
      </c>
      <c r="B160" s="10" t="s">
        <v>344</v>
      </c>
      <c r="C160" s="41" t="s">
        <v>351</v>
      </c>
      <c r="D160" s="55" t="s">
        <v>352</v>
      </c>
      <c r="E160" s="41">
        <v>0.0</v>
      </c>
      <c r="F160" s="41">
        <v>0.0</v>
      </c>
      <c r="G160" s="41">
        <v>0.0</v>
      </c>
      <c r="H160" s="41">
        <v>0.0</v>
      </c>
      <c r="I160" s="41">
        <v>0.0</v>
      </c>
      <c r="J160" s="41">
        <v>0.0</v>
      </c>
      <c r="K160" s="41">
        <v>0.0</v>
      </c>
      <c r="L160" s="41">
        <v>0.0</v>
      </c>
      <c r="M160" s="41">
        <v>0.0</v>
      </c>
      <c r="N160" s="41">
        <v>0.0</v>
      </c>
      <c r="O160" s="41">
        <v>0.0</v>
      </c>
      <c r="P160" s="41">
        <v>12.0</v>
      </c>
      <c r="Q160" s="41">
        <v>64.0</v>
      </c>
      <c r="R160" s="41">
        <v>36.0</v>
      </c>
      <c r="S160" s="41">
        <v>12.0</v>
      </c>
      <c r="T160" s="41">
        <v>16.0</v>
      </c>
      <c r="U160" s="41">
        <v>32.0</v>
      </c>
      <c r="V160" s="41">
        <v>36.0</v>
      </c>
      <c r="W160" s="41">
        <v>28.0</v>
      </c>
      <c r="X160" s="41">
        <v>16.0</v>
      </c>
      <c r="Y160" s="41">
        <v>8.0</v>
      </c>
      <c r="Z160" s="41">
        <v>20.0</v>
      </c>
      <c r="AA160" s="41">
        <v>8.0</v>
      </c>
      <c r="AB160" s="41">
        <v>52.0</v>
      </c>
      <c r="AC160" s="41">
        <v>20.0</v>
      </c>
      <c r="AD160" s="41">
        <v>24.0</v>
      </c>
      <c r="AE160" s="41">
        <v>8.0</v>
      </c>
      <c r="AF160" s="41">
        <v>4.0</v>
      </c>
      <c r="AG160" s="41">
        <v>44.0</v>
      </c>
      <c r="AH160" s="41">
        <v>8.0</v>
      </c>
      <c r="AI160" s="41">
        <v>0.0</v>
      </c>
      <c r="AJ160" s="41">
        <v>12.0</v>
      </c>
      <c r="AK160" s="41">
        <v>4.0</v>
      </c>
      <c r="AL160" s="41">
        <v>4.0</v>
      </c>
      <c r="AM160" s="43">
        <v>20.0</v>
      </c>
      <c r="AN160" s="43">
        <v>24.0</v>
      </c>
      <c r="AO160" s="43">
        <v>28.0</v>
      </c>
      <c r="AP160" s="43">
        <v>4.0</v>
      </c>
      <c r="AQ160" s="43">
        <v>16.0</v>
      </c>
      <c r="AR160" s="43">
        <v>12.0</v>
      </c>
      <c r="AS160" s="43">
        <v>29.0</v>
      </c>
      <c r="AT160" s="4">
        <f t="shared" si="4"/>
        <v>161.0</v>
      </c>
      <c r="AU160" s="4">
        <f t="shared" si="5"/>
        <v>48.0</v>
      </c>
      <c r="AV160" s="4">
        <f t="shared" si="6"/>
        <v>52.8</v>
      </c>
      <c r="AW160" s="1">
        <f t="shared" ref="AW160:AW161" si="560">AV160*$AW$4/$AV$4+4*$AW$168</f>
        <v>8.91428571428571</v>
      </c>
      <c r="AX160" s="1">
        <f t="shared" ref="AX160:AX161" si="561">AV160*$AX$4/$AV$4+4*$AX$168</f>
        <v>11.1428571428571</v>
      </c>
      <c r="AY160" s="1">
        <f t="shared" ref="AY160:AY161" si="562">AV160*$AY$4/$AV$4+4*$AY$168</f>
        <v>12.0</v>
      </c>
      <c r="AZ160" s="1">
        <f t="shared" ref="AZ160:AZ161" si="563">AV160*$AZ$4/$AV$4+4*$AZ$168</f>
        <v>16.6285714285713</v>
      </c>
      <c r="BA160" s="1">
        <f t="shared" ref="BA160:BA161" si="564">AV160*$BA$4/$AV$4+4*$BA$168</f>
        <v>7.88571428571428</v>
      </c>
      <c r="BB160" s="1">
        <f t="shared" ref="BB160:BB161" si="565">AV160*$BB$4/$AV$4+4*$BB$168</f>
        <v>15.4285714285713</v>
      </c>
      <c r="BC160" s="4">
        <f t="shared" si="478"/>
        <v>71.9999999999997</v>
      </c>
      <c r="BD160" s="3">
        <f>VLOOKUP(D160,FEB23SOH,2,false)</f>
        <v>351.0</v>
      </c>
      <c r="BE160" s="44">
        <f>VLOOKUP(D160,UNITVALUE,4,false)</f>
        <v>2.5791</v>
      </c>
      <c r="BF160" s="44">
        <f t="shared" si="16"/>
        <v>905.2641</v>
      </c>
      <c r="BI160" s="6">
        <f t="shared" si="526"/>
        <v>279.0</v>
      </c>
      <c r="BJ160" s="1">
        <f>VLOOKUP(C160,MOQ,3,FALSE())</f>
        <v>500.0</v>
      </c>
      <c r="BK160" s="53" t="s">
        <v>0</v>
      </c>
      <c r="BM160" s="1">
        <f t="shared" si="527"/>
        <v>351.0</v>
      </c>
      <c r="BN160" s="1">
        <f t="shared" si="528"/>
        <v>8.91428571428571</v>
      </c>
      <c r="BP160" s="45">
        <f t="shared" si="529"/>
        <v>342.085714285714</v>
      </c>
      <c r="BQ160" s="5">
        <f t="shared" si="530"/>
        <v>882.273265714285</v>
      </c>
      <c r="BR160" s="1">
        <f t="shared" si="531"/>
        <v>11.1428571428571</v>
      </c>
      <c r="BS160" s="1">
        <f t="shared" si="532"/>
      </c>
      <c r="BT160" s="45">
        <f t="shared" si="533"/>
        <v>330.942857142857</v>
      </c>
      <c r="BU160" s="5">
        <f t="shared" si="534"/>
        <v>853.534722857142</v>
      </c>
      <c r="BV160" s="1">
        <f t="shared" si="535"/>
        <v>12.0</v>
      </c>
      <c r="BW160" s="1">
        <f t="shared" si="536"/>
      </c>
      <c r="BX160" s="45">
        <f t="shared" si="537"/>
        <v>318.942857142857</v>
      </c>
      <c r="BY160" s="5">
        <f t="shared" si="538"/>
        <v>822.585522857142</v>
      </c>
      <c r="BZ160" s="1">
        <f t="shared" si="539"/>
        <v>16.6285714285713</v>
      </c>
      <c r="CB160" s="45">
        <f t="shared" si="540"/>
        <v>302.31428571429</v>
      </c>
      <c r="CC160" s="5">
        <f t="shared" si="541"/>
        <v>779.698774285725</v>
      </c>
      <c r="CD160" s="1">
        <f t="shared" si="542"/>
        <v>7.88571428571428</v>
      </c>
      <c r="CF160" s="45">
        <f t="shared" si="543"/>
        <v>294.42857142858</v>
      </c>
      <c r="CG160" s="5">
        <f t="shared" si="544"/>
        <v>759.36072857145</v>
      </c>
      <c r="CH160" s="1">
        <f t="shared" si="545"/>
        <v>15.4285714285713</v>
      </c>
      <c r="CJ160" s="45">
        <f t="shared" si="546"/>
        <v>279.0</v>
      </c>
      <c r="CK160" s="5">
        <f t="shared" si="547"/>
        <v>719.5689</v>
      </c>
    </row>
    <row r="161" ht="17.0">
      <c r="A161" s="41" t="s">
        <v>30</v>
      </c>
      <c r="B161" s="10" t="s">
        <v>344</v>
      </c>
      <c r="C161" s="41" t="s">
        <v>353</v>
      </c>
      <c r="D161" s="55" t="s">
        <v>354</v>
      </c>
      <c r="E161" s="41">
        <v>0.0</v>
      </c>
      <c r="F161" s="41">
        <v>0.0</v>
      </c>
      <c r="G161" s="41">
        <v>0.0</v>
      </c>
      <c r="H161" s="41">
        <v>0.0</v>
      </c>
      <c r="I161" s="41">
        <v>0.0</v>
      </c>
      <c r="J161" s="41">
        <v>0.0</v>
      </c>
      <c r="K161" s="41">
        <v>0.0</v>
      </c>
      <c r="L161" s="41">
        <v>0.0</v>
      </c>
      <c r="M161" s="41">
        <v>0.0</v>
      </c>
      <c r="N161" s="41">
        <v>0.0</v>
      </c>
      <c r="O161" s="41">
        <v>0.0</v>
      </c>
      <c r="P161" s="41">
        <v>44.0</v>
      </c>
      <c r="Q161" s="41">
        <v>108.0</v>
      </c>
      <c r="R161" s="41">
        <v>90.0</v>
      </c>
      <c r="S161" s="41">
        <v>36.0</v>
      </c>
      <c r="T161" s="41">
        <v>16.0</v>
      </c>
      <c r="U161" s="41">
        <v>64.0</v>
      </c>
      <c r="V161" s="41">
        <v>72.0</v>
      </c>
      <c r="W161" s="41">
        <v>44.0</v>
      </c>
      <c r="X161" s="41">
        <v>33.0</v>
      </c>
      <c r="Y161" s="41">
        <v>0.0</v>
      </c>
      <c r="Z161" s="41">
        <v>2.0</v>
      </c>
      <c r="AA161" s="41">
        <v>24.0</v>
      </c>
      <c r="AB161" s="41">
        <v>72.0</v>
      </c>
      <c r="AC161" s="41">
        <v>52.0</v>
      </c>
      <c r="AD161" s="41">
        <v>40.0</v>
      </c>
      <c r="AE161" s="41">
        <v>20.0</v>
      </c>
      <c r="AF161" s="41">
        <v>17.0</v>
      </c>
      <c r="AG161" s="41">
        <v>48.0</v>
      </c>
      <c r="AH161" s="41">
        <v>20.0</v>
      </c>
      <c r="AI161" s="41">
        <v>28.0</v>
      </c>
      <c r="AJ161" s="41">
        <v>16.0</v>
      </c>
      <c r="AK161" s="41">
        <v>24.0</v>
      </c>
      <c r="AL161" s="41">
        <v>12.0</v>
      </c>
      <c r="AM161" s="43">
        <v>16.0</v>
      </c>
      <c r="AN161" s="43">
        <v>24.0</v>
      </c>
      <c r="AO161" s="43">
        <v>52.0</v>
      </c>
      <c r="AP161" s="43">
        <v>20.0</v>
      </c>
      <c r="AQ161" s="43">
        <v>16.0</v>
      </c>
      <c r="AR161" s="43">
        <v>4.0</v>
      </c>
      <c r="AS161" s="43">
        <v>34.0</v>
      </c>
      <c r="AT161" s="4">
        <f t="shared" si="4"/>
        <v>266.0</v>
      </c>
      <c r="AU161" s="4">
        <f t="shared" si="5"/>
        <v>116.0</v>
      </c>
      <c r="AV161" s="4">
        <f t="shared" si="6"/>
        <v>127.6</v>
      </c>
      <c r="AW161" s="1">
        <f t="shared" si="560"/>
        <v>17.3333333333333</v>
      </c>
      <c r="AX161" s="1">
        <f t="shared" si="561"/>
        <v>21.6666666666667</v>
      </c>
      <c r="AY161" s="1">
        <f t="shared" si="562"/>
        <v>23.3333333333333</v>
      </c>
      <c r="AZ161" s="1">
        <f t="shared" si="563"/>
        <v>32.3333333333332</v>
      </c>
      <c r="BA161" s="1">
        <f t="shared" si="564"/>
        <v>15.3333333333333</v>
      </c>
      <c r="BB161" s="1">
        <f t="shared" si="565"/>
        <v>30.0</v>
      </c>
      <c r="BC161" s="4">
        <f t="shared" si="478"/>
        <v>140.0</v>
      </c>
      <c r="BD161" s="3">
        <f>VLOOKUP(D161,FEB23SOH,2,false)</f>
        <v>11.0</v>
      </c>
      <c r="BE161" s="44">
        <f>VLOOKUP(D161,UNITVALUE,4,false)</f>
        <v>2.55</v>
      </c>
      <c r="BF161" s="44">
        <f t="shared" si="16"/>
        <v>28.05</v>
      </c>
      <c r="BI161" s="6">
        <f t="shared" si="526"/>
        <v>-129.0</v>
      </c>
      <c r="BJ161" s="1">
        <f>VLOOKUP(C161,MOQ,3,FALSE())</f>
        <v>500.0</v>
      </c>
      <c r="BK161" s="53" t="s">
        <v>0</v>
      </c>
      <c r="BL161" s="8" t="s">
        <v>5</v>
      </c>
      <c r="BM161" s="1">
        <f t="shared" si="527"/>
        <v>11.0</v>
      </c>
      <c r="BN161" s="1">
        <f t="shared" si="528"/>
        <v>17.3333333333333</v>
      </c>
      <c r="BP161" s="45">
        <f t="shared" si="529"/>
        <v>-6.3333333333333</v>
      </c>
      <c r="BQ161" s="5">
        <f t="shared" si="530"/>
        <v>-16.1499999999999</v>
      </c>
      <c r="BR161" s="1">
        <f t="shared" si="531"/>
        <v>21.6666666666667</v>
      </c>
      <c r="BS161" s="1">
        <f t="shared" si="532"/>
      </c>
      <c r="BT161" s="45">
        <f t="shared" si="533"/>
        <v>-28.0</v>
      </c>
      <c r="BU161" s="5">
        <f t="shared" si="534"/>
        <v>-71.3999999999998</v>
      </c>
      <c r="BV161" s="1">
        <f t="shared" si="535"/>
        <v>23.3333333333333</v>
      </c>
      <c r="BW161" s="1">
        <f t="shared" si="536"/>
      </c>
      <c r="BX161" s="45">
        <f t="shared" si="537"/>
        <v>-51.3333333333333</v>
      </c>
      <c r="BY161" s="5"/>
      <c r="BZ161" s="1">
        <f t="shared" si="539"/>
        <v>32.3333333333332</v>
      </c>
      <c r="CB161" s="45">
        <f t="shared" si="540"/>
        <v>-83.6666666666665</v>
      </c>
      <c r="CC161" s="5"/>
      <c r="CD161" s="1">
        <f t="shared" si="542"/>
        <v>15.3333333333333</v>
      </c>
      <c r="CF161" s="45">
        <f t="shared" si="543"/>
        <v>-98.9999999999998</v>
      </c>
      <c r="CG161" s="5"/>
      <c r="CH161" s="1">
        <f t="shared" si="545"/>
        <v>30.0</v>
      </c>
      <c r="CJ161" s="45">
        <f t="shared" si="546"/>
        <v>-128.999999999998</v>
      </c>
      <c r="CK161" s="5"/>
    </row>
    <row r="162" ht="17.0">
      <c r="A162" s="41" t="s">
        <v>30</v>
      </c>
      <c r="B162" s="10" t="s">
        <v>344</v>
      </c>
      <c r="C162" s="41" t="s">
        <v>355</v>
      </c>
      <c r="D162" s="42" t="s">
        <v>356</v>
      </c>
      <c r="E162" s="41">
        <v>0.0</v>
      </c>
      <c r="F162" s="41">
        <v>0.0</v>
      </c>
      <c r="G162" s="41">
        <v>0.0</v>
      </c>
      <c r="H162" s="41">
        <v>0.0</v>
      </c>
      <c r="I162" s="41">
        <v>0.0</v>
      </c>
      <c r="J162" s="41">
        <v>0.0</v>
      </c>
      <c r="K162" s="41">
        <v>0.0</v>
      </c>
      <c r="L162" s="41">
        <v>0.0</v>
      </c>
      <c r="M162" s="41">
        <v>0.0</v>
      </c>
      <c r="N162" s="41">
        <v>0.0</v>
      </c>
      <c r="O162" s="41">
        <v>0.0</v>
      </c>
      <c r="P162" s="41">
        <v>16.0</v>
      </c>
      <c r="Q162" s="41">
        <v>64.0</v>
      </c>
      <c r="R162" s="41">
        <v>40.0</v>
      </c>
      <c r="S162" s="41">
        <v>16.0</v>
      </c>
      <c r="T162" s="41">
        <v>4.0</v>
      </c>
      <c r="U162" s="41">
        <v>28.0</v>
      </c>
      <c r="V162" s="41">
        <v>28.0</v>
      </c>
      <c r="W162" s="41">
        <v>12.0</v>
      </c>
      <c r="X162" s="41">
        <v>20.0</v>
      </c>
      <c r="Y162" s="41">
        <v>12.0</v>
      </c>
      <c r="Z162" s="41">
        <v>8.0</v>
      </c>
      <c r="AA162" s="41">
        <v>0.0</v>
      </c>
      <c r="AB162" s="41">
        <v>8.0</v>
      </c>
      <c r="AC162" s="41">
        <v>10.0</v>
      </c>
      <c r="AD162" s="41">
        <v>12.0</v>
      </c>
      <c r="AE162" s="41">
        <v>4.0</v>
      </c>
      <c r="AF162" s="41">
        <v>4.0</v>
      </c>
      <c r="AG162" s="41">
        <v>12.0</v>
      </c>
      <c r="AH162" s="41">
        <v>0.0</v>
      </c>
      <c r="AI162" s="41">
        <v>8.0</v>
      </c>
      <c r="AJ162" s="41">
        <v>4.0</v>
      </c>
      <c r="AK162" s="41">
        <v>0.0</v>
      </c>
      <c r="AL162" s="41">
        <v>0.0</v>
      </c>
      <c r="AM162" s="43">
        <v>4.0</v>
      </c>
      <c r="AN162" s="43">
        <v>12.0</v>
      </c>
      <c r="AO162" s="43">
        <v>0.0</v>
      </c>
      <c r="AP162" s="43">
        <v>8.0</v>
      </c>
      <c r="AQ162" s="43">
        <v>4.0</v>
      </c>
      <c r="AR162" s="43">
        <v>4.0</v>
      </c>
      <c r="AS162" s="43">
        <v>5.0</v>
      </c>
      <c r="AT162" s="4">
        <f t="shared" si="4"/>
        <v>49.0</v>
      </c>
      <c r="AU162" s="4">
        <f t="shared" si="5"/>
        <v>16.0</v>
      </c>
      <c r="AV162" s="4">
        <f t="shared" si="6"/>
        <v>17.6</v>
      </c>
      <c r="AW162" s="1">
        <f>AV162*$AW$4/$AV$4</f>
        <v>1.98095238095238</v>
      </c>
      <c r="AX162" s="1">
        <f>AV162*$AX$4/$AV$4</f>
        <v>2.4761904761904</v>
      </c>
      <c r="AY162" s="1">
        <f>AV162*$AY$4/$AV$4</f>
        <v>2.66666666666667</v>
      </c>
      <c r="AZ162" s="1">
        <f>AV162*$AZ$4/$AV$4</f>
        <v>3.6952380952381</v>
      </c>
      <c r="BA162" s="1">
        <f>AV162*$BA$4/$AV$4</f>
        <v>1.75238095238095</v>
      </c>
      <c r="BB162" s="1">
        <f>AV162*$BB$4/$AV$4</f>
        <v>3.42857142857142</v>
      </c>
      <c r="BC162" s="4">
        <f t="shared" si="478"/>
        <v>15.9999999999999</v>
      </c>
      <c r="BD162" s="3">
        <f>VLOOKUP(D162,FEB23SOH,2,false)</f>
        <v>170.0</v>
      </c>
      <c r="BE162" s="44">
        <f>VLOOKUP(D162,UNITVALUE,4,false)</f>
        <v>2.6434</v>
      </c>
      <c r="BF162" s="44">
        <f t="shared" si="16"/>
        <v>449.378</v>
      </c>
      <c r="BI162" s="6">
        <f t="shared" si="526"/>
        <v>154.0</v>
      </c>
      <c r="BJ162" s="1">
        <f>VLOOKUP(C162,MOQ,3,FALSE())</f>
        <v>500.0</v>
      </c>
      <c r="BK162" s="53" t="s">
        <v>0</v>
      </c>
      <c r="BM162" s="1">
        <f t="shared" si="527"/>
        <v>170.0</v>
      </c>
      <c r="BN162" s="1">
        <f t="shared" si="528"/>
        <v>1.98095238095238</v>
      </c>
      <c r="BP162" s="45">
        <f t="shared" si="529"/>
        <v>168.019047619048</v>
      </c>
      <c r="BQ162" s="5">
        <f t="shared" si="530"/>
        <v>444.141550476191</v>
      </c>
      <c r="BR162" s="1">
        <f t="shared" si="531"/>
        <v>2.4761904761904</v>
      </c>
      <c r="BS162" s="1">
        <f t="shared" si="532"/>
      </c>
      <c r="BT162" s="45">
        <f t="shared" si="533"/>
        <v>165.542857142858</v>
      </c>
      <c r="BU162" s="5">
        <f t="shared" si="534"/>
        <v>437.59598857143</v>
      </c>
      <c r="BV162" s="1">
        <f t="shared" si="535"/>
        <v>2.66666666666667</v>
      </c>
      <c r="BW162" s="1">
        <f t="shared" si="536"/>
      </c>
      <c r="BX162" s="45">
        <f t="shared" si="537"/>
        <v>162.876190476191</v>
      </c>
      <c r="BY162" s="5">
        <f t="shared" ref="BY162:BY167" si="572">BX162*BE162</f>
        <v>430.546921904763</v>
      </c>
      <c r="BZ162" s="1">
        <f t="shared" si="539"/>
        <v>3.6952380952381</v>
      </c>
      <c r="CB162" s="45">
        <f t="shared" si="540"/>
        <v>159.180952380952</v>
      </c>
      <c r="CC162" s="5">
        <f t="shared" ref="CC162:CC167" si="573">CB162*BE162</f>
        <v>420.7789295238</v>
      </c>
      <c r="CD162" s="1">
        <f t="shared" si="542"/>
        <v>1.75238095238095</v>
      </c>
      <c r="CF162" s="45">
        <f t="shared" si="543"/>
        <v>157.428571428571</v>
      </c>
      <c r="CG162" s="5">
        <f t="shared" ref="CG162:CG167" si="574">CF162*BE162</f>
        <v>416.146685714284</v>
      </c>
      <c r="CH162" s="1">
        <f t="shared" si="545"/>
        <v>3.42857142857142</v>
      </c>
      <c r="CJ162" s="45">
        <f t="shared" si="546"/>
        <v>154.0</v>
      </c>
      <c r="CK162" s="5">
        <f t="shared" ref="CK162:CK164" si="575">CJ162*BE162</f>
        <v>407.0836</v>
      </c>
    </row>
    <row r="163" ht="17.0">
      <c r="A163" s="41" t="s">
        <v>30</v>
      </c>
      <c r="B163" s="10" t="s">
        <v>344</v>
      </c>
      <c r="C163" s="41" t="s">
        <v>357</v>
      </c>
      <c r="D163" s="55" t="s">
        <v>358</v>
      </c>
      <c r="E163" s="41">
        <v>0.0</v>
      </c>
      <c r="F163" s="41">
        <v>0.0</v>
      </c>
      <c r="G163" s="41">
        <v>0.0</v>
      </c>
      <c r="H163" s="41">
        <v>0.0</v>
      </c>
      <c r="I163" s="41">
        <v>0.0</v>
      </c>
      <c r="J163" s="41">
        <v>0.0</v>
      </c>
      <c r="K163" s="41">
        <v>0.0</v>
      </c>
      <c r="L163" s="41">
        <v>0.0</v>
      </c>
      <c r="M163" s="41">
        <v>0.0</v>
      </c>
      <c r="N163" s="41">
        <v>0.0</v>
      </c>
      <c r="O163" s="41">
        <v>0.0</v>
      </c>
      <c r="P163" s="41">
        <v>16.0</v>
      </c>
      <c r="Q163" s="41">
        <v>24.0</v>
      </c>
      <c r="R163" s="41">
        <v>68.0</v>
      </c>
      <c r="S163" s="41">
        <v>28.0</v>
      </c>
      <c r="T163" s="41">
        <v>8.0</v>
      </c>
      <c r="U163" s="41">
        <v>48.0</v>
      </c>
      <c r="V163" s="41">
        <v>52.0</v>
      </c>
      <c r="W163" s="41">
        <v>40.0</v>
      </c>
      <c r="X163" s="41">
        <v>29.0</v>
      </c>
      <c r="Y163" s="41">
        <v>8.0</v>
      </c>
      <c r="Z163" s="41">
        <v>28.0</v>
      </c>
      <c r="AA163" s="41">
        <v>16.0</v>
      </c>
      <c r="AB163" s="41">
        <v>8.0</v>
      </c>
      <c r="AC163" s="41">
        <v>36.0</v>
      </c>
      <c r="AD163" s="41">
        <v>44.0</v>
      </c>
      <c r="AE163" s="41">
        <v>16.0</v>
      </c>
      <c r="AF163" s="41">
        <v>8.0</v>
      </c>
      <c r="AG163" s="41">
        <v>20.0</v>
      </c>
      <c r="AH163" s="41">
        <v>0.0</v>
      </c>
      <c r="AI163" s="41">
        <v>8.0</v>
      </c>
      <c r="AJ163" s="41">
        <v>8.0</v>
      </c>
      <c r="AK163" s="41">
        <v>8.0</v>
      </c>
      <c r="AL163" s="41">
        <v>0.0</v>
      </c>
      <c r="AM163" s="43">
        <v>16.0</v>
      </c>
      <c r="AN163" s="43">
        <v>24.0</v>
      </c>
      <c r="AO163" s="43">
        <v>24.0</v>
      </c>
      <c r="AP163" s="43">
        <v>20.0</v>
      </c>
      <c r="AQ163" s="43">
        <v>12.0</v>
      </c>
      <c r="AR163" s="43">
        <v>0.0</v>
      </c>
      <c r="AS163" s="43">
        <v>15.0</v>
      </c>
      <c r="AT163" s="4">
        <f t="shared" si="4"/>
        <v>135.0</v>
      </c>
      <c r="AU163" s="4">
        <f t="shared" si="5"/>
        <v>40.0</v>
      </c>
      <c r="AV163" s="4">
        <f t="shared" si="6"/>
        <v>44.0</v>
      </c>
      <c r="AW163" s="1">
        <f t="shared" ref="AW163:AW165" si="576">AV163*$AW$4/$AV$4+4*$AW$168</f>
        <v>7.92380952380952</v>
      </c>
      <c r="AX163" s="1">
        <f t="shared" ref="AX163:AX165" si="577">AV163*$AX$4/$AV$4+4*$AX$168</f>
        <v>9.9047619047619</v>
      </c>
      <c r="AY163" s="1">
        <f t="shared" ref="AY163:AY165" si="578">AV163*$AY$4/$AV$4+4*$AY$168</f>
        <v>10.6666666666667</v>
      </c>
      <c r="AZ163" s="1">
        <f t="shared" ref="AZ163:AZ165" si="579">AV163*$AZ$4/$AV$4+4*$AZ$168</f>
        <v>14.7809523809523</v>
      </c>
      <c r="BA163" s="1">
        <f t="shared" ref="BA163:BA165" si="580">AV163*$BA$4/$AV$4+4*$BA$168</f>
        <v>7.0095238095238</v>
      </c>
      <c r="BB163" s="1">
        <f t="shared" ref="BB163:BB165" si="581">AV163*$BB$4/$AV$4+4*$BB$168</f>
        <v>13.7142857142857</v>
      </c>
      <c r="BC163" s="4">
        <f t="shared" si="478"/>
        <v>63.9999999999999</v>
      </c>
      <c r="BD163" s="3">
        <f>VLOOKUP(D163,FEB23SOH,2,false)</f>
        <v>347.0</v>
      </c>
      <c r="BE163" s="44">
        <f>VLOOKUP(D163,UNITVALUE,4,false)</f>
        <v>2.5791</v>
      </c>
      <c r="BF163" s="44">
        <f t="shared" si="16"/>
        <v>894.9477</v>
      </c>
      <c r="BI163" s="6">
        <f t="shared" si="526"/>
        <v>283.0</v>
      </c>
      <c r="BJ163" s="1">
        <f>VLOOKUP(C163,MOQ,3,FALSE())</f>
        <v>500.0</v>
      </c>
      <c r="BK163" s="53" t="s">
        <v>0</v>
      </c>
      <c r="BM163" s="1">
        <f t="shared" si="527"/>
        <v>347.0</v>
      </c>
      <c r="BN163" s="1">
        <f t="shared" si="528"/>
        <v>7.92380952380952</v>
      </c>
      <c r="BP163" s="45">
        <f t="shared" si="529"/>
        <v>339.07619047619</v>
      </c>
      <c r="BQ163" s="5">
        <f t="shared" si="530"/>
        <v>874.511402857141</v>
      </c>
      <c r="BR163" s="1">
        <f t="shared" si="531"/>
        <v>9.9047619047619</v>
      </c>
      <c r="BS163" s="1">
        <f t="shared" si="532"/>
      </c>
      <c r="BT163" s="45">
        <f t="shared" si="533"/>
        <v>329.171428571428</v>
      </c>
      <c r="BU163" s="5">
        <f t="shared" si="534"/>
        <v>848.96603142857</v>
      </c>
      <c r="BV163" s="1">
        <f t="shared" si="535"/>
        <v>10.6666666666667</v>
      </c>
      <c r="BW163" s="1">
        <f t="shared" si="536"/>
      </c>
      <c r="BX163" s="45">
        <f t="shared" si="537"/>
        <v>318.504761904761</v>
      </c>
      <c r="BY163" s="5">
        <f t="shared" si="572"/>
        <v>821.455631428569</v>
      </c>
      <c r="BZ163" s="1">
        <f t="shared" si="539"/>
        <v>14.7809523809523</v>
      </c>
      <c r="CB163" s="45">
        <f t="shared" si="540"/>
        <v>303.723809523809</v>
      </c>
      <c r="CC163" s="5">
        <f t="shared" si="573"/>
        <v>783.334077142856</v>
      </c>
      <c r="CD163" s="1">
        <f t="shared" si="542"/>
        <v>7.0095238095238</v>
      </c>
      <c r="CF163" s="45">
        <f t="shared" si="543"/>
        <v>296.714285714285</v>
      </c>
      <c r="CG163" s="5">
        <f t="shared" si="574"/>
        <v>765.255814285712</v>
      </c>
      <c r="CH163" s="1">
        <f t="shared" si="545"/>
        <v>13.7142857142857</v>
      </c>
      <c r="CJ163" s="45">
        <f t="shared" si="546"/>
        <v>282.999999999999</v>
      </c>
      <c r="CK163" s="5">
        <f t="shared" si="575"/>
        <v>729.885299999997</v>
      </c>
    </row>
    <row r="164" ht="17.0">
      <c r="A164" s="41" t="s">
        <v>30</v>
      </c>
      <c r="B164" s="10" t="s">
        <v>344</v>
      </c>
      <c r="C164" s="41" t="s">
        <v>359</v>
      </c>
      <c r="D164" s="55" t="s">
        <v>360</v>
      </c>
      <c r="E164" s="41">
        <v>0.0</v>
      </c>
      <c r="F164" s="41">
        <v>0.0</v>
      </c>
      <c r="G164" s="41">
        <v>0.0</v>
      </c>
      <c r="H164" s="41">
        <v>0.0</v>
      </c>
      <c r="I164" s="41">
        <v>0.0</v>
      </c>
      <c r="J164" s="41">
        <v>0.0</v>
      </c>
      <c r="K164" s="41">
        <v>0.0</v>
      </c>
      <c r="L164" s="41">
        <v>0.0</v>
      </c>
      <c r="M164" s="41">
        <v>0.0</v>
      </c>
      <c r="N164" s="41">
        <v>0.0</v>
      </c>
      <c r="O164" s="41">
        <v>0.0</v>
      </c>
      <c r="P164" s="41">
        <v>0.0</v>
      </c>
      <c r="Q164" s="41">
        <v>0.0</v>
      </c>
      <c r="R164" s="41">
        <v>0.0</v>
      </c>
      <c r="S164" s="41">
        <v>0.0</v>
      </c>
      <c r="T164" s="41">
        <v>0.0</v>
      </c>
      <c r="U164" s="41">
        <v>0.0</v>
      </c>
      <c r="V164" s="41">
        <v>0.0</v>
      </c>
      <c r="W164" s="41">
        <v>0.0</v>
      </c>
      <c r="X164" s="41">
        <v>0.0</v>
      </c>
      <c r="Y164" s="41">
        <v>0.0</v>
      </c>
      <c r="Z164" s="41">
        <v>0.0</v>
      </c>
      <c r="AA164" s="41">
        <v>4.0</v>
      </c>
      <c r="AB164" s="41">
        <v>52.0</v>
      </c>
      <c r="AC164" s="41">
        <v>20.0</v>
      </c>
      <c r="AD164" s="41">
        <v>60.0</v>
      </c>
      <c r="AE164" s="41">
        <v>20.0</v>
      </c>
      <c r="AF164" s="41">
        <v>4.0</v>
      </c>
      <c r="AG164" s="41">
        <v>44.0</v>
      </c>
      <c r="AH164" s="41">
        <v>28.0</v>
      </c>
      <c r="AI164" s="41">
        <v>16.0</v>
      </c>
      <c r="AJ164" s="41">
        <v>0.0</v>
      </c>
      <c r="AK164" s="41">
        <v>12.0</v>
      </c>
      <c r="AL164" s="41">
        <v>4.0</v>
      </c>
      <c r="AM164" s="43">
        <v>16.0</v>
      </c>
      <c r="AN164" s="43">
        <v>32.0</v>
      </c>
      <c r="AO164" s="43">
        <v>32.0</v>
      </c>
      <c r="AP164" s="43">
        <v>20.0</v>
      </c>
      <c r="AQ164" s="43">
        <v>4.0</v>
      </c>
      <c r="AR164" s="43">
        <v>8.0</v>
      </c>
      <c r="AS164" s="43">
        <v>15.0</v>
      </c>
      <c r="AT164" s="4">
        <f t="shared" si="4"/>
        <v>187.0</v>
      </c>
      <c r="AU164" s="4">
        <f t="shared" si="5"/>
        <v>76.0</v>
      </c>
      <c r="AV164" s="4">
        <f t="shared" si="6"/>
        <v>83.6</v>
      </c>
      <c r="AW164" s="1">
        <f t="shared" si="576"/>
        <v>12.3809523809523</v>
      </c>
      <c r="AX164" s="1">
        <f t="shared" si="577"/>
        <v>15.4761904761905</v>
      </c>
      <c r="AY164" s="1">
        <f t="shared" si="578"/>
        <v>16.6666666666667</v>
      </c>
      <c r="AZ164" s="1">
        <f t="shared" si="579"/>
        <v>23.0952380952381</v>
      </c>
      <c r="BA164" s="1">
        <f t="shared" si="580"/>
        <v>10.9523809523809</v>
      </c>
      <c r="BB164" s="1">
        <f t="shared" si="581"/>
        <v>21.4285714285713</v>
      </c>
      <c r="BC164" s="4">
        <f t="shared" si="478"/>
        <v>99.9999999999998</v>
      </c>
      <c r="BD164" s="3">
        <f>VLOOKUP(D164,FEB23SOH,2,false)</f>
        <v>60.0</v>
      </c>
      <c r="BE164" s="44">
        <f>VLOOKUP(D164,UNITVALUE,4,false)</f>
        <v>2.5755</v>
      </c>
      <c r="BF164" s="44">
        <f t="shared" si="16"/>
        <v>154.53</v>
      </c>
      <c r="BI164" s="6">
        <f t="shared" si="526"/>
        <v>-39.9999999999998</v>
      </c>
      <c r="BJ164" s="1">
        <v>500.0</v>
      </c>
      <c r="BK164" s="53" t="s">
        <v>0</v>
      </c>
      <c r="BL164" s="8" t="s">
        <v>8</v>
      </c>
      <c r="BM164" s="1">
        <f t="shared" si="527"/>
        <v>60.0</v>
      </c>
      <c r="BN164" s="1">
        <f t="shared" si="528"/>
        <v>12.3809523809523</v>
      </c>
      <c r="BP164" s="45">
        <f t="shared" si="529"/>
        <v>47.6190476190477</v>
      </c>
      <c r="BQ164" s="5">
        <f t="shared" si="530"/>
        <v>122.642857142857</v>
      </c>
      <c r="BR164" s="1">
        <f t="shared" si="531"/>
        <v>15.4761904761905</v>
      </c>
      <c r="BS164" s="1">
        <f t="shared" si="532"/>
      </c>
      <c r="BT164" s="45">
        <f t="shared" si="533"/>
        <v>32.1428571428571</v>
      </c>
      <c r="BU164" s="5">
        <f t="shared" si="534"/>
        <v>82.7839285714284</v>
      </c>
      <c r="BV164" s="1">
        <f t="shared" si="535"/>
        <v>16.6666666666667</v>
      </c>
      <c r="BW164" s="1">
        <f t="shared" si="536"/>
      </c>
      <c r="BX164" s="45">
        <f t="shared" si="537"/>
        <v>15.4761904761904</v>
      </c>
      <c r="BY164" s="5">
        <f t="shared" si="572"/>
        <v>39.8589285714283</v>
      </c>
      <c r="BZ164" s="1">
        <f t="shared" si="539"/>
        <v>23.0952380952381</v>
      </c>
      <c r="CB164" s="45">
        <f t="shared" si="540"/>
        <v>-7.61904761904768</v>
      </c>
      <c r="CC164" s="5">
        <f t="shared" si="573"/>
        <v>-19.6228571428573</v>
      </c>
      <c r="CD164" s="1">
        <f t="shared" si="542"/>
        <v>10.9523809523809</v>
      </c>
      <c r="CF164" s="45">
        <f t="shared" si="543"/>
        <v>-18.5714285714284</v>
      </c>
      <c r="CG164" s="5">
        <f t="shared" si="574"/>
        <v>-47.8307142857138</v>
      </c>
      <c r="CH164" s="1">
        <f t="shared" si="545"/>
        <v>21.4285714285713</v>
      </c>
      <c r="CJ164" s="45">
        <f t="shared" si="546"/>
        <v>-39.9999999999997</v>
      </c>
      <c r="CK164" s="5">
        <f t="shared" si="575"/>
        <v>-103.019999999999</v>
      </c>
    </row>
    <row r="165" ht="17.0">
      <c r="A165" s="41" t="s">
        <v>30</v>
      </c>
      <c r="B165" s="10" t="s">
        <v>344</v>
      </c>
      <c r="C165" s="41" t="s">
        <v>361</v>
      </c>
      <c r="D165" s="55" t="s">
        <v>362</v>
      </c>
      <c r="E165" s="41">
        <v>0.0</v>
      </c>
      <c r="F165" s="41">
        <v>0.0</v>
      </c>
      <c r="G165" s="41">
        <v>0.0</v>
      </c>
      <c r="H165" s="41">
        <v>0.0</v>
      </c>
      <c r="I165" s="41">
        <v>0.0</v>
      </c>
      <c r="J165" s="41">
        <v>0.0</v>
      </c>
      <c r="K165" s="41">
        <v>0.0</v>
      </c>
      <c r="L165" s="41">
        <v>0.0</v>
      </c>
      <c r="M165" s="41">
        <v>0.0</v>
      </c>
      <c r="N165" s="41">
        <v>0.0</v>
      </c>
      <c r="O165" s="41">
        <v>0.0</v>
      </c>
      <c r="P165" s="41">
        <v>0.0</v>
      </c>
      <c r="Q165" s="41">
        <v>0.0</v>
      </c>
      <c r="R165" s="41">
        <v>0.0</v>
      </c>
      <c r="S165" s="41">
        <v>0.0</v>
      </c>
      <c r="T165" s="41">
        <v>0.0</v>
      </c>
      <c r="U165" s="41">
        <v>0.0</v>
      </c>
      <c r="V165" s="41">
        <v>0.0</v>
      </c>
      <c r="W165" s="41">
        <v>0.0</v>
      </c>
      <c r="X165" s="41">
        <v>0.0</v>
      </c>
      <c r="Y165" s="41">
        <v>0.0</v>
      </c>
      <c r="Z165" s="41">
        <v>0.0</v>
      </c>
      <c r="AA165" s="41">
        <v>12.0</v>
      </c>
      <c r="AB165" s="41">
        <v>56.0</v>
      </c>
      <c r="AC165" s="41">
        <v>20.0</v>
      </c>
      <c r="AD165" s="41">
        <v>52.0</v>
      </c>
      <c r="AE165" s="41">
        <v>8.0</v>
      </c>
      <c r="AF165" s="41">
        <v>12.0</v>
      </c>
      <c r="AG165" s="41">
        <v>40.0</v>
      </c>
      <c r="AH165" s="41">
        <v>20.0</v>
      </c>
      <c r="AI165" s="41">
        <v>12.0</v>
      </c>
      <c r="AJ165" s="41">
        <v>8.0</v>
      </c>
      <c r="AK165" s="41">
        <v>8.0</v>
      </c>
      <c r="AL165" s="41">
        <v>4.0</v>
      </c>
      <c r="AM165" s="43">
        <v>12.0</v>
      </c>
      <c r="AN165" s="43">
        <v>12.0</v>
      </c>
      <c r="AO165" s="43">
        <v>20.0</v>
      </c>
      <c r="AP165" s="43">
        <v>16.0</v>
      </c>
      <c r="AQ165" s="43">
        <v>4.0</v>
      </c>
      <c r="AR165" s="43">
        <v>0.0</v>
      </c>
      <c r="AS165" s="43">
        <v>10.0</v>
      </c>
      <c r="AT165" s="4">
        <f t="shared" si="4"/>
        <v>126.0</v>
      </c>
      <c r="AU165" s="4">
        <f t="shared" si="5"/>
        <v>64.0</v>
      </c>
      <c r="AV165" s="4">
        <f t="shared" si="6"/>
        <v>70.4</v>
      </c>
      <c r="AW165" s="1">
        <f t="shared" si="576"/>
        <v>10.895238095238</v>
      </c>
      <c r="AX165" s="1">
        <f t="shared" si="577"/>
        <v>13.6190476190476</v>
      </c>
      <c r="AY165" s="1">
        <f t="shared" si="578"/>
        <v>14.6666666666667</v>
      </c>
      <c r="AZ165" s="1">
        <f t="shared" si="579"/>
        <v>20.3238095238094</v>
      </c>
      <c r="BA165" s="1">
        <f t="shared" si="580"/>
        <v>9.63809523809522</v>
      </c>
      <c r="BB165" s="1">
        <f t="shared" si="581"/>
        <v>18.8571428571429</v>
      </c>
      <c r="BC165" s="4">
        <f t="shared" si="478"/>
        <v>87.9999999999998</v>
      </c>
      <c r="BD165" s="3">
        <f>VLOOKUP(D165,FEB23SOH,2,false)</f>
        <v>124.0</v>
      </c>
      <c r="BE165" s="44">
        <f>VLOOKUP(D165,UNITVALUE,4,false)</f>
        <v>2.5775</v>
      </c>
      <c r="BF165" s="44">
        <f t="shared" si="16"/>
        <v>319.61</v>
      </c>
      <c r="BI165" s="6">
        <f t="shared" si="526"/>
        <v>36.0000000000002</v>
      </c>
      <c r="BJ165" s="1">
        <v>500.0</v>
      </c>
      <c r="BK165" s="53" t="s">
        <v>0</v>
      </c>
      <c r="BM165" s="1">
        <f t="shared" si="527"/>
        <v>124.0</v>
      </c>
      <c r="BN165" s="1">
        <f t="shared" si="528"/>
        <v>10.895238095238</v>
      </c>
      <c r="BP165" s="45">
        <f t="shared" si="529"/>
        <v>113.104761904762</v>
      </c>
      <c r="BQ165" s="5">
        <f t="shared" si="530"/>
        <v>291.527523809524</v>
      </c>
      <c r="BR165" s="1">
        <f t="shared" si="531"/>
        <v>13.6190476190476</v>
      </c>
      <c r="BS165" s="1">
        <f t="shared" si="532"/>
      </c>
      <c r="BT165" s="45">
        <f t="shared" si="533"/>
        <v>99.4857142857144</v>
      </c>
      <c r="BU165" s="5">
        <f t="shared" si="534"/>
        <v>256.424428571429</v>
      </c>
      <c r="BV165" s="1">
        <f t="shared" si="535"/>
        <v>14.6666666666667</v>
      </c>
      <c r="BW165" s="1">
        <f t="shared" si="536"/>
      </c>
      <c r="BX165" s="45">
        <f t="shared" si="537"/>
        <v>84.8190476190477</v>
      </c>
      <c r="BY165" s="5">
        <f t="shared" si="572"/>
        <v>218.621095238095</v>
      </c>
      <c r="BZ165" s="1">
        <f t="shared" si="539"/>
        <v>20.3238095238094</v>
      </c>
      <c r="CB165" s="45">
        <f t="shared" si="540"/>
        <v>64.4952380952382</v>
      </c>
      <c r="CC165" s="5">
        <f t="shared" si="573"/>
        <v>166.236476190476</v>
      </c>
      <c r="CD165" s="1">
        <f t="shared" si="542"/>
        <v>9.63809523809522</v>
      </c>
      <c r="CF165" s="45">
        <f t="shared" si="543"/>
        <v>54.857142857142</v>
      </c>
      <c r="CG165" s="5">
        <f t="shared" si="574"/>
        <v>141.394285714283</v>
      </c>
      <c r="CH165" s="1">
        <f t="shared" si="545"/>
        <v>18.8571428571429</v>
      </c>
      <c r="CJ165" s="45">
        <f t="shared" si="546"/>
        <v>35.9999999999991</v>
      </c>
      <c r="CK165" s="5"/>
    </row>
    <row r="166" ht="17.0">
      <c r="A166" s="41" t="s">
        <v>30</v>
      </c>
      <c r="B166" s="10" t="s">
        <v>344</v>
      </c>
      <c r="C166" s="41" t="s">
        <v>363</v>
      </c>
      <c r="D166" s="42" t="s">
        <v>364</v>
      </c>
      <c r="E166" s="41">
        <v>0.0</v>
      </c>
      <c r="F166" s="41">
        <v>0.0</v>
      </c>
      <c r="G166" s="41">
        <v>0.0</v>
      </c>
      <c r="H166" s="41">
        <v>0.0</v>
      </c>
      <c r="I166" s="41">
        <v>0.0</v>
      </c>
      <c r="J166" s="41">
        <v>0.0</v>
      </c>
      <c r="K166" s="41">
        <v>0.0</v>
      </c>
      <c r="L166" s="41">
        <v>0.0</v>
      </c>
      <c r="M166" s="41">
        <v>0.0</v>
      </c>
      <c r="N166" s="41">
        <v>0.0</v>
      </c>
      <c r="O166" s="41">
        <v>0.0</v>
      </c>
      <c r="P166" s="41">
        <v>0.0</v>
      </c>
      <c r="Q166" s="41">
        <v>0.0</v>
      </c>
      <c r="R166" s="41">
        <v>0.0</v>
      </c>
      <c r="S166" s="41">
        <v>0.0</v>
      </c>
      <c r="T166" s="41">
        <v>0.0</v>
      </c>
      <c r="U166" s="41">
        <v>0.0</v>
      </c>
      <c r="V166" s="41">
        <v>0.0</v>
      </c>
      <c r="W166" s="41">
        <v>0.0</v>
      </c>
      <c r="X166" s="41">
        <v>0.0</v>
      </c>
      <c r="Y166" s="41">
        <v>0.0</v>
      </c>
      <c r="Z166" s="41">
        <v>0.0</v>
      </c>
      <c r="AA166" s="41">
        <v>0.0</v>
      </c>
      <c r="AB166" s="41">
        <v>20.0</v>
      </c>
      <c r="AC166" s="41">
        <v>20.0</v>
      </c>
      <c r="AD166" s="41">
        <v>16.0</v>
      </c>
      <c r="AE166" s="41">
        <v>4.0</v>
      </c>
      <c r="AF166" s="41">
        <v>8.0</v>
      </c>
      <c r="AG166" s="41">
        <v>8.0</v>
      </c>
      <c r="AH166" s="41">
        <v>4.0</v>
      </c>
      <c r="AI166" s="41">
        <v>16.0</v>
      </c>
      <c r="AJ166" s="41">
        <v>16.0</v>
      </c>
      <c r="AK166" s="41">
        <v>12.0</v>
      </c>
      <c r="AL166" s="41">
        <v>8.0</v>
      </c>
      <c r="AM166" s="43">
        <v>0.0</v>
      </c>
      <c r="AN166" s="43">
        <v>4.0</v>
      </c>
      <c r="AO166" s="43">
        <v>16.0</v>
      </c>
      <c r="AP166" s="43">
        <v>12.0</v>
      </c>
      <c r="AQ166" s="43">
        <v>4.0</v>
      </c>
      <c r="AR166" s="43">
        <v>0.0</v>
      </c>
      <c r="AS166" s="43">
        <v>15.0</v>
      </c>
      <c r="AT166" s="4">
        <f t="shared" si="4"/>
        <v>107.0</v>
      </c>
      <c r="AU166" s="4">
        <f t="shared" si="5"/>
        <v>56.0</v>
      </c>
      <c r="AV166" s="4">
        <f t="shared" si="6"/>
        <v>61.6</v>
      </c>
      <c r="AW166" s="1">
        <f t="shared" ref="AW166:AW168" si="582">AV166*$AW$4/$AV$4</f>
        <v>6.93333333333333</v>
      </c>
      <c r="AX166" s="1">
        <f t="shared" ref="AX166:AX168" si="583">AV166*$AX$4/$AV$4</f>
        <v>8.6666666666667</v>
      </c>
      <c r="AY166" s="1">
        <f t="shared" ref="AY166:AY168" si="584">AV166*$AY$4/$AV$4</f>
        <v>9.33333333333333</v>
      </c>
      <c r="AZ166" s="1">
        <f t="shared" ref="AZ166:AZ168" si="585">AV166*$AZ$4/$AV$4</f>
        <v>12.9333333333333</v>
      </c>
      <c r="BA166" s="1">
        <f t="shared" ref="BA166:BA168" si="586">AV166*$BA$4/$AV$4</f>
        <v>6.13333333333333</v>
      </c>
      <c r="BB166" s="1">
        <f t="shared" ref="BB166:BB168" si="587">AV166*$BB$4/$AV$4</f>
        <v>12.0</v>
      </c>
      <c r="BC166" s="4">
        <f t="shared" si="478"/>
        <v>56.0</v>
      </c>
      <c r="BD166" s="3">
        <f>VLOOKUP(D166,FEB23SOH,2,false)</f>
        <v>320.0</v>
      </c>
      <c r="BE166" s="44">
        <f>VLOOKUP(D166,UNITVALUE,4,false)</f>
        <v>2.5791</v>
      </c>
      <c r="BF166" s="44">
        <f t="shared" si="16"/>
        <v>825.312</v>
      </c>
      <c r="BI166" s="6">
        <f t="shared" si="526"/>
        <v>264.0</v>
      </c>
      <c r="BJ166" s="1">
        <v>500.0</v>
      </c>
      <c r="BK166" s="53" t="s">
        <v>0</v>
      </c>
      <c r="BM166" s="1">
        <f t="shared" si="527"/>
        <v>320.0</v>
      </c>
      <c r="BN166" s="1">
        <f t="shared" si="528"/>
        <v>6.93333333333333</v>
      </c>
      <c r="BP166" s="45">
        <f t="shared" si="529"/>
        <v>313.066666666667</v>
      </c>
      <c r="BQ166" s="5">
        <f t="shared" si="530"/>
        <v>807.43024</v>
      </c>
      <c r="BR166" s="1">
        <f t="shared" si="531"/>
        <v>8.6666666666667</v>
      </c>
      <c r="BS166" s="1">
        <f t="shared" si="532"/>
      </c>
      <c r="BT166" s="45">
        <f t="shared" si="533"/>
        <v>304.4</v>
      </c>
      <c r="BU166" s="5">
        <f t="shared" si="534"/>
        <v>785.07804</v>
      </c>
      <c r="BV166" s="1">
        <f t="shared" si="535"/>
        <v>9.33333333333333</v>
      </c>
      <c r="BW166" s="1">
        <f t="shared" si="536"/>
      </c>
      <c r="BX166" s="45">
        <f t="shared" si="537"/>
        <v>295.066666666667</v>
      </c>
      <c r="BY166" s="5">
        <f t="shared" si="572"/>
        <v>761.00644</v>
      </c>
      <c r="BZ166" s="1">
        <f t="shared" si="539"/>
        <v>12.9333333333333</v>
      </c>
      <c r="CB166" s="45">
        <f t="shared" si="540"/>
        <v>282.133333333333</v>
      </c>
      <c r="CC166" s="5">
        <f t="shared" si="573"/>
        <v>727.650079999999</v>
      </c>
      <c r="CD166" s="1">
        <f t="shared" si="542"/>
        <v>6.13333333333333</v>
      </c>
      <c r="CF166" s="45">
        <f t="shared" si="543"/>
        <v>276.0</v>
      </c>
      <c r="CG166" s="5">
        <f t="shared" si="574"/>
        <v>711.8316</v>
      </c>
      <c r="CH166" s="1">
        <f t="shared" si="545"/>
        <v>12.0</v>
      </c>
      <c r="CJ166" s="45">
        <f t="shared" si="546"/>
        <v>264.0</v>
      </c>
      <c r="CK166" s="5">
        <f t="shared" ref="CK166:CK167" si="588">CJ166*BE166</f>
        <v>680.8824</v>
      </c>
    </row>
    <row r="167" ht="17.0">
      <c r="A167" s="41" t="s">
        <v>30</v>
      </c>
      <c r="B167" s="10" t="s">
        <v>344</v>
      </c>
      <c r="C167" s="41" t="s">
        <v>365</v>
      </c>
      <c r="D167" s="42" t="s">
        <v>366</v>
      </c>
      <c r="E167" s="41">
        <v>0.0</v>
      </c>
      <c r="F167" s="41">
        <v>0.0</v>
      </c>
      <c r="G167" s="41">
        <v>0.0</v>
      </c>
      <c r="H167" s="41">
        <v>0.0</v>
      </c>
      <c r="I167" s="41">
        <v>0.0</v>
      </c>
      <c r="J167" s="41">
        <v>0.0</v>
      </c>
      <c r="K167" s="41">
        <v>0.0</v>
      </c>
      <c r="L167" s="41">
        <v>0.0</v>
      </c>
      <c r="M167" s="41">
        <v>0.0</v>
      </c>
      <c r="N167" s="41">
        <v>0.0</v>
      </c>
      <c r="O167" s="41">
        <v>0.0</v>
      </c>
      <c r="P167" s="41">
        <v>0.0</v>
      </c>
      <c r="Q167" s="41">
        <v>0.0</v>
      </c>
      <c r="R167" s="41">
        <v>0.0</v>
      </c>
      <c r="S167" s="41">
        <v>0.0</v>
      </c>
      <c r="T167" s="41">
        <v>0.0</v>
      </c>
      <c r="U167" s="41">
        <v>0.0</v>
      </c>
      <c r="V167" s="41">
        <v>0.0</v>
      </c>
      <c r="W167" s="41">
        <v>0.0</v>
      </c>
      <c r="X167" s="41">
        <v>0.0</v>
      </c>
      <c r="Y167" s="41">
        <v>0.0</v>
      </c>
      <c r="Z167" s="41">
        <v>0.0</v>
      </c>
      <c r="AA167" s="41">
        <v>4.0</v>
      </c>
      <c r="AB167" s="41">
        <v>8.0</v>
      </c>
      <c r="AC167" s="41">
        <v>20.0</v>
      </c>
      <c r="AD167" s="41">
        <v>8.0</v>
      </c>
      <c r="AE167" s="41">
        <v>8.0</v>
      </c>
      <c r="AF167" s="41">
        <v>8.0</v>
      </c>
      <c r="AG167" s="41">
        <v>12.0</v>
      </c>
      <c r="AH167" s="41">
        <v>12.0</v>
      </c>
      <c r="AI167" s="41">
        <v>24.0</v>
      </c>
      <c r="AJ167" s="41">
        <v>16.0</v>
      </c>
      <c r="AK167" s="41">
        <v>4.0</v>
      </c>
      <c r="AL167" s="41">
        <v>8.0</v>
      </c>
      <c r="AM167" s="43">
        <v>4.0</v>
      </c>
      <c r="AN167" s="43">
        <v>0.0</v>
      </c>
      <c r="AO167" s="43">
        <v>4.0</v>
      </c>
      <c r="AP167" s="43">
        <v>4.0</v>
      </c>
      <c r="AQ167" s="43">
        <v>0.0</v>
      </c>
      <c r="AR167" s="43">
        <v>4.0</v>
      </c>
      <c r="AS167" s="43">
        <v>15.0</v>
      </c>
      <c r="AT167" s="4">
        <f t="shared" si="4"/>
        <v>95.0</v>
      </c>
      <c r="AU167" s="4">
        <f t="shared" si="5"/>
        <v>68.0</v>
      </c>
      <c r="AV167" s="4">
        <f t="shared" si="6"/>
        <v>74.8</v>
      </c>
      <c r="AW167" s="1">
        <f t="shared" si="582"/>
        <v>8.41904761904762</v>
      </c>
      <c r="AX167" s="1">
        <f t="shared" si="583"/>
        <v>10.5238095238095</v>
      </c>
      <c r="AY167" s="1">
        <f t="shared" si="584"/>
        <v>11.3333333333333</v>
      </c>
      <c r="AZ167" s="1">
        <f t="shared" si="585"/>
        <v>15.7047619047619</v>
      </c>
      <c r="BA167" s="1">
        <f t="shared" si="586"/>
        <v>7.44761904761904</v>
      </c>
      <c r="BB167" s="1">
        <f t="shared" si="587"/>
        <v>14.5714285714286</v>
      </c>
      <c r="BC167" s="4">
        <f t="shared" si="478"/>
        <v>68.0</v>
      </c>
      <c r="BD167" s="3">
        <f>VLOOKUP(D167,FEB23SOH,2,false)</f>
        <v>340.0</v>
      </c>
      <c r="BE167" s="44">
        <f>VLOOKUP(D167,UNITVALUE,4,false)</f>
        <v>2.579</v>
      </c>
      <c r="BF167" s="44">
        <f t="shared" si="16"/>
        <v>876.86</v>
      </c>
      <c r="BI167" s="6">
        <f t="shared" si="526"/>
        <v>272.0</v>
      </c>
      <c r="BJ167" s="1">
        <v>500.0</v>
      </c>
      <c r="BK167" s="53" t="s">
        <v>0</v>
      </c>
      <c r="BM167" s="1">
        <f t="shared" si="527"/>
        <v>340.0</v>
      </c>
      <c r="BN167" s="1">
        <f t="shared" si="528"/>
        <v>8.41904761904762</v>
      </c>
      <c r="BP167" s="45">
        <f t="shared" si="529"/>
        <v>331.580952380952</v>
      </c>
      <c r="BQ167" s="5">
        <f t="shared" si="530"/>
        <v>855.147276190475</v>
      </c>
      <c r="BR167" s="1">
        <f t="shared" si="531"/>
        <v>10.5238095238095</v>
      </c>
      <c r="BS167" s="1">
        <f t="shared" si="532"/>
      </c>
      <c r="BT167" s="45">
        <f t="shared" si="533"/>
        <v>321.057142857142</v>
      </c>
      <c r="BU167" s="5">
        <f t="shared" si="534"/>
        <v>828.006371428569</v>
      </c>
      <c r="BV167" s="1">
        <f t="shared" si="535"/>
        <v>11.3333333333333</v>
      </c>
      <c r="BW167" s="1">
        <f t="shared" si="536"/>
      </c>
      <c r="BX167" s="45">
        <f t="shared" si="537"/>
        <v>309.723809523809</v>
      </c>
      <c r="BY167" s="5">
        <f t="shared" si="572"/>
        <v>798.777704761903</v>
      </c>
      <c r="BZ167" s="1">
        <f t="shared" si="539"/>
        <v>15.7047619047619</v>
      </c>
      <c r="CB167" s="45">
        <f t="shared" si="540"/>
        <v>294.019047619047</v>
      </c>
      <c r="CC167" s="5">
        <f t="shared" si="573"/>
        <v>758.275123809522</v>
      </c>
      <c r="CD167" s="1">
        <f t="shared" si="542"/>
        <v>7.44761904761904</v>
      </c>
      <c r="CF167" s="45">
        <f t="shared" si="543"/>
        <v>286.571428571428</v>
      </c>
      <c r="CG167" s="5">
        <f t="shared" si="574"/>
        <v>739.067714285712</v>
      </c>
      <c r="CH167" s="1">
        <f t="shared" si="545"/>
        <v>14.5714285714286</v>
      </c>
      <c r="CJ167" s="45">
        <f t="shared" si="546"/>
        <v>271.999999999999</v>
      </c>
      <c r="CK167" s="5">
        <f t="shared" si="588"/>
        <v>701.487999999997</v>
      </c>
    </row>
    <row r="168" ht="17.0">
      <c r="A168" s="46" t="s">
        <v>30</v>
      </c>
      <c r="B168" s="46" t="s">
        <v>344</v>
      </c>
      <c r="C168" s="46" t="s">
        <v>367</v>
      </c>
      <c r="D168" s="47" t="s">
        <v>368</v>
      </c>
      <c r="E168" s="41">
        <v>0.0</v>
      </c>
      <c r="F168" s="41">
        <v>0.0</v>
      </c>
      <c r="G168" s="41">
        <v>0.0</v>
      </c>
      <c r="H168" s="41">
        <v>0.0</v>
      </c>
      <c r="I168" s="41">
        <v>0.0</v>
      </c>
      <c r="J168" s="41">
        <v>0.0</v>
      </c>
      <c r="K168" s="41">
        <v>0.0</v>
      </c>
      <c r="L168" s="41">
        <v>0.0</v>
      </c>
      <c r="M168" s="41">
        <v>0.0</v>
      </c>
      <c r="N168" s="41">
        <v>0.0</v>
      </c>
      <c r="O168" s="41">
        <v>0.0</v>
      </c>
      <c r="P168" s="41">
        <v>0.0</v>
      </c>
      <c r="Q168" s="41">
        <v>0.0</v>
      </c>
      <c r="R168" s="41">
        <v>0.0</v>
      </c>
      <c r="S168" s="41">
        <v>0.0</v>
      </c>
      <c r="T168" s="41">
        <v>0.0</v>
      </c>
      <c r="U168" s="41">
        <v>0.0</v>
      </c>
      <c r="V168" s="41">
        <v>0.0</v>
      </c>
      <c r="W168" s="41">
        <v>1.0</v>
      </c>
      <c r="X168" s="41">
        <v>0.0</v>
      </c>
      <c r="Y168" s="41">
        <v>1.0</v>
      </c>
      <c r="Z168" s="41">
        <v>0.0</v>
      </c>
      <c r="AA168" s="41">
        <v>3.0</v>
      </c>
      <c r="AB168" s="41">
        <v>1.0</v>
      </c>
      <c r="AC168" s="41">
        <v>2.0</v>
      </c>
      <c r="AD168" s="41">
        <v>1.0</v>
      </c>
      <c r="AE168" s="41">
        <v>2.0</v>
      </c>
      <c r="AF168" s="41">
        <v>0.0</v>
      </c>
      <c r="AG168" s="41">
        <v>1.0</v>
      </c>
      <c r="AH168" s="41">
        <v>2.0</v>
      </c>
      <c r="AI168" s="41">
        <v>0.0</v>
      </c>
      <c r="AJ168" s="41">
        <v>0.0</v>
      </c>
      <c r="AK168" s="41">
        <v>0.0</v>
      </c>
      <c r="AL168" s="41">
        <v>1.0</v>
      </c>
      <c r="AM168" s="43">
        <v>3.0</v>
      </c>
      <c r="AN168" s="43">
        <v>2.0</v>
      </c>
      <c r="AO168" s="43">
        <v>0.0</v>
      </c>
      <c r="AP168" s="43">
        <v>0.0</v>
      </c>
      <c r="AQ168" s="43">
        <v>1.0</v>
      </c>
      <c r="AR168" s="43">
        <v>0.0</v>
      </c>
      <c r="AS168" s="43">
        <v>2.0</v>
      </c>
      <c r="AT168" s="4">
        <f t="shared" si="4"/>
        <v>11.0</v>
      </c>
      <c r="AU168" s="4">
        <f t="shared" si="5"/>
        <v>6.0</v>
      </c>
      <c r="AV168" s="4">
        <f t="shared" si="6"/>
        <v>6.6</v>
      </c>
      <c r="AW168" s="48">
        <f t="shared" si="582"/>
        <v>0.742857142857142</v>
      </c>
      <c r="AX168" s="48">
        <f t="shared" si="583"/>
        <v>0.928571428571429</v>
      </c>
      <c r="AY168" s="48">
        <f t="shared" si="584"/>
        <v>1.0</v>
      </c>
      <c r="AZ168" s="48">
        <f t="shared" si="585"/>
        <v>1.38571428571429</v>
      </c>
      <c r="BA168" s="48">
        <f t="shared" si="586"/>
        <v>0.657142857142857</v>
      </c>
      <c r="BB168" s="48">
        <f t="shared" si="587"/>
        <v>1.28571428571429</v>
      </c>
      <c r="BC168" s="4">
        <f t="shared" si="478"/>
        <v>6.0</v>
      </c>
      <c r="BD168" s="3">
        <f>VLOOKUP(D168,FEB23SOH,2,false)</f>
        <v>2.0</v>
      </c>
      <c r="BE168" s="44">
        <f>VLOOKUP(D168,UNITVALUE,4,false)</f>
        <v>62.29</v>
      </c>
      <c r="BF168" s="44">
        <f t="shared" si="16"/>
        <v>124.58</v>
      </c>
      <c r="BK168" s="50"/>
      <c r="BP168" s="45"/>
      <c r="BT168" s="45"/>
      <c r="BU168" s="5"/>
      <c r="BX168" s="45"/>
      <c r="BY168" s="5"/>
      <c r="CB168" s="45"/>
      <c r="CC168" s="5"/>
      <c r="CF168" s="45"/>
      <c r="CG168" s="5"/>
      <c r="CJ168" s="45"/>
      <c r="CK168" s="5"/>
      <c r="CL168" s="49"/>
      <c r="CM168" s="49"/>
      <c r="CN168" s="49"/>
      <c r="CO168" s="49"/>
      <c r="CP168" s="49"/>
      <c r="CQ168" s="49"/>
      <c r="CR168" s="49"/>
      <c r="CS168" s="49"/>
      <c r="CT168" s="49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  <c r="DK168" s="49"/>
    </row>
    <row r="169" ht="17.0">
      <c r="A169" s="41" t="s">
        <v>30</v>
      </c>
      <c r="B169" s="10" t="s">
        <v>369</v>
      </c>
      <c r="C169" s="41" t="s">
        <v>370</v>
      </c>
      <c r="D169" s="55" t="s">
        <v>371</v>
      </c>
      <c r="E169" s="41">
        <v>66.0</v>
      </c>
      <c r="F169" s="41">
        <v>60.0</v>
      </c>
      <c r="G169" s="41">
        <v>30.0</v>
      </c>
      <c r="H169" s="41">
        <v>18.0</v>
      </c>
      <c r="I169" s="41">
        <v>48.0</v>
      </c>
      <c r="J169" s="41">
        <v>36.0</v>
      </c>
      <c r="K169" s="41">
        <v>42.0</v>
      </c>
      <c r="L169" s="41">
        <v>50.0</v>
      </c>
      <c r="M169" s="41">
        <v>24.0</v>
      </c>
      <c r="N169" s="41">
        <v>12.0</v>
      </c>
      <c r="O169" s="41">
        <v>31.0</v>
      </c>
      <c r="P169" s="41">
        <v>42.0</v>
      </c>
      <c r="Q169" s="41">
        <v>114.0</v>
      </c>
      <c r="R169" s="41">
        <v>43.0</v>
      </c>
      <c r="S169" s="41">
        <v>6.0</v>
      </c>
      <c r="T169" s="41">
        <v>30.0</v>
      </c>
      <c r="U169" s="41">
        <v>36.0</v>
      </c>
      <c r="V169" s="41">
        <v>99.0</v>
      </c>
      <c r="W169" s="41">
        <v>70.0</v>
      </c>
      <c r="X169" s="41">
        <v>54.0</v>
      </c>
      <c r="Y169" s="41">
        <v>12.0</v>
      </c>
      <c r="Z169" s="41">
        <v>14.0</v>
      </c>
      <c r="AA169" s="41">
        <v>16.0</v>
      </c>
      <c r="AB169" s="41">
        <v>20.0</v>
      </c>
      <c r="AC169" s="41">
        <v>20.0</v>
      </c>
      <c r="AD169" s="41">
        <v>20.0</v>
      </c>
      <c r="AE169" s="41">
        <v>5.0</v>
      </c>
      <c r="AF169" s="41">
        <v>16.0</v>
      </c>
      <c r="AG169" s="41">
        <v>4.0</v>
      </c>
      <c r="AH169" s="41">
        <v>32.0</v>
      </c>
      <c r="AI169" s="41">
        <v>48.0</v>
      </c>
      <c r="AJ169" s="41">
        <v>20.0</v>
      </c>
      <c r="AK169" s="41">
        <v>16.0</v>
      </c>
      <c r="AL169" s="41">
        <v>12.0</v>
      </c>
      <c r="AM169" s="43">
        <v>24.0</v>
      </c>
      <c r="AN169" s="43">
        <v>20.0</v>
      </c>
      <c r="AO169" s="43">
        <v>24.0</v>
      </c>
      <c r="AP169" s="43">
        <v>20.0</v>
      </c>
      <c r="AQ169" s="43">
        <v>32.0</v>
      </c>
      <c r="AR169" s="43">
        <v>12.0</v>
      </c>
      <c r="AS169" s="43">
        <v>63.0</v>
      </c>
      <c r="AT169" s="4">
        <f t="shared" si="4"/>
        <v>323.0</v>
      </c>
      <c r="AU169" s="4">
        <f t="shared" si="5"/>
        <v>152.0</v>
      </c>
      <c r="AV169" s="4">
        <f t="shared" si="6"/>
        <v>167.2</v>
      </c>
      <c r="AW169" s="1">
        <f t="shared" ref="AW169:AW173" si="589">AV169*$AW$4/$AV$4+4*$AW$183</f>
        <v>18.8190476190476</v>
      </c>
      <c r="AX169" s="1">
        <f t="shared" ref="AX169:AX173" si="590">AV169*$AX$4/$AV$4+4*$AX$183</f>
        <v>23.5238095238095</v>
      </c>
      <c r="AY169" s="1">
        <f t="shared" ref="AY169:AY173" si="591">AV169*$AY$4/$AV$4+4*$AY$183</f>
        <v>25.3333333333333</v>
      </c>
      <c r="AZ169" s="1">
        <f t="shared" ref="AZ169:AZ173" si="592">AV169*$AZ$4/$AV$4+4*$AZ$183</f>
        <v>35.1047619047619</v>
      </c>
      <c r="BA169" s="1">
        <f t="shared" ref="BA169:BA173" si="593">AV169*$BA$4/$AV$4+4*$BA$183</f>
        <v>16.647619047619</v>
      </c>
      <c r="BB169" s="1">
        <f t="shared" ref="BB169:BB173" si="594">AV169*$BB$4/$AV$4+4*$BB$183</f>
        <v>32.5714285714286</v>
      </c>
      <c r="BC169" s="4">
        <f t="shared" si="478"/>
        <v>152.0</v>
      </c>
      <c r="BD169" s="3">
        <f>VLOOKUP(D169,FEB23SOH,2,false)</f>
        <v>330.0</v>
      </c>
      <c r="BE169" s="44">
        <f>VLOOKUP(D169,UNITVALUE,4,false)</f>
        <v>2.0193</v>
      </c>
      <c r="BF169" s="44">
        <f t="shared" si="16"/>
        <v>666.369</v>
      </c>
      <c r="BI169" s="6">
        <f t="shared" ref="BI169:BI170" si="595">BD169+BG169+BH169-BC169</f>
        <v>178.0</v>
      </c>
      <c r="BJ169" s="1">
        <f>VLOOKUP(C169,MOQ,3,FALSE())</f>
        <v>1000.0</v>
      </c>
      <c r="BK169" s="53" t="s">
        <v>0</v>
      </c>
      <c r="BM169" s="1">
        <f t="shared" ref="BM169:BM170" si="597">BD169</f>
        <v>330.0</v>
      </c>
      <c r="BN169" s="1">
        <f t="shared" ref="BN169:BN170" si="598">AW169</f>
        <v>18.8190476190476</v>
      </c>
      <c r="BP169" s="45">
        <f t="shared" ref="BP169:BP170" si="599">BM169+BO169-BN169</f>
        <v>311.180952380952</v>
      </c>
      <c r="BQ169" s="5">
        <f t="shared" ref="BQ169:BQ170" si="600">BP169*BE169</f>
        <v>628.367697142856</v>
      </c>
      <c r="BR169" s="1">
        <f t="shared" ref="BR169:BR170" si="601">AX169</f>
        <v>23.5238095238095</v>
      </c>
      <c r="BS169" s="1">
        <f t="shared" ref="BS169:BS170" si="602">BG169</f>
      </c>
      <c r="BT169" s="45">
        <f t="shared" ref="BT169:BT170" si="603">BP169+BS169-BR169</f>
        <v>287.657142857142</v>
      </c>
      <c r="BU169" s="5">
        <f t="shared" ref="BU169:BU170" si="604">BT169*BE169</f>
        <v>580.866068571427</v>
      </c>
      <c r="BV169" s="1">
        <f t="shared" ref="BV169:BV170" si="605">AY169</f>
        <v>25.3333333333333</v>
      </c>
      <c r="BW169" s="1">
        <f t="shared" ref="BW169:BW170" si="606">BG169</f>
      </c>
      <c r="BX169" s="45">
        <f t="shared" ref="BX169:BX170" si="607">BT169+BW169-BV169</f>
        <v>262.323809523809</v>
      </c>
      <c r="BY169" s="5">
        <f>BX169*BE169</f>
        <v>529.710468571428</v>
      </c>
      <c r="BZ169" s="1">
        <f t="shared" ref="BZ169:BZ170" si="609">AZ169</f>
        <v>35.1047619047619</v>
      </c>
      <c r="CB169" s="45">
        <f t="shared" ref="CB169:CB170" si="610">BX169+CA169-BZ169</f>
        <v>227.219047619047</v>
      </c>
      <c r="CC169" s="5">
        <f>CB169*BE169</f>
        <v>458.823422857141</v>
      </c>
      <c r="CD169" s="1">
        <f t="shared" ref="CD169:CD170" si="612">BA169</f>
        <v>16.647619047619</v>
      </c>
      <c r="CF169" s="45">
        <f t="shared" ref="CF169:CF170" si="613">CB169+CE169-CD169</f>
        <v>210.571428571428</v>
      </c>
      <c r="CG169" s="5">
        <f>CF169*BE169</f>
        <v>425.206885714284</v>
      </c>
      <c r="CH169" s="1">
        <f t="shared" ref="CH169:CH170" si="615">BB169</f>
        <v>32.5714285714286</v>
      </c>
      <c r="CJ169" s="45">
        <f t="shared" ref="CJ169:CJ170" si="616">CF169+CI169-CH169</f>
        <v>177.999999999999</v>
      </c>
      <c r="CK169" s="5">
        <f>CJ169*BE169</f>
        <v>359.435399999998</v>
      </c>
    </row>
    <row r="170" ht="17.0">
      <c r="A170" s="41" t="s">
        <v>30</v>
      </c>
      <c r="B170" s="10" t="s">
        <v>369</v>
      </c>
      <c r="C170" s="41" t="s">
        <v>372</v>
      </c>
      <c r="D170" s="55" t="s">
        <v>373</v>
      </c>
      <c r="E170" s="41">
        <v>108.0</v>
      </c>
      <c r="F170" s="41">
        <v>108.0</v>
      </c>
      <c r="G170" s="41">
        <v>48.0</v>
      </c>
      <c r="H170" s="41">
        <v>30.0</v>
      </c>
      <c r="I170" s="41">
        <v>84.0</v>
      </c>
      <c r="J170" s="41">
        <v>85.0</v>
      </c>
      <c r="K170" s="41">
        <v>66.0</v>
      </c>
      <c r="L170" s="41">
        <v>62.0</v>
      </c>
      <c r="M170" s="41">
        <v>36.0</v>
      </c>
      <c r="N170" s="41">
        <v>48.0</v>
      </c>
      <c r="O170" s="41">
        <v>42.0</v>
      </c>
      <c r="P170" s="41">
        <v>90.0</v>
      </c>
      <c r="Q170" s="41">
        <v>164.0</v>
      </c>
      <c r="R170" s="41">
        <v>80.0</v>
      </c>
      <c r="S170" s="41">
        <v>26.0</v>
      </c>
      <c r="T170" s="41">
        <v>60.0</v>
      </c>
      <c r="U170" s="41">
        <v>84.0</v>
      </c>
      <c r="V170" s="41">
        <v>213.0</v>
      </c>
      <c r="W170" s="41">
        <v>12.0</v>
      </c>
      <c r="X170" s="41">
        <v>1.0</v>
      </c>
      <c r="Y170" s="41">
        <v>24.0</v>
      </c>
      <c r="Z170" s="41">
        <v>53.0</v>
      </c>
      <c r="AA170" s="41">
        <v>52.0</v>
      </c>
      <c r="AB170" s="41">
        <v>100.0</v>
      </c>
      <c r="AC170" s="41">
        <v>60.0</v>
      </c>
      <c r="AD170" s="41">
        <v>80.0</v>
      </c>
      <c r="AE170" s="41">
        <v>45.0</v>
      </c>
      <c r="AF170" s="41">
        <v>36.0</v>
      </c>
      <c r="AG170" s="41">
        <v>64.0</v>
      </c>
      <c r="AH170" s="41">
        <v>68.0</v>
      </c>
      <c r="AI170" s="41">
        <v>52.0</v>
      </c>
      <c r="AJ170" s="41">
        <v>28.0</v>
      </c>
      <c r="AK170" s="41">
        <v>28.0</v>
      </c>
      <c r="AL170" s="41">
        <v>24.0</v>
      </c>
      <c r="AM170" s="43">
        <v>52.0</v>
      </c>
      <c r="AN170" s="43">
        <v>40.0</v>
      </c>
      <c r="AO170" s="43">
        <v>68.0</v>
      </c>
      <c r="AP170" s="43">
        <v>48.0</v>
      </c>
      <c r="AQ170" s="43">
        <v>25.0</v>
      </c>
      <c r="AR170" s="43">
        <v>12.0</v>
      </c>
      <c r="AS170" s="43">
        <v>49.0</v>
      </c>
      <c r="AT170" s="4">
        <f t="shared" si="4"/>
        <v>494.0</v>
      </c>
      <c r="AU170" s="4">
        <f t="shared" si="5"/>
        <v>252.0</v>
      </c>
      <c r="AV170" s="4">
        <f t="shared" si="6"/>
        <v>277.2</v>
      </c>
      <c r="AW170" s="1">
        <f t="shared" si="589"/>
        <v>31.2</v>
      </c>
      <c r="AX170" s="1">
        <f t="shared" si="590"/>
        <v>39.0</v>
      </c>
      <c r="AY170" s="1">
        <f t="shared" si="591"/>
        <v>42.0</v>
      </c>
      <c r="AZ170" s="1">
        <f t="shared" si="592"/>
        <v>58.2</v>
      </c>
      <c r="BA170" s="1">
        <f t="shared" si="593"/>
        <v>27.6</v>
      </c>
      <c r="BB170" s="1">
        <f t="shared" si="594"/>
        <v>54.0</v>
      </c>
      <c r="BC170" s="4">
        <f t="shared" si="478"/>
        <v>252.0</v>
      </c>
      <c r="BD170" s="3">
        <f>VLOOKUP(D170,FEB23SOH,2,false)</f>
        <v>23.0</v>
      </c>
      <c r="BE170" s="44">
        <f>VLOOKUP(D170,UNITVALUE,4,false)</f>
        <v>1.7691</v>
      </c>
      <c r="BF170" s="44">
        <f t="shared" si="16"/>
        <v>40.6893</v>
      </c>
      <c r="BI170" s="6">
        <f t="shared" si="595"/>
        <v>-229.0</v>
      </c>
      <c r="BJ170" s="1">
        <f>VLOOKUP(C170,MOQ,3,FALSE())</f>
        <v>1000.0</v>
      </c>
      <c r="BK170" s="53" t="s">
        <v>0</v>
      </c>
      <c r="BL170" s="8" t="s">
        <v>5</v>
      </c>
      <c r="BM170" s="1">
        <f t="shared" si="597"/>
        <v>23.0</v>
      </c>
      <c r="BN170" s="1">
        <f t="shared" si="598"/>
        <v>31.2</v>
      </c>
      <c r="BP170" s="45">
        <f t="shared" si="599"/>
        <v>-8.2</v>
      </c>
      <c r="BQ170" s="5">
        <f t="shared" si="600"/>
        <v>-14.506619999998</v>
      </c>
      <c r="BR170" s="1">
        <f t="shared" si="601"/>
        <v>39.0</v>
      </c>
      <c r="BS170" s="1">
        <f t="shared" si="602"/>
      </c>
      <c r="BT170" s="45">
        <f t="shared" si="603"/>
        <v>-47.2</v>
      </c>
      <c r="BU170" s="5">
        <f t="shared" si="604"/>
        <v>-83.50152</v>
      </c>
      <c r="BV170" s="1">
        <f t="shared" si="605"/>
        <v>42.0</v>
      </c>
      <c r="BW170" s="1">
        <f t="shared" si="606"/>
      </c>
      <c r="BX170" s="45">
        <f t="shared" si="607"/>
        <v>-89.2</v>
      </c>
      <c r="BY170" s="5"/>
      <c r="BZ170" s="1">
        <f t="shared" si="609"/>
        <v>58.2</v>
      </c>
      <c r="CB170" s="45">
        <f t="shared" si="610"/>
        <v>-147.4</v>
      </c>
      <c r="CC170" s="5"/>
      <c r="CD170" s="1">
        <f t="shared" si="612"/>
        <v>27.6</v>
      </c>
      <c r="CF170" s="45">
        <f t="shared" si="613"/>
        <v>-175.0</v>
      </c>
      <c r="CG170" s="5"/>
      <c r="CH170" s="1">
        <f t="shared" si="615"/>
        <v>54.0</v>
      </c>
      <c r="CJ170" s="45">
        <f t="shared" si="616"/>
        <v>-229.0</v>
      </c>
      <c r="CK170" s="5"/>
    </row>
    <row r="171" ht="17.0">
      <c r="A171" s="41" t="s">
        <v>30</v>
      </c>
      <c r="B171" s="41" t="s">
        <v>369</v>
      </c>
      <c r="C171" s="41" t="s">
        <v>374</v>
      </c>
      <c r="D171" s="42" t="s">
        <v>375</v>
      </c>
      <c r="E171" s="41">
        <v>0.0</v>
      </c>
      <c r="F171" s="41">
        <v>1.0</v>
      </c>
      <c r="G171" s="41">
        <v>1.0</v>
      </c>
      <c r="H171" s="41">
        <v>0.0</v>
      </c>
      <c r="I171" s="41">
        <v>0.0</v>
      </c>
      <c r="J171" s="41">
        <v>1.0</v>
      </c>
      <c r="K171" s="41">
        <v>3.0</v>
      </c>
      <c r="L171" s="41">
        <v>4.0</v>
      </c>
      <c r="M171" s="41">
        <v>2.0</v>
      </c>
      <c r="N171" s="41">
        <v>0.0</v>
      </c>
      <c r="O171" s="41">
        <v>1.0</v>
      </c>
      <c r="P171" s="41">
        <v>0.0</v>
      </c>
      <c r="Q171" s="41">
        <v>2.0</v>
      </c>
      <c r="R171" s="41">
        <v>1.0</v>
      </c>
      <c r="S171" s="41">
        <v>0.0</v>
      </c>
      <c r="T171" s="41">
        <v>0.0</v>
      </c>
      <c r="U171" s="41">
        <v>2.0</v>
      </c>
      <c r="V171" s="41">
        <v>6.0</v>
      </c>
      <c r="W171" s="41">
        <v>3.0</v>
      </c>
      <c r="X171" s="41">
        <v>1.0</v>
      </c>
      <c r="Y171" s="41">
        <v>2.0</v>
      </c>
      <c r="Z171" s="41">
        <v>5.0</v>
      </c>
      <c r="AA171" s="41">
        <v>3.0</v>
      </c>
      <c r="AB171" s="41">
        <v>4.0</v>
      </c>
      <c r="AC171" s="41">
        <v>2.0</v>
      </c>
      <c r="AD171" s="41">
        <v>2.0</v>
      </c>
      <c r="AE171" s="41">
        <v>1.0</v>
      </c>
      <c r="AF171" s="41">
        <v>1.0</v>
      </c>
      <c r="AG171" s="41">
        <v>3.0</v>
      </c>
      <c r="AH171" s="41">
        <v>1.0</v>
      </c>
      <c r="AI171" s="41">
        <v>1.0</v>
      </c>
      <c r="AJ171" s="41">
        <v>0.0</v>
      </c>
      <c r="AK171" s="41">
        <v>1.0</v>
      </c>
      <c r="AL171" s="41">
        <v>0.0</v>
      </c>
      <c r="AM171" s="43">
        <v>2.0</v>
      </c>
      <c r="AN171" s="43">
        <v>5.0</v>
      </c>
      <c r="AO171" s="43">
        <v>3.0</v>
      </c>
      <c r="AP171" s="43">
        <v>1.0</v>
      </c>
      <c r="AQ171" s="43">
        <v>1.0</v>
      </c>
      <c r="AR171" s="43">
        <v>0.0</v>
      </c>
      <c r="AS171" s="43">
        <v>0.0</v>
      </c>
      <c r="AT171" s="4">
        <f t="shared" si="4"/>
        <v>15.0</v>
      </c>
      <c r="AU171" s="4">
        <f t="shared" si="5"/>
        <v>5.0</v>
      </c>
      <c r="AV171" s="4">
        <f t="shared" si="6"/>
        <v>5.5</v>
      </c>
      <c r="AW171" s="1">
        <f t="shared" si="589"/>
        <v>0.619047619047619</v>
      </c>
      <c r="AX171" s="1">
        <f t="shared" si="590"/>
        <v>0.773809523809523</v>
      </c>
      <c r="AY171" s="1">
        <f t="shared" si="591"/>
        <v>0.833333333333333</v>
      </c>
      <c r="AZ171" s="1">
        <f t="shared" si="592"/>
        <v>1.1547619047619</v>
      </c>
      <c r="BA171" s="1">
        <f t="shared" si="593"/>
        <v>0.547619047619048</v>
      </c>
      <c r="BB171" s="1">
        <f t="shared" si="594"/>
        <v>1.07142857142857</v>
      </c>
      <c r="BC171" s="4">
        <f t="shared" si="478"/>
        <v>4.99999999999999</v>
      </c>
      <c r="BD171" s="3">
        <f>VLOOKUP(D171,FEB23SOH,2,false)</f>
        <v>0.0</v>
      </c>
      <c r="BE171" s="44">
        <f>VLOOKUP(D171,UNITVALUE,4,false)</f>
      </c>
      <c r="BF171" s="44">
        <f t="shared" si="16"/>
        <v>0.0</v>
      </c>
      <c r="BK171" s="7" t="s">
        <v>376</v>
      </c>
      <c r="BP171" s="45"/>
      <c r="BT171" s="45"/>
      <c r="BU171" s="5"/>
      <c r="BX171" s="45"/>
      <c r="BY171" s="5"/>
      <c r="CB171" s="45"/>
      <c r="CC171" s="5"/>
      <c r="CF171" s="45"/>
      <c r="CG171" s="5"/>
      <c r="CJ171" s="45"/>
      <c r="CK171" s="5"/>
    </row>
    <row r="172" ht="17.0">
      <c r="A172" s="41" t="s">
        <v>30</v>
      </c>
      <c r="B172" s="10" t="s">
        <v>369</v>
      </c>
      <c r="C172" s="41" t="s">
        <v>377</v>
      </c>
      <c r="D172" s="55" t="s">
        <v>378</v>
      </c>
      <c r="E172" s="41">
        <v>78.0</v>
      </c>
      <c r="F172" s="41">
        <v>42.0</v>
      </c>
      <c r="G172" s="41">
        <v>42.0</v>
      </c>
      <c r="H172" s="41">
        <v>6.0</v>
      </c>
      <c r="I172" s="41">
        <v>54.0</v>
      </c>
      <c r="J172" s="41">
        <v>36.0</v>
      </c>
      <c r="K172" s="41">
        <v>24.0</v>
      </c>
      <c r="L172" s="41">
        <v>62.0</v>
      </c>
      <c r="M172" s="41">
        <v>12.0</v>
      </c>
      <c r="N172" s="41">
        <v>24.0</v>
      </c>
      <c r="O172" s="41">
        <v>24.0</v>
      </c>
      <c r="P172" s="41">
        <v>40.0</v>
      </c>
      <c r="Q172" s="41">
        <v>43.0</v>
      </c>
      <c r="R172" s="41">
        <v>43.0</v>
      </c>
      <c r="S172" s="41">
        <v>12.0</v>
      </c>
      <c r="T172" s="41">
        <v>7.0</v>
      </c>
      <c r="U172" s="41">
        <v>29.0</v>
      </c>
      <c r="V172" s="41">
        <v>45.0</v>
      </c>
      <c r="W172" s="41">
        <v>34.0</v>
      </c>
      <c r="X172" s="41">
        <v>24.0</v>
      </c>
      <c r="Y172" s="41">
        <v>18.0</v>
      </c>
      <c r="Z172" s="41">
        <v>18.0</v>
      </c>
      <c r="AA172" s="41">
        <v>8.0</v>
      </c>
      <c r="AB172" s="41">
        <v>28.0</v>
      </c>
      <c r="AC172" s="41">
        <v>12.0</v>
      </c>
      <c r="AD172" s="41">
        <v>36.0</v>
      </c>
      <c r="AE172" s="41">
        <v>12.0</v>
      </c>
      <c r="AF172" s="41">
        <v>4.0</v>
      </c>
      <c r="AG172" s="41">
        <v>20.0</v>
      </c>
      <c r="AH172" s="41">
        <v>40.0</v>
      </c>
      <c r="AI172" s="41">
        <v>128.0</v>
      </c>
      <c r="AJ172" s="41">
        <v>32.0</v>
      </c>
      <c r="AK172" s="41">
        <v>8.0</v>
      </c>
      <c r="AL172" s="41">
        <v>0.0</v>
      </c>
      <c r="AM172" s="43">
        <v>32.0</v>
      </c>
      <c r="AN172" s="43">
        <v>28.0</v>
      </c>
      <c r="AO172" s="43">
        <v>48.0</v>
      </c>
      <c r="AP172" s="43">
        <v>0.0</v>
      </c>
      <c r="AQ172" s="43">
        <v>12.0</v>
      </c>
      <c r="AR172" s="43">
        <v>12.0</v>
      </c>
      <c r="AS172" s="43">
        <v>39.0</v>
      </c>
      <c r="AT172" s="4">
        <f t="shared" si="4"/>
        <v>379.0</v>
      </c>
      <c r="AU172" s="4">
        <f t="shared" si="5"/>
        <v>240.0</v>
      </c>
      <c r="AV172" s="4">
        <f t="shared" si="6"/>
        <v>264.0</v>
      </c>
      <c r="AW172" s="1">
        <f t="shared" si="589"/>
        <v>29.7142857142857</v>
      </c>
      <c r="AX172" s="1">
        <f t="shared" si="590"/>
        <v>37.1428571428571</v>
      </c>
      <c r="AY172" s="1">
        <f t="shared" si="591"/>
        <v>40.0</v>
      </c>
      <c r="AZ172" s="1">
        <f t="shared" si="592"/>
        <v>55.4285714285714</v>
      </c>
      <c r="BA172" s="1">
        <f t="shared" si="593"/>
        <v>26.2857142857142</v>
      </c>
      <c r="BB172" s="1">
        <f t="shared" si="594"/>
        <v>51.4285714285714</v>
      </c>
      <c r="BC172" s="4">
        <f t="shared" si="478"/>
        <v>240.0</v>
      </c>
      <c r="BD172" s="3">
        <f>VLOOKUP(D172,FEB23SOH,2,false)</f>
        <v>363.0</v>
      </c>
      <c r="BE172" s="44">
        <f>VLOOKUP(D172,UNITVALUE,4,false)</f>
        <v>2.0213</v>
      </c>
      <c r="BF172" s="44">
        <f t="shared" si="16"/>
        <v>733.7319</v>
      </c>
      <c r="BI172" s="6">
        <f t="shared" ref="BI172:BI182" si="618">BD172+BG172+BH172-BC172</f>
        <v>123.0</v>
      </c>
      <c r="BJ172" s="1">
        <f>VLOOKUP(C172,MOQ,3,FALSE())</f>
        <v>1002.0</v>
      </c>
      <c r="BK172" s="53" t="s">
        <v>0</v>
      </c>
      <c r="BM172" s="1">
        <f t="shared" ref="BM172:BM182" si="620">BD172</f>
        <v>363.0</v>
      </c>
      <c r="BN172" s="1">
        <f t="shared" ref="BN172:BN182" si="621">AW172</f>
        <v>29.7142857142857</v>
      </c>
      <c r="BP172" s="45">
        <f t="shared" ref="BP172:BP182" si="622">BM172+BO172-BN172</f>
        <v>333.285714285714</v>
      </c>
      <c r="BQ172" s="5">
        <f t="shared" ref="BQ172:BQ182" si="623">BP172*BE172</f>
        <v>673.670414285713</v>
      </c>
      <c r="BR172" s="1">
        <f t="shared" ref="BR172:BR182" si="624">AX172</f>
        <v>37.1428571428571</v>
      </c>
      <c r="BS172" s="1">
        <f t="shared" ref="BS172:BS182" si="625">BG172</f>
      </c>
      <c r="BT172" s="45">
        <f t="shared" ref="BT172:BT182" si="626">BP172+BS172-BR172</f>
        <v>296.142857142857</v>
      </c>
      <c r="BU172" s="5">
        <f t="shared" ref="BU172:BU182" si="627">BT172*BE172</f>
        <v>598.593557142857</v>
      </c>
      <c r="BV172" s="1">
        <f t="shared" ref="BV172:BV182" si="628">AY172</f>
        <v>40.0</v>
      </c>
      <c r="BW172" s="1">
        <f t="shared" ref="BW172:BW182" si="629">BG172</f>
      </c>
      <c r="BX172" s="45">
        <f t="shared" ref="BX172:BX182" si="630">BT172+BW172-BV172</f>
        <v>256.142857142857</v>
      </c>
      <c r="BY172" s="5">
        <f t="shared" ref="BY172:BY182" si="631">BX172*BE172</f>
        <v>517.741557142857</v>
      </c>
      <c r="BZ172" s="1">
        <f t="shared" ref="BZ172:BZ182" si="632">AZ172</f>
        <v>55.4285714285714</v>
      </c>
      <c r="CB172" s="45">
        <f t="shared" ref="CB172:CB182" si="633">BX172+CA172-BZ172</f>
        <v>200.714285714286</v>
      </c>
      <c r="CC172" s="5">
        <f t="shared" ref="CC172:CC182" si="634">CB172*BE172</f>
        <v>405.703785714286</v>
      </c>
      <c r="CD172" s="1">
        <f t="shared" ref="CD172:CD182" si="635">BA172</f>
        <v>26.2857142857142</v>
      </c>
      <c r="CF172" s="45">
        <f t="shared" ref="CF172:CF182" si="636">CB172+CE172-CD172</f>
        <v>174.428571428571</v>
      </c>
      <c r="CG172" s="5">
        <f t="shared" ref="CG172:CG182" si="637">CF172*BE172</f>
        <v>352.57247142857</v>
      </c>
      <c r="CH172" s="1">
        <f t="shared" ref="CH172:CH182" si="638">BB172</f>
        <v>51.4285714285714</v>
      </c>
      <c r="CJ172" s="45">
        <f t="shared" ref="CJ172:CJ182" si="639">CF172+CI172-CH172</f>
        <v>123.0</v>
      </c>
      <c r="CK172" s="5">
        <f t="shared" ref="CK172:CK182" si="640">CJ172*BE172</f>
        <v>248.6199</v>
      </c>
    </row>
    <row r="173" ht="17.0">
      <c r="A173" s="41" t="s">
        <v>30</v>
      </c>
      <c r="B173" s="10" t="s">
        <v>369</v>
      </c>
      <c r="C173" s="41" t="s">
        <v>379</v>
      </c>
      <c r="D173" s="55" t="s">
        <v>380</v>
      </c>
      <c r="E173" s="41">
        <v>30.0</v>
      </c>
      <c r="F173" s="41">
        <v>36.0</v>
      </c>
      <c r="G173" s="41">
        <v>30.0</v>
      </c>
      <c r="H173" s="41">
        <v>0.0</v>
      </c>
      <c r="I173" s="41">
        <v>42.0</v>
      </c>
      <c r="J173" s="41">
        <v>24.0</v>
      </c>
      <c r="K173" s="41">
        <v>24.0</v>
      </c>
      <c r="L173" s="41">
        <v>44.0</v>
      </c>
      <c r="M173" s="41">
        <v>18.0</v>
      </c>
      <c r="N173" s="41">
        <v>18.0</v>
      </c>
      <c r="O173" s="41">
        <v>18.0</v>
      </c>
      <c r="P173" s="41">
        <v>30.0</v>
      </c>
      <c r="Q173" s="41">
        <v>72.0</v>
      </c>
      <c r="R173" s="41">
        <v>7.0</v>
      </c>
      <c r="S173" s="41">
        <v>8.0</v>
      </c>
      <c r="T173" s="41">
        <v>19.0</v>
      </c>
      <c r="U173" s="41">
        <v>19.0</v>
      </c>
      <c r="V173" s="41">
        <v>51.0</v>
      </c>
      <c r="W173" s="41">
        <v>35.0</v>
      </c>
      <c r="X173" s="41">
        <v>24.0</v>
      </c>
      <c r="Y173" s="41">
        <v>24.0</v>
      </c>
      <c r="Z173" s="41">
        <v>8.0</v>
      </c>
      <c r="AA173" s="41">
        <v>12.0</v>
      </c>
      <c r="AB173" s="41">
        <v>16.0</v>
      </c>
      <c r="AC173" s="41">
        <v>16.0</v>
      </c>
      <c r="AD173" s="41">
        <v>12.0</v>
      </c>
      <c r="AE173" s="41">
        <v>-4.0</v>
      </c>
      <c r="AF173" s="41">
        <v>4.0</v>
      </c>
      <c r="AG173" s="41">
        <v>20.0</v>
      </c>
      <c r="AH173" s="41">
        <v>8.0</v>
      </c>
      <c r="AI173" s="41">
        <v>36.0</v>
      </c>
      <c r="AJ173" s="41">
        <v>16.0</v>
      </c>
      <c r="AK173" s="41">
        <v>36.0</v>
      </c>
      <c r="AL173" s="41">
        <v>0.0</v>
      </c>
      <c r="AM173" s="43">
        <v>28.0</v>
      </c>
      <c r="AN173" s="43">
        <v>24.0</v>
      </c>
      <c r="AO173" s="43">
        <v>36.0</v>
      </c>
      <c r="AP173" s="43">
        <v>4.0</v>
      </c>
      <c r="AQ173" s="43">
        <v>12.0</v>
      </c>
      <c r="AR173" s="43">
        <v>4.0</v>
      </c>
      <c r="AS173" s="43">
        <v>39.0</v>
      </c>
      <c r="AT173" s="4">
        <f t="shared" si="4"/>
        <v>243.0</v>
      </c>
      <c r="AU173" s="4">
        <f t="shared" si="5"/>
        <v>124.0</v>
      </c>
      <c r="AV173" s="4">
        <f t="shared" si="6"/>
        <v>136.4</v>
      </c>
      <c r="AW173" s="1">
        <f t="shared" si="589"/>
        <v>15.35238095238</v>
      </c>
      <c r="AX173" s="1">
        <f t="shared" si="590"/>
        <v>19.1904761904761</v>
      </c>
      <c r="AY173" s="1">
        <f t="shared" si="591"/>
        <v>20.6666666666667</v>
      </c>
      <c r="AZ173" s="1">
        <f t="shared" si="592"/>
        <v>28.6380952380952</v>
      </c>
      <c r="BA173" s="1">
        <f t="shared" si="593"/>
        <v>13.5809523809523</v>
      </c>
      <c r="BB173" s="1">
        <f t="shared" si="594"/>
        <v>26.571428571429</v>
      </c>
      <c r="BC173" s="4">
        <f t="shared" si="478"/>
        <v>123.999999999999</v>
      </c>
      <c r="BD173" s="3">
        <f>VLOOKUP(D173,FEB23SOH,2,false)</f>
        <v>841.0</v>
      </c>
      <c r="BE173" s="44">
        <f>VLOOKUP(D173,UNITVALUE,4,false)</f>
        <v>2.023</v>
      </c>
      <c r="BF173" s="44">
        <f t="shared" si="16"/>
        <v>1701.343</v>
      </c>
      <c r="BI173" s="6">
        <f t="shared" si="618"/>
        <v>717.000000000001</v>
      </c>
      <c r="BJ173" s="1">
        <f>VLOOKUP(C173,MOQ,3,FALSE())</f>
        <v>1002.0</v>
      </c>
      <c r="BK173" s="53" t="s">
        <v>0</v>
      </c>
      <c r="BM173" s="1">
        <f t="shared" si="620"/>
        <v>841.0</v>
      </c>
      <c r="BN173" s="1">
        <f t="shared" si="621"/>
        <v>15.35238095238</v>
      </c>
      <c r="BP173" s="45">
        <f t="shared" si="622"/>
        <v>825.64761904762</v>
      </c>
      <c r="BQ173" s="5">
        <f t="shared" si="623"/>
        <v>1670.28513333333</v>
      </c>
      <c r="BR173" s="1">
        <f t="shared" si="624"/>
        <v>19.1904761904761</v>
      </c>
      <c r="BS173" s="1">
        <f t="shared" si="625"/>
      </c>
      <c r="BT173" s="45">
        <f t="shared" si="626"/>
        <v>806.457142857143</v>
      </c>
      <c r="BU173" s="5">
        <f t="shared" si="627"/>
        <v>1631.4628</v>
      </c>
      <c r="BV173" s="1">
        <f t="shared" si="628"/>
        <v>20.6666666666667</v>
      </c>
      <c r="BW173" s="1">
        <f t="shared" si="629"/>
      </c>
      <c r="BX173" s="45">
        <f t="shared" si="630"/>
        <v>785.790476190476</v>
      </c>
      <c r="BY173" s="5">
        <f t="shared" si="631"/>
        <v>1589.65413333333</v>
      </c>
      <c r="BZ173" s="1">
        <f t="shared" si="632"/>
        <v>28.6380952380952</v>
      </c>
      <c r="CB173" s="45">
        <f t="shared" si="633"/>
        <v>757.15238095238</v>
      </c>
      <c r="CC173" s="5">
        <f t="shared" si="634"/>
        <v>1531.71926666667</v>
      </c>
      <c r="CD173" s="1">
        <f t="shared" si="635"/>
        <v>13.5809523809523</v>
      </c>
      <c r="CF173" s="45">
        <f t="shared" si="636"/>
        <v>743.571428571428</v>
      </c>
      <c r="CG173" s="5">
        <f t="shared" si="637"/>
        <v>1504.245</v>
      </c>
      <c r="CH173" s="1">
        <f t="shared" si="638"/>
        <v>26.571428571429</v>
      </c>
      <c r="CJ173" s="45">
        <f t="shared" si="639"/>
        <v>716.999999999999</v>
      </c>
      <c r="CK173" s="5">
        <f t="shared" si="640"/>
        <v>1450.491</v>
      </c>
    </row>
    <row r="174" ht="17.0">
      <c r="A174" s="41" t="s">
        <v>30</v>
      </c>
      <c r="B174" s="10" t="s">
        <v>369</v>
      </c>
      <c r="C174" s="41" t="s">
        <v>381</v>
      </c>
      <c r="D174" s="42" t="s">
        <v>382</v>
      </c>
      <c r="E174" s="41">
        <v>18.0</v>
      </c>
      <c r="F174" s="41">
        <v>18.0</v>
      </c>
      <c r="G174" s="41">
        <v>30.0</v>
      </c>
      <c r="H174" s="41">
        <v>12.0</v>
      </c>
      <c r="I174" s="41">
        <v>36.0</v>
      </c>
      <c r="J174" s="41">
        <v>48.0</v>
      </c>
      <c r="K174" s="41">
        <v>60.0</v>
      </c>
      <c r="L174" s="41">
        <v>56.0</v>
      </c>
      <c r="M174" s="41">
        <v>42.0</v>
      </c>
      <c r="N174" s="41">
        <v>0.0</v>
      </c>
      <c r="O174" s="41">
        <v>24.0</v>
      </c>
      <c r="P174" s="41">
        <v>42.0</v>
      </c>
      <c r="Q174" s="41">
        <v>102.0</v>
      </c>
      <c r="R174" s="41">
        <v>138.0</v>
      </c>
      <c r="S174" s="41">
        <v>48.0</v>
      </c>
      <c r="T174" s="41">
        <v>7.0</v>
      </c>
      <c r="U174" s="41">
        <v>60.0</v>
      </c>
      <c r="V174" s="41">
        <v>75.0</v>
      </c>
      <c r="W174" s="41">
        <v>54.0</v>
      </c>
      <c r="X174" s="41">
        <v>35.0</v>
      </c>
      <c r="Y174" s="41">
        <v>42.0</v>
      </c>
      <c r="Z174" s="41">
        <v>4.0</v>
      </c>
      <c r="AA174" s="41">
        <v>8.0</v>
      </c>
      <c r="AB174" s="41">
        <v>32.0</v>
      </c>
      <c r="AC174" s="41">
        <v>20.0</v>
      </c>
      <c r="AD174" s="41">
        <v>28.0</v>
      </c>
      <c r="AE174" s="41">
        <v>12.0</v>
      </c>
      <c r="AF174" s="41">
        <v>4.0</v>
      </c>
      <c r="AG174" s="41">
        <v>8.0</v>
      </c>
      <c r="AH174" s="41">
        <v>20.0</v>
      </c>
      <c r="AI174" s="41">
        <v>16.0</v>
      </c>
      <c r="AJ174" s="41">
        <v>12.0</v>
      </c>
      <c r="AK174" s="41">
        <v>4.0</v>
      </c>
      <c r="AL174" s="41">
        <v>4.0</v>
      </c>
      <c r="AM174" s="43">
        <v>12.0</v>
      </c>
      <c r="AN174" s="43">
        <v>12.0</v>
      </c>
      <c r="AO174" s="43">
        <v>16.0</v>
      </c>
      <c r="AP174" s="43">
        <v>20.0</v>
      </c>
      <c r="AQ174" s="43">
        <v>11.0</v>
      </c>
      <c r="AR174" s="43">
        <v>4.0</v>
      </c>
      <c r="AS174" s="43">
        <v>24.0</v>
      </c>
      <c r="AT174" s="4">
        <f t="shared" si="4"/>
        <v>155.0</v>
      </c>
      <c r="AU174" s="4">
        <f t="shared" si="5"/>
        <v>68.0</v>
      </c>
      <c r="AV174" s="4">
        <f t="shared" si="6"/>
        <v>74.8</v>
      </c>
      <c r="AW174" s="1">
        <f t="shared" ref="AW174:AW180" si="641">AV174*$AW$4/$AV$4</f>
        <v>8.41904761904762</v>
      </c>
      <c r="AX174" s="1">
        <f t="shared" ref="AX174:AX180" si="642">AV174*$AX$4/$AV$4</f>
        <v>10.5238095238095</v>
      </c>
      <c r="AY174" s="1">
        <f t="shared" ref="AY174:AY180" si="643">AV174*$AY$4/$AV$4</f>
        <v>11.3333333333333</v>
      </c>
      <c r="AZ174" s="1">
        <f t="shared" ref="AZ174:AZ180" si="644">AV174*$AZ$4/$AV$4</f>
        <v>15.7047619047619</v>
      </c>
      <c r="BA174" s="1">
        <f t="shared" ref="BA174:BA180" si="645">AV174*$BA$4/$AV$4</f>
        <v>7.44761904761904</v>
      </c>
      <c r="BB174" s="1">
        <f t="shared" ref="BB174:BB180" si="646">AV174*$BB$4/$AV$4</f>
        <v>14.5714285714286</v>
      </c>
      <c r="BC174" s="4">
        <f t="shared" si="478"/>
        <v>68.0</v>
      </c>
      <c r="BD174" s="3">
        <f>VLOOKUP(D174,FEB23SOH,2,false)</f>
        <v>579.0</v>
      </c>
      <c r="BE174" s="44">
        <f>VLOOKUP(D174,UNITVALUE,4,false)</f>
        <v>2.0221</v>
      </c>
      <c r="BF174" s="44">
        <f t="shared" si="16"/>
        <v>1170.7959</v>
      </c>
      <c r="BI174" s="6">
        <f t="shared" si="618"/>
        <v>511.0</v>
      </c>
      <c r="BJ174" s="1">
        <f>VLOOKUP(C174,MOQ,3,FALSE())</f>
        <v>1002.0</v>
      </c>
      <c r="BK174" s="53" t="s">
        <v>0</v>
      </c>
      <c r="BM174" s="1">
        <f t="shared" si="620"/>
        <v>579.0</v>
      </c>
      <c r="BN174" s="1">
        <f t="shared" si="621"/>
        <v>8.41904761904762</v>
      </c>
      <c r="BP174" s="45">
        <f t="shared" si="622"/>
        <v>570.580952380952</v>
      </c>
      <c r="BQ174" s="5">
        <f t="shared" si="623"/>
        <v>1153.77174380952</v>
      </c>
      <c r="BR174" s="1">
        <f t="shared" si="624"/>
        <v>10.5238095238095</v>
      </c>
      <c r="BS174" s="1">
        <f t="shared" si="625"/>
      </c>
      <c r="BT174" s="45">
        <f t="shared" si="626"/>
        <v>560.057142857142</v>
      </c>
      <c r="BU174" s="5">
        <f t="shared" si="627"/>
        <v>1132.49154857142</v>
      </c>
      <c r="BV174" s="1">
        <f t="shared" si="628"/>
        <v>11.3333333333333</v>
      </c>
      <c r="BW174" s="1">
        <f t="shared" si="629"/>
      </c>
      <c r="BX174" s="45">
        <f t="shared" si="630"/>
        <v>548.723809523809</v>
      </c>
      <c r="BY174" s="5">
        <f t="shared" si="631"/>
        <v>1109.57441523809</v>
      </c>
      <c r="BZ174" s="1">
        <f t="shared" si="632"/>
        <v>15.7047619047619</v>
      </c>
      <c r="CB174" s="45">
        <f t="shared" si="633"/>
        <v>533.019047619047</v>
      </c>
      <c r="CC174" s="5">
        <f t="shared" si="634"/>
        <v>1077.81781619048</v>
      </c>
      <c r="CD174" s="1">
        <f t="shared" si="635"/>
        <v>7.44761904761904</v>
      </c>
      <c r="CF174" s="45">
        <f t="shared" si="636"/>
        <v>525.571428571428</v>
      </c>
      <c r="CG174" s="5">
        <f t="shared" si="637"/>
        <v>1062.75798571428</v>
      </c>
      <c r="CH174" s="1">
        <f t="shared" si="638"/>
        <v>14.5714285714286</v>
      </c>
      <c r="CJ174" s="45">
        <f t="shared" si="639"/>
        <v>510.999999999999</v>
      </c>
      <c r="CK174" s="5">
        <f t="shared" si="640"/>
        <v>1033.2931</v>
      </c>
    </row>
    <row r="175" ht="17.0">
      <c r="A175" s="41" t="s">
        <v>30</v>
      </c>
      <c r="B175" s="41" t="s">
        <v>369</v>
      </c>
      <c r="C175" s="41" t="s">
        <v>383</v>
      </c>
      <c r="D175" s="42" t="s">
        <v>384</v>
      </c>
      <c r="E175" s="41">
        <v>42.0</v>
      </c>
      <c r="F175" s="41">
        <v>102.0</v>
      </c>
      <c r="G175" s="41">
        <v>72.0</v>
      </c>
      <c r="H175" s="41">
        <v>12.0</v>
      </c>
      <c r="I175" s="41">
        <v>102.0</v>
      </c>
      <c r="J175" s="41">
        <v>102.0</v>
      </c>
      <c r="K175" s="41">
        <v>84.0</v>
      </c>
      <c r="L175" s="41">
        <v>86.0</v>
      </c>
      <c r="M175" s="41">
        <v>60.0</v>
      </c>
      <c r="N175" s="41">
        <v>36.0</v>
      </c>
      <c r="O175" s="41">
        <v>114.0</v>
      </c>
      <c r="P175" s="41">
        <v>114.0</v>
      </c>
      <c r="Q175" s="41">
        <v>253.0</v>
      </c>
      <c r="R175" s="41">
        <v>217.0</v>
      </c>
      <c r="S175" s="41">
        <v>91.0</v>
      </c>
      <c r="T175" s="41">
        <v>60.0</v>
      </c>
      <c r="U175" s="41">
        <v>138.0</v>
      </c>
      <c r="V175" s="41">
        <v>121.0</v>
      </c>
      <c r="W175" s="41">
        <v>0.0</v>
      </c>
      <c r="X175" s="41">
        <v>0.0</v>
      </c>
      <c r="Y175" s="41">
        <v>24.0</v>
      </c>
      <c r="Z175" s="41">
        <v>116.0</v>
      </c>
      <c r="AA175" s="41">
        <v>114.0</v>
      </c>
      <c r="AB175" s="41">
        <v>164.0</v>
      </c>
      <c r="AC175" s="41">
        <v>150.0</v>
      </c>
      <c r="AD175" s="41">
        <v>141.0</v>
      </c>
      <c r="AE175" s="41">
        <v>114.0</v>
      </c>
      <c r="AF175" s="41">
        <v>80.0</v>
      </c>
      <c r="AG175" s="41">
        <v>136.0</v>
      </c>
      <c r="AH175" s="41">
        <v>20.0</v>
      </c>
      <c r="AI175" s="41">
        <v>0.0</v>
      </c>
      <c r="AJ175" s="41">
        <v>20.0</v>
      </c>
      <c r="AK175" s="41">
        <v>28.0</v>
      </c>
      <c r="AL175" s="41">
        <v>24.0</v>
      </c>
      <c r="AM175" s="43">
        <v>84.0</v>
      </c>
      <c r="AN175" s="43">
        <v>68.0</v>
      </c>
      <c r="AO175" s="43">
        <v>163.0</v>
      </c>
      <c r="AP175" s="43">
        <v>92.0</v>
      </c>
      <c r="AQ175" s="43">
        <v>76.0</v>
      </c>
      <c r="AR175" s="43">
        <v>32.0</v>
      </c>
      <c r="AS175" s="43">
        <v>83.0</v>
      </c>
      <c r="AT175" s="4">
        <f t="shared" si="4"/>
        <v>690.0</v>
      </c>
      <c r="AU175" s="4">
        <f t="shared" si="5"/>
        <v>176.0</v>
      </c>
      <c r="AV175" s="4">
        <f t="shared" si="6"/>
        <v>193.6</v>
      </c>
      <c r="AW175" s="1">
        <f t="shared" si="641"/>
        <v>21.7904761904761</v>
      </c>
      <c r="AX175" s="1">
        <f t="shared" si="642"/>
        <v>27.2380952380952</v>
      </c>
      <c r="AY175" s="1">
        <f t="shared" si="643"/>
        <v>29.3333333333333</v>
      </c>
      <c r="AZ175" s="1">
        <f t="shared" si="644"/>
        <v>40.647619047619</v>
      </c>
      <c r="BA175" s="1">
        <f t="shared" si="645"/>
        <v>19.2761904761904</v>
      </c>
      <c r="BB175" s="1">
        <f t="shared" si="646"/>
        <v>37.7142857142857</v>
      </c>
      <c r="BC175" s="4">
        <f t="shared" si="478"/>
        <v>176.0</v>
      </c>
      <c r="BD175" s="3">
        <f>VLOOKUP(D175,FEB23SOH,2,false)</f>
        <v>297.0</v>
      </c>
      <c r="BE175" s="44">
        <f>VLOOKUP(D175,UNITVALUE,4,false)</f>
        <v>2.3229</v>
      </c>
      <c r="BF175" s="44">
        <f t="shared" si="16"/>
        <v>689.9013</v>
      </c>
      <c r="BI175" s="6">
        <f t="shared" si="618"/>
        <v>121.0</v>
      </c>
      <c r="BJ175" s="1">
        <f>VLOOKUP(C175,MOQ,3,FALSE())</f>
        <v>1002.0</v>
      </c>
      <c r="BK175" s="51">
        <f>BJ175</f>
        <v>1002.0</v>
      </c>
      <c r="BL175" s="8" t="s">
        <v>9</v>
      </c>
      <c r="BM175" s="1">
        <f t="shared" si="620"/>
        <v>297.0</v>
      </c>
      <c r="BN175" s="1">
        <f t="shared" si="621"/>
        <v>21.7904761904761</v>
      </c>
      <c r="BP175" s="45">
        <f t="shared" si="622"/>
        <v>275.209523809523</v>
      </c>
      <c r="BQ175" s="5">
        <f t="shared" si="623"/>
        <v>639.28420285714</v>
      </c>
      <c r="BR175" s="1">
        <f t="shared" si="624"/>
        <v>27.2380952380952</v>
      </c>
      <c r="BS175" s="1">
        <f t="shared" si="625"/>
      </c>
      <c r="BT175" s="45">
        <f t="shared" si="626"/>
        <v>247.971428571428</v>
      </c>
      <c r="BU175" s="5">
        <f t="shared" si="627"/>
        <v>576.01283142857</v>
      </c>
      <c r="BV175" s="1">
        <f t="shared" si="628"/>
        <v>29.3333333333333</v>
      </c>
      <c r="BW175" s="1">
        <f t="shared" si="629"/>
      </c>
      <c r="BX175" s="45">
        <f t="shared" si="630"/>
        <v>218.638095238094</v>
      </c>
      <c r="BY175" s="5">
        <f t="shared" si="631"/>
        <v>507.87443142857</v>
      </c>
      <c r="BZ175" s="1">
        <f t="shared" si="632"/>
        <v>40.647619047619</v>
      </c>
      <c r="CB175" s="45">
        <f t="shared" si="633"/>
        <v>177.990476190475</v>
      </c>
      <c r="CC175" s="5">
        <f t="shared" si="634"/>
        <v>413.454077142854</v>
      </c>
      <c r="CD175" s="1">
        <f t="shared" si="635"/>
        <v>19.2761904761904</v>
      </c>
      <c r="CF175" s="45">
        <f t="shared" si="636"/>
        <v>158.714285714284</v>
      </c>
      <c r="CG175" s="5">
        <f t="shared" si="637"/>
        <v>368.67741428571</v>
      </c>
      <c r="CH175" s="1">
        <f t="shared" si="638"/>
        <v>37.7142857142857</v>
      </c>
      <c r="CJ175" s="45">
        <f t="shared" si="639"/>
        <v>120.999999999998</v>
      </c>
      <c r="CK175" s="5">
        <f t="shared" si="640"/>
        <v>281.070899999995</v>
      </c>
    </row>
    <row r="176" ht="17.0">
      <c r="A176" s="41" t="s">
        <v>30</v>
      </c>
      <c r="B176" s="10" t="s">
        <v>369</v>
      </c>
      <c r="C176" s="41" t="s">
        <v>385</v>
      </c>
      <c r="D176" s="42" t="s">
        <v>386</v>
      </c>
      <c r="E176" s="41">
        <v>60.0</v>
      </c>
      <c r="F176" s="41">
        <v>90.0</v>
      </c>
      <c r="G176" s="41">
        <v>84.0</v>
      </c>
      <c r="H176" s="41">
        <v>48.0</v>
      </c>
      <c r="I176" s="41">
        <v>102.0</v>
      </c>
      <c r="J176" s="41">
        <v>96.0</v>
      </c>
      <c r="K176" s="41">
        <v>72.0</v>
      </c>
      <c r="L176" s="41">
        <v>68.0</v>
      </c>
      <c r="M176" s="41">
        <v>42.0</v>
      </c>
      <c r="N176" s="41">
        <v>29.0</v>
      </c>
      <c r="O176" s="41">
        <v>78.0</v>
      </c>
      <c r="P176" s="41">
        <v>72.0</v>
      </c>
      <c r="Q176" s="41">
        <v>192.0</v>
      </c>
      <c r="R176" s="41">
        <v>120.0</v>
      </c>
      <c r="S176" s="41">
        <v>54.0</v>
      </c>
      <c r="T176" s="41">
        <v>42.0</v>
      </c>
      <c r="U176" s="41">
        <v>102.0</v>
      </c>
      <c r="V176" s="41">
        <v>147.0</v>
      </c>
      <c r="W176" s="41">
        <v>78.0</v>
      </c>
      <c r="X176" s="41">
        <v>60.0</v>
      </c>
      <c r="Y176" s="41">
        <v>36.0</v>
      </c>
      <c r="Z176" s="41">
        <v>34.0</v>
      </c>
      <c r="AA176" s="41">
        <v>44.0</v>
      </c>
      <c r="AB176" s="41">
        <v>68.0</v>
      </c>
      <c r="AC176" s="41">
        <v>52.0</v>
      </c>
      <c r="AD176" s="41">
        <v>52.0</v>
      </c>
      <c r="AE176" s="41">
        <v>53.0</v>
      </c>
      <c r="AF176" s="41">
        <v>32.0</v>
      </c>
      <c r="AG176" s="41">
        <v>44.0</v>
      </c>
      <c r="AH176" s="41">
        <v>36.0</v>
      </c>
      <c r="AI176" s="41">
        <v>40.0</v>
      </c>
      <c r="AJ176" s="41">
        <v>16.0</v>
      </c>
      <c r="AK176" s="41">
        <v>12.0</v>
      </c>
      <c r="AL176" s="41">
        <v>20.0</v>
      </c>
      <c r="AM176" s="43">
        <v>40.0</v>
      </c>
      <c r="AN176" s="43">
        <v>28.0</v>
      </c>
      <c r="AO176" s="43">
        <v>112.0</v>
      </c>
      <c r="AP176" s="43">
        <v>60.0</v>
      </c>
      <c r="AQ176" s="43">
        <v>44.0</v>
      </c>
      <c r="AR176" s="43">
        <v>8.0</v>
      </c>
      <c r="AS176" s="43">
        <v>15.0</v>
      </c>
      <c r="AT176" s="4">
        <f t="shared" si="4"/>
        <v>431.0</v>
      </c>
      <c r="AU176" s="4">
        <f t="shared" si="5"/>
        <v>164.0</v>
      </c>
      <c r="AV176" s="4">
        <f t="shared" si="6"/>
        <v>180.4</v>
      </c>
      <c r="AW176" s="1">
        <f t="shared" si="641"/>
        <v>20.3047619047619</v>
      </c>
      <c r="AX176" s="1">
        <f t="shared" si="642"/>
        <v>25.3809523809523</v>
      </c>
      <c r="AY176" s="1">
        <f t="shared" si="643"/>
        <v>27.3333333333333</v>
      </c>
      <c r="AZ176" s="1">
        <f t="shared" si="644"/>
        <v>37.8761904761904</v>
      </c>
      <c r="BA176" s="1">
        <f t="shared" si="645"/>
        <v>17.9619047619048</v>
      </c>
      <c r="BB176" s="1">
        <f t="shared" si="646"/>
        <v>35.1428571428571</v>
      </c>
      <c r="BC176" s="4">
        <f t="shared" si="478"/>
        <v>164.0</v>
      </c>
      <c r="BD176" s="3">
        <f>VLOOKUP(D176,FEB23SOH,2,false)</f>
        <v>315.0</v>
      </c>
      <c r="BE176" s="44">
        <f>VLOOKUP(D176,UNITVALUE,4,false)</f>
        <v>1.7838</v>
      </c>
      <c r="BF176" s="44">
        <f t="shared" si="16"/>
        <v>561.897</v>
      </c>
      <c r="BI176" s="6">
        <f t="shared" si="618"/>
        <v>151.0</v>
      </c>
      <c r="BJ176" s="1">
        <f>VLOOKUP(C176,MOQ,3,FALSE())</f>
        <v>1002.0</v>
      </c>
      <c r="BK176" s="53" t="s">
        <v>0</v>
      </c>
      <c r="BM176" s="1">
        <f t="shared" si="620"/>
        <v>315.0</v>
      </c>
      <c r="BN176" s="1">
        <f t="shared" si="621"/>
        <v>20.3047619047619</v>
      </c>
      <c r="BP176" s="45">
        <f t="shared" si="622"/>
        <v>294.695238095238</v>
      </c>
      <c r="BQ176" s="5">
        <f t="shared" si="623"/>
        <v>525.677365714286</v>
      </c>
      <c r="BR176" s="1">
        <f t="shared" si="624"/>
        <v>25.3809523809523</v>
      </c>
      <c r="BS176" s="1">
        <f t="shared" si="625"/>
      </c>
      <c r="BT176" s="45">
        <f t="shared" si="626"/>
        <v>269.31428571429</v>
      </c>
      <c r="BU176" s="5">
        <f t="shared" si="627"/>
        <v>480.40282285715</v>
      </c>
      <c r="BV176" s="1">
        <f t="shared" si="628"/>
        <v>27.3333333333333</v>
      </c>
      <c r="BW176" s="1">
        <f t="shared" si="629"/>
      </c>
      <c r="BX176" s="45">
        <f t="shared" si="630"/>
        <v>241.980952380957</v>
      </c>
      <c r="BY176" s="5">
        <f t="shared" si="631"/>
        <v>431.645622857151</v>
      </c>
      <c r="BZ176" s="1">
        <f t="shared" si="632"/>
        <v>37.8761904761904</v>
      </c>
      <c r="CB176" s="45">
        <f t="shared" si="633"/>
        <v>204.104761904767</v>
      </c>
      <c r="CC176" s="5">
        <f t="shared" si="634"/>
        <v>364.082074285723</v>
      </c>
      <c r="CD176" s="1">
        <f t="shared" si="635"/>
        <v>17.9619047619048</v>
      </c>
      <c r="CF176" s="45">
        <f t="shared" si="636"/>
        <v>186.142857142862</v>
      </c>
      <c r="CG176" s="5">
        <f t="shared" si="637"/>
        <v>332.041628571437</v>
      </c>
      <c r="CH176" s="1">
        <f t="shared" si="638"/>
        <v>35.1428571428571</v>
      </c>
      <c r="CJ176" s="45">
        <f t="shared" si="639"/>
        <v>151.000000000004</v>
      </c>
      <c r="CK176" s="5">
        <f t="shared" si="640"/>
        <v>269.353800000007</v>
      </c>
    </row>
    <row r="177" ht="17.0">
      <c r="A177" s="41" t="s">
        <v>30</v>
      </c>
      <c r="B177" s="10" t="s">
        <v>369</v>
      </c>
      <c r="C177" s="41" t="s">
        <v>387</v>
      </c>
      <c r="D177" s="42" t="s">
        <v>388</v>
      </c>
      <c r="E177" s="41">
        <v>46.0</v>
      </c>
      <c r="F177" s="41">
        <v>120.0</v>
      </c>
      <c r="G177" s="41">
        <v>66.0</v>
      </c>
      <c r="H177" s="41">
        <v>36.0</v>
      </c>
      <c r="I177" s="41">
        <v>42.0</v>
      </c>
      <c r="J177" s="41">
        <v>36.0</v>
      </c>
      <c r="K177" s="41">
        <v>48.0</v>
      </c>
      <c r="L177" s="41">
        <v>80.0</v>
      </c>
      <c r="M177" s="41">
        <v>24.0</v>
      </c>
      <c r="N177" s="41">
        <v>48.0</v>
      </c>
      <c r="O177" s="41">
        <v>24.0</v>
      </c>
      <c r="P177" s="41">
        <v>24.0</v>
      </c>
      <c r="Q177" s="41">
        <v>67.0</v>
      </c>
      <c r="R177" s="41">
        <v>62.0</v>
      </c>
      <c r="S177" s="41">
        <v>15.0</v>
      </c>
      <c r="T177" s="41">
        <v>18.0</v>
      </c>
      <c r="U177" s="41">
        <v>42.0</v>
      </c>
      <c r="V177" s="41">
        <v>51.0</v>
      </c>
      <c r="W177" s="41">
        <v>36.0</v>
      </c>
      <c r="X177" s="41">
        <v>42.0</v>
      </c>
      <c r="Y177" s="41">
        <v>18.0</v>
      </c>
      <c r="Z177" s="41">
        <v>14.0</v>
      </c>
      <c r="AA177" s="41">
        <v>4.0</v>
      </c>
      <c r="AB177" s="41">
        <v>8.0</v>
      </c>
      <c r="AC177" s="41">
        <v>24.0</v>
      </c>
      <c r="AD177" s="41">
        <v>8.0</v>
      </c>
      <c r="AE177" s="41">
        <v>12.0</v>
      </c>
      <c r="AF177" s="41">
        <v>12.0</v>
      </c>
      <c r="AG177" s="41">
        <v>8.0</v>
      </c>
      <c r="AH177" s="41">
        <v>16.0</v>
      </c>
      <c r="AI177" s="41">
        <v>4.0</v>
      </c>
      <c r="AJ177" s="41">
        <v>8.0</v>
      </c>
      <c r="AK177" s="41">
        <v>4.0</v>
      </c>
      <c r="AL177" s="41">
        <v>8.0</v>
      </c>
      <c r="AM177" s="43">
        <v>20.0</v>
      </c>
      <c r="AN177" s="43">
        <v>8.0</v>
      </c>
      <c r="AO177" s="43">
        <v>20.0</v>
      </c>
      <c r="AP177" s="43">
        <v>12.0</v>
      </c>
      <c r="AQ177" s="43">
        <v>4.0</v>
      </c>
      <c r="AR177" s="43">
        <v>4.0</v>
      </c>
      <c r="AS177" s="43">
        <v>15.0</v>
      </c>
      <c r="AT177" s="4">
        <f t="shared" si="4"/>
        <v>123.0</v>
      </c>
      <c r="AU177" s="4">
        <f t="shared" si="5"/>
        <v>60.0</v>
      </c>
      <c r="AV177" s="4">
        <f t="shared" si="6"/>
        <v>66.0</v>
      </c>
      <c r="AW177" s="1">
        <f t="shared" si="641"/>
        <v>7.42857142857142</v>
      </c>
      <c r="AX177" s="1">
        <f t="shared" si="642"/>
        <v>9.28571428571429</v>
      </c>
      <c r="AY177" s="1">
        <f t="shared" si="643"/>
        <v>10.0</v>
      </c>
      <c r="AZ177" s="1">
        <f t="shared" si="644"/>
        <v>13.8571428571429</v>
      </c>
      <c r="BA177" s="1">
        <f t="shared" si="645"/>
        <v>6.57142857142857</v>
      </c>
      <c r="BB177" s="1">
        <f t="shared" si="646"/>
        <v>12.8571428571429</v>
      </c>
      <c r="BC177" s="4">
        <f t="shared" si="478"/>
        <v>60.0</v>
      </c>
      <c r="BD177" s="3">
        <f>VLOOKUP(D177,FEB23SOH,2,false)</f>
        <v>564.0</v>
      </c>
      <c r="BE177" s="44">
        <f>VLOOKUP(D177,UNITVALUE,4,false)</f>
        <v>2.0218</v>
      </c>
      <c r="BF177" s="44">
        <f t="shared" si="16"/>
        <v>1140.2952</v>
      </c>
      <c r="BI177" s="6">
        <f t="shared" si="618"/>
        <v>504.0</v>
      </c>
      <c r="BJ177" s="1">
        <f>VLOOKUP(C177,MOQ,3,FALSE())</f>
        <v>1002.0</v>
      </c>
      <c r="BK177" s="53" t="s">
        <v>0</v>
      </c>
      <c r="BM177" s="1">
        <f t="shared" si="620"/>
        <v>564.0</v>
      </c>
      <c r="BN177" s="1">
        <f t="shared" si="621"/>
        <v>7.42857142857142</v>
      </c>
      <c r="BP177" s="45">
        <f t="shared" si="622"/>
        <v>556.571428571429</v>
      </c>
      <c r="BQ177" s="5">
        <f t="shared" si="623"/>
        <v>1125.27611428571</v>
      </c>
      <c r="BR177" s="1">
        <f t="shared" si="624"/>
        <v>9.28571428571429</v>
      </c>
      <c r="BS177" s="1">
        <f t="shared" si="625"/>
      </c>
      <c r="BT177" s="45">
        <f t="shared" si="626"/>
        <v>547.285714285714</v>
      </c>
      <c r="BU177" s="5">
        <f t="shared" si="627"/>
        <v>1106.502257142</v>
      </c>
      <c r="BV177" s="1">
        <f t="shared" si="628"/>
        <v>10.0</v>
      </c>
      <c r="BW177" s="1">
        <f t="shared" si="629"/>
      </c>
      <c r="BX177" s="45">
        <f t="shared" si="630"/>
        <v>537.285714285714</v>
      </c>
      <c r="BY177" s="5">
        <f t="shared" si="631"/>
        <v>1086.28425714286</v>
      </c>
      <c r="BZ177" s="1">
        <f t="shared" si="632"/>
        <v>13.8571428571429</v>
      </c>
      <c r="CB177" s="45">
        <f t="shared" si="633"/>
        <v>523.428571428571</v>
      </c>
      <c r="CC177" s="5">
        <f t="shared" si="634"/>
        <v>1058.26788571428</v>
      </c>
      <c r="CD177" s="1">
        <f t="shared" si="635"/>
        <v>6.57142857142857</v>
      </c>
      <c r="CF177" s="45">
        <f t="shared" si="636"/>
        <v>516.857142857142</v>
      </c>
      <c r="CG177" s="5">
        <f t="shared" si="637"/>
        <v>1044.98177142857</v>
      </c>
      <c r="CH177" s="1">
        <f t="shared" si="638"/>
        <v>12.8571428571429</v>
      </c>
      <c r="CJ177" s="45">
        <f t="shared" si="639"/>
        <v>503.999999999999</v>
      </c>
      <c r="CK177" s="5">
        <f t="shared" si="640"/>
        <v>1018.9872</v>
      </c>
    </row>
    <row r="178" ht="17.0">
      <c r="A178" s="41" t="s">
        <v>30</v>
      </c>
      <c r="B178" s="10" t="s">
        <v>369</v>
      </c>
      <c r="C178" s="41" t="s">
        <v>389</v>
      </c>
      <c r="D178" s="42" t="s">
        <v>390</v>
      </c>
      <c r="E178" s="41">
        <v>0.0</v>
      </c>
      <c r="F178" s="41">
        <v>0.0</v>
      </c>
      <c r="G178" s="41">
        <v>0.0</v>
      </c>
      <c r="H178" s="41">
        <v>0.0</v>
      </c>
      <c r="I178" s="41">
        <v>0.0</v>
      </c>
      <c r="J178" s="41">
        <v>0.0</v>
      </c>
      <c r="K178" s="41">
        <v>0.0</v>
      </c>
      <c r="L178" s="41">
        <v>0.0</v>
      </c>
      <c r="M178" s="41">
        <v>0.0</v>
      </c>
      <c r="N178" s="41">
        <v>0.0</v>
      </c>
      <c r="O178" s="41">
        <v>0.0</v>
      </c>
      <c r="P178" s="41">
        <v>0.0</v>
      </c>
      <c r="Q178" s="41">
        <v>0.0</v>
      </c>
      <c r="R178" s="41">
        <v>0.0</v>
      </c>
      <c r="S178" s="41">
        <v>0.0</v>
      </c>
      <c r="T178" s="41">
        <v>0.0</v>
      </c>
      <c r="U178" s="41">
        <v>0.0</v>
      </c>
      <c r="V178" s="41">
        <v>0.0</v>
      </c>
      <c r="W178" s="41">
        <v>0.0</v>
      </c>
      <c r="X178" s="41">
        <v>0.0</v>
      </c>
      <c r="Y178" s="41">
        <v>6.0</v>
      </c>
      <c r="Z178" s="41">
        <v>48.0</v>
      </c>
      <c r="AA178" s="41">
        <v>36.0</v>
      </c>
      <c r="AB178" s="41">
        <v>40.0</v>
      </c>
      <c r="AC178" s="41">
        <v>52.0</v>
      </c>
      <c r="AD178" s="41">
        <v>76.0</v>
      </c>
      <c r="AE178" s="41">
        <v>44.0</v>
      </c>
      <c r="AF178" s="41">
        <v>20.0</v>
      </c>
      <c r="AG178" s="41">
        <v>36.0</v>
      </c>
      <c r="AH178" s="41">
        <v>40.0</v>
      </c>
      <c r="AI178" s="41">
        <v>24.0</v>
      </c>
      <c r="AJ178" s="41">
        <v>16.0</v>
      </c>
      <c r="AK178" s="41">
        <v>4.0</v>
      </c>
      <c r="AL178" s="41">
        <v>4.0</v>
      </c>
      <c r="AM178" s="43">
        <v>36.0</v>
      </c>
      <c r="AN178" s="43">
        <v>32.0</v>
      </c>
      <c r="AO178" s="43">
        <v>64.0</v>
      </c>
      <c r="AP178" s="43">
        <v>20.0</v>
      </c>
      <c r="AQ178" s="43">
        <v>28.0</v>
      </c>
      <c r="AR178" s="43">
        <v>16.0</v>
      </c>
      <c r="AS178" s="43">
        <v>54.0</v>
      </c>
      <c r="AT178" s="4">
        <f t="shared" si="4"/>
        <v>338.0</v>
      </c>
      <c r="AU178" s="4">
        <f t="shared" si="5"/>
        <v>124.0</v>
      </c>
      <c r="AV178" s="4">
        <f t="shared" si="6"/>
        <v>136.4</v>
      </c>
      <c r="AW178" s="1">
        <f t="shared" si="641"/>
        <v>15.35238095238</v>
      </c>
      <c r="AX178" s="1">
        <f t="shared" si="642"/>
        <v>19.1904761904761</v>
      </c>
      <c r="AY178" s="1">
        <f t="shared" si="643"/>
        <v>20.6666666666667</v>
      </c>
      <c r="AZ178" s="1">
        <f t="shared" si="644"/>
        <v>28.6380952380952</v>
      </c>
      <c r="BA178" s="1">
        <f t="shared" si="645"/>
        <v>13.5809523809523</v>
      </c>
      <c r="BB178" s="1">
        <f t="shared" si="646"/>
        <v>26.571428571429</v>
      </c>
      <c r="BC178" s="4">
        <f t="shared" si="478"/>
        <v>123.999999999999</v>
      </c>
      <c r="BD178" s="3">
        <f>VLOOKUP(D178,FEB23SOH,2,false)</f>
        <v>370.0</v>
      </c>
      <c r="BE178" s="44">
        <f>VLOOKUP(D178,UNITVALUE,4,false)</f>
        <v>1.7839</v>
      </c>
      <c r="BF178" s="44">
        <f t="shared" si="16"/>
        <v>660.043</v>
      </c>
      <c r="BI178" s="6">
        <f t="shared" si="618"/>
        <v>246.000000000001</v>
      </c>
      <c r="BJ178" s="1">
        <v>1002.0</v>
      </c>
      <c r="BK178" s="53" t="s">
        <v>0</v>
      </c>
      <c r="BM178" s="1">
        <f t="shared" si="620"/>
        <v>370.0</v>
      </c>
      <c r="BN178" s="1">
        <f t="shared" si="621"/>
        <v>15.35238095238</v>
      </c>
      <c r="BP178" s="45">
        <f t="shared" si="622"/>
        <v>354.64761904762</v>
      </c>
      <c r="BQ178" s="5">
        <f t="shared" si="623"/>
        <v>632.655887619049</v>
      </c>
      <c r="BR178" s="1">
        <f t="shared" si="624"/>
        <v>19.1904761904761</v>
      </c>
      <c r="BS178" s="1">
        <f t="shared" si="625"/>
      </c>
      <c r="BT178" s="45">
        <f t="shared" si="626"/>
        <v>335.457142857143</v>
      </c>
      <c r="BU178" s="5">
        <f t="shared" si="627"/>
        <v>598.421997142857</v>
      </c>
      <c r="BV178" s="1">
        <f t="shared" si="628"/>
        <v>20.6666666666667</v>
      </c>
      <c r="BW178" s="1">
        <f t="shared" si="629"/>
      </c>
      <c r="BX178" s="45">
        <f t="shared" si="630"/>
        <v>314.790476190476</v>
      </c>
      <c r="BY178" s="5">
        <f t="shared" si="631"/>
        <v>561.55473047619</v>
      </c>
      <c r="BZ178" s="1">
        <f t="shared" si="632"/>
        <v>28.6380952380952</v>
      </c>
      <c r="CB178" s="45">
        <f t="shared" si="633"/>
        <v>286.15238095238</v>
      </c>
      <c r="CC178" s="5">
        <f t="shared" si="634"/>
        <v>510.46723238095</v>
      </c>
      <c r="CD178" s="1">
        <f t="shared" si="635"/>
        <v>13.5809523809523</v>
      </c>
      <c r="CF178" s="45">
        <f t="shared" si="636"/>
        <v>272.57142857142</v>
      </c>
      <c r="CG178" s="5">
        <f t="shared" si="637"/>
        <v>486.240171428556</v>
      </c>
      <c r="CH178" s="1">
        <f t="shared" si="638"/>
        <v>26.571428571429</v>
      </c>
      <c r="CJ178" s="45">
        <f t="shared" si="639"/>
        <v>245.99999999999</v>
      </c>
      <c r="CK178" s="5">
        <f t="shared" si="640"/>
        <v>438.839399999982</v>
      </c>
    </row>
    <row r="179" ht="17.0">
      <c r="A179" s="41" t="s">
        <v>30</v>
      </c>
      <c r="B179" s="10" t="s">
        <v>369</v>
      </c>
      <c r="C179" s="41" t="s">
        <v>391</v>
      </c>
      <c r="D179" s="42" t="s">
        <v>392</v>
      </c>
      <c r="E179" s="41">
        <v>0.0</v>
      </c>
      <c r="F179" s="41">
        <v>0.0</v>
      </c>
      <c r="G179" s="41">
        <v>0.0</v>
      </c>
      <c r="H179" s="41">
        <v>0.0</v>
      </c>
      <c r="I179" s="41">
        <v>0.0</v>
      </c>
      <c r="J179" s="41">
        <v>0.0</v>
      </c>
      <c r="K179" s="41">
        <v>0.0</v>
      </c>
      <c r="L179" s="41">
        <v>0.0</v>
      </c>
      <c r="M179" s="41">
        <v>0.0</v>
      </c>
      <c r="N179" s="41">
        <v>0.0</v>
      </c>
      <c r="O179" s="41">
        <v>0.0</v>
      </c>
      <c r="P179" s="41">
        <v>0.0</v>
      </c>
      <c r="Q179" s="41">
        <v>0.0</v>
      </c>
      <c r="R179" s="41">
        <v>0.0</v>
      </c>
      <c r="S179" s="41">
        <v>0.0</v>
      </c>
      <c r="T179" s="41">
        <v>0.0</v>
      </c>
      <c r="U179" s="41">
        <v>0.0</v>
      </c>
      <c r="V179" s="41">
        <v>0.0</v>
      </c>
      <c r="W179" s="41">
        <v>0.0</v>
      </c>
      <c r="X179" s="41">
        <v>0.0</v>
      </c>
      <c r="Y179" s="41">
        <v>18.0</v>
      </c>
      <c r="Z179" s="41">
        <v>66.0</v>
      </c>
      <c r="AA179" s="41">
        <v>68.0</v>
      </c>
      <c r="AB179" s="41">
        <v>180.0</v>
      </c>
      <c r="AC179" s="41">
        <v>75.0</v>
      </c>
      <c r="AD179" s="41">
        <v>124.0</v>
      </c>
      <c r="AE179" s="41">
        <v>52.0</v>
      </c>
      <c r="AF179" s="41">
        <v>48.0</v>
      </c>
      <c r="AG179" s="41">
        <v>92.0</v>
      </c>
      <c r="AH179" s="41">
        <v>48.0</v>
      </c>
      <c r="AI179" s="41">
        <v>48.0</v>
      </c>
      <c r="AJ179" s="41">
        <v>20.0</v>
      </c>
      <c r="AK179" s="41">
        <v>12.0</v>
      </c>
      <c r="AL179" s="41">
        <v>20.0</v>
      </c>
      <c r="AM179" s="43">
        <v>72.0</v>
      </c>
      <c r="AN179" s="43">
        <v>68.0</v>
      </c>
      <c r="AO179" s="43">
        <v>80.0</v>
      </c>
      <c r="AP179" s="43">
        <v>48.0</v>
      </c>
      <c r="AQ179" s="43">
        <v>40.0</v>
      </c>
      <c r="AR179" s="43">
        <v>20.0</v>
      </c>
      <c r="AS179" s="43">
        <v>29.0</v>
      </c>
      <c r="AT179" s="4">
        <f t="shared" si="4"/>
        <v>505.0</v>
      </c>
      <c r="AU179" s="4">
        <f t="shared" si="5"/>
        <v>220.0</v>
      </c>
      <c r="AV179" s="4">
        <f t="shared" si="6"/>
        <v>242.0</v>
      </c>
      <c r="AW179" s="1">
        <f t="shared" si="641"/>
        <v>27.2380952380952</v>
      </c>
      <c r="AX179" s="1">
        <f t="shared" si="642"/>
        <v>34.047619047619</v>
      </c>
      <c r="AY179" s="1">
        <f t="shared" si="643"/>
        <v>36.6666666666667</v>
      </c>
      <c r="AZ179" s="1">
        <f t="shared" si="644"/>
        <v>50.8095238095238</v>
      </c>
      <c r="BA179" s="1">
        <f t="shared" si="645"/>
        <v>24.095238095238</v>
      </c>
      <c r="BB179" s="1">
        <f t="shared" si="646"/>
        <v>47.1428571428571</v>
      </c>
      <c r="BC179" s="4">
        <f t="shared" si="478"/>
        <v>220.0</v>
      </c>
      <c r="BD179" s="3">
        <f>VLOOKUP(D179,FEB23SOH,2,false)</f>
        <v>408.0</v>
      </c>
      <c r="BE179" s="44">
        <f>VLOOKUP(D179,UNITVALUE,4,false)</f>
        <v>2.324</v>
      </c>
      <c r="BF179" s="44">
        <f t="shared" si="16"/>
        <v>948.192</v>
      </c>
      <c r="BI179" s="6">
        <f t="shared" si="618"/>
        <v>188.0</v>
      </c>
      <c r="BJ179" s="1">
        <v>1002.0</v>
      </c>
      <c r="BK179" s="53" t="s">
        <v>0</v>
      </c>
      <c r="BM179" s="1">
        <f t="shared" si="620"/>
        <v>408.0</v>
      </c>
      <c r="BN179" s="1">
        <f t="shared" si="621"/>
        <v>27.2380952380952</v>
      </c>
      <c r="BP179" s="45">
        <f t="shared" si="622"/>
        <v>380.761904761904</v>
      </c>
      <c r="BQ179" s="5">
        <f t="shared" si="623"/>
        <v>884.890666666664</v>
      </c>
      <c r="BR179" s="1">
        <f t="shared" si="624"/>
        <v>34.047619047619</v>
      </c>
      <c r="BS179" s="1">
        <f t="shared" si="625"/>
      </c>
      <c r="BT179" s="45">
        <f t="shared" si="626"/>
        <v>346.714285714285</v>
      </c>
      <c r="BU179" s="5">
        <f t="shared" si="627"/>
        <v>805.763999999998</v>
      </c>
      <c r="BV179" s="1">
        <f t="shared" si="628"/>
        <v>36.6666666666667</v>
      </c>
      <c r="BW179" s="1">
        <f t="shared" si="629"/>
      </c>
      <c r="BX179" s="45">
        <f t="shared" si="630"/>
        <v>310.047619047618</v>
      </c>
      <c r="BY179" s="5">
        <f t="shared" si="631"/>
        <v>720.550666666664</v>
      </c>
      <c r="BZ179" s="1">
        <f t="shared" si="632"/>
        <v>50.8095238095238</v>
      </c>
      <c r="CB179" s="45">
        <f t="shared" si="633"/>
        <v>259.238095238094</v>
      </c>
      <c r="CC179" s="5">
        <f t="shared" si="634"/>
        <v>602.46933333333</v>
      </c>
      <c r="CD179" s="1">
        <f t="shared" si="635"/>
        <v>24.095238095238</v>
      </c>
      <c r="CF179" s="45">
        <f t="shared" si="636"/>
        <v>235.142857142856</v>
      </c>
      <c r="CG179" s="5">
        <f t="shared" si="637"/>
        <v>546.471999999997</v>
      </c>
      <c r="CH179" s="1">
        <f t="shared" si="638"/>
        <v>47.1428571428571</v>
      </c>
      <c r="CJ179" s="45">
        <f t="shared" si="639"/>
        <v>187.999999999999</v>
      </c>
      <c r="CK179" s="5">
        <f t="shared" si="640"/>
        <v>436.912</v>
      </c>
    </row>
    <row r="180" ht="17.0">
      <c r="A180" s="41" t="s">
        <v>30</v>
      </c>
      <c r="B180" s="10" t="s">
        <v>369</v>
      </c>
      <c r="C180" s="41" t="s">
        <v>393</v>
      </c>
      <c r="D180" s="42" t="s">
        <v>394</v>
      </c>
      <c r="E180" s="41">
        <v>0.0</v>
      </c>
      <c r="F180" s="41">
        <v>0.0</v>
      </c>
      <c r="G180" s="41">
        <v>0.0</v>
      </c>
      <c r="H180" s="41">
        <v>0.0</v>
      </c>
      <c r="I180" s="41">
        <v>0.0</v>
      </c>
      <c r="J180" s="41">
        <v>0.0</v>
      </c>
      <c r="K180" s="41">
        <v>0.0</v>
      </c>
      <c r="L180" s="41">
        <v>0.0</v>
      </c>
      <c r="M180" s="41">
        <v>0.0</v>
      </c>
      <c r="N180" s="41">
        <v>0.0</v>
      </c>
      <c r="O180" s="41">
        <v>0.0</v>
      </c>
      <c r="P180" s="41">
        <v>0.0</v>
      </c>
      <c r="Q180" s="41">
        <v>0.0</v>
      </c>
      <c r="R180" s="41">
        <v>0.0</v>
      </c>
      <c r="S180" s="41">
        <v>0.0</v>
      </c>
      <c r="T180" s="41">
        <v>0.0</v>
      </c>
      <c r="U180" s="41">
        <v>0.0</v>
      </c>
      <c r="V180" s="41">
        <v>0.0</v>
      </c>
      <c r="W180" s="41">
        <v>0.0</v>
      </c>
      <c r="X180" s="41">
        <v>0.0</v>
      </c>
      <c r="Y180" s="41">
        <v>6.0</v>
      </c>
      <c r="Z180" s="41">
        <v>66.0</v>
      </c>
      <c r="AA180" s="41">
        <v>72.0</v>
      </c>
      <c r="AB180" s="41">
        <v>144.0</v>
      </c>
      <c r="AC180" s="41">
        <v>112.0</v>
      </c>
      <c r="AD180" s="41">
        <v>136.0</v>
      </c>
      <c r="AE180" s="41">
        <v>72.0</v>
      </c>
      <c r="AF180" s="41">
        <v>44.0</v>
      </c>
      <c r="AG180" s="41">
        <v>79.0</v>
      </c>
      <c r="AH180" s="41">
        <v>67.0</v>
      </c>
      <c r="AI180" s="41">
        <v>56.0</v>
      </c>
      <c r="AJ180" s="41">
        <v>30.0</v>
      </c>
      <c r="AK180" s="41">
        <v>16.0</v>
      </c>
      <c r="AL180" s="41">
        <v>20.0</v>
      </c>
      <c r="AM180" s="43">
        <v>56.0</v>
      </c>
      <c r="AN180" s="43">
        <v>60.0</v>
      </c>
      <c r="AO180" s="43">
        <v>63.0</v>
      </c>
      <c r="AP180" s="43">
        <v>32.0</v>
      </c>
      <c r="AQ180" s="43">
        <v>40.0</v>
      </c>
      <c r="AR180" s="43">
        <v>40.0</v>
      </c>
      <c r="AS180" s="43">
        <v>54.0</v>
      </c>
      <c r="AT180" s="4">
        <f t="shared" si="4"/>
        <v>534.0</v>
      </c>
      <c r="AU180" s="4">
        <f t="shared" si="5"/>
        <v>245.0</v>
      </c>
      <c r="AV180" s="4">
        <f t="shared" si="6"/>
        <v>269.5</v>
      </c>
      <c r="AW180" s="1">
        <f t="shared" si="641"/>
        <v>30.3333333333333</v>
      </c>
      <c r="AX180" s="1">
        <f t="shared" si="642"/>
        <v>37.9166666666667</v>
      </c>
      <c r="AY180" s="1">
        <f t="shared" si="643"/>
        <v>40.8333333333333</v>
      </c>
      <c r="AZ180" s="1">
        <f t="shared" si="644"/>
        <v>56.5833333333333</v>
      </c>
      <c r="BA180" s="1">
        <f t="shared" si="645"/>
        <v>26.8333333333333</v>
      </c>
      <c r="BB180" s="1">
        <f t="shared" si="646"/>
        <v>52.5</v>
      </c>
      <c r="BC180" s="4">
        <f t="shared" si="478"/>
        <v>245.0</v>
      </c>
      <c r="BD180" s="3">
        <f>VLOOKUP(D180,FEB23SOH,2,false)</f>
        <v>377.0</v>
      </c>
      <c r="BE180" s="44">
        <f>VLOOKUP(D180,UNITVALUE,4,false)</f>
        <v>2.324</v>
      </c>
      <c r="BF180" s="44">
        <f t="shared" si="16"/>
        <v>876.148</v>
      </c>
      <c r="BI180" s="6">
        <f t="shared" si="618"/>
        <v>132.0</v>
      </c>
      <c r="BJ180" s="1">
        <v>1002.0</v>
      </c>
      <c r="BK180" s="53" t="s">
        <v>0</v>
      </c>
      <c r="BM180" s="1">
        <f t="shared" si="620"/>
        <v>377.0</v>
      </c>
      <c r="BN180" s="1">
        <f t="shared" si="621"/>
        <v>30.3333333333333</v>
      </c>
      <c r="BP180" s="45">
        <f t="shared" si="622"/>
        <v>346.666666666667</v>
      </c>
      <c r="BQ180" s="5">
        <f t="shared" si="623"/>
        <v>805.653333333334</v>
      </c>
      <c r="BR180" s="1">
        <f t="shared" si="624"/>
        <v>37.9166666666667</v>
      </c>
      <c r="BS180" s="1">
        <f t="shared" si="625"/>
      </c>
      <c r="BT180" s="45">
        <f t="shared" si="626"/>
        <v>308.75</v>
      </c>
      <c r="BU180" s="5">
        <f t="shared" si="627"/>
        <v>717.535</v>
      </c>
      <c r="BV180" s="1">
        <f t="shared" si="628"/>
        <v>40.8333333333333</v>
      </c>
      <c r="BW180" s="1">
        <f t="shared" si="629"/>
      </c>
      <c r="BX180" s="45">
        <f t="shared" si="630"/>
        <v>267.916666666667</v>
      </c>
      <c r="BY180" s="5">
        <f t="shared" si="631"/>
        <v>622.638333333334</v>
      </c>
      <c r="BZ180" s="1">
        <f t="shared" si="632"/>
        <v>56.5833333333333</v>
      </c>
      <c r="CB180" s="45">
        <f t="shared" si="633"/>
        <v>211.333333333333</v>
      </c>
      <c r="CC180" s="5">
        <f t="shared" si="634"/>
        <v>491.13866666667</v>
      </c>
      <c r="CD180" s="1">
        <f t="shared" si="635"/>
        <v>26.8333333333333</v>
      </c>
      <c r="CF180" s="45">
        <f t="shared" si="636"/>
        <v>184.5</v>
      </c>
      <c r="CG180" s="5">
        <f t="shared" si="637"/>
        <v>428.778</v>
      </c>
      <c r="CH180" s="1">
        <f t="shared" si="638"/>
        <v>52.5</v>
      </c>
      <c r="CJ180" s="45">
        <f t="shared" si="639"/>
        <v>132.0</v>
      </c>
      <c r="CK180" s="5">
        <f t="shared" si="640"/>
        <v>306.768</v>
      </c>
    </row>
    <row r="181" ht="17.0">
      <c r="A181" s="41" t="s">
        <v>30</v>
      </c>
      <c r="B181" s="10" t="s">
        <v>369</v>
      </c>
      <c r="C181" s="41" t="s">
        <v>395</v>
      </c>
      <c r="D181" s="55" t="s">
        <v>396</v>
      </c>
      <c r="E181" s="41">
        <v>0.0</v>
      </c>
      <c r="F181" s="41">
        <v>0.0</v>
      </c>
      <c r="G181" s="41">
        <v>0.0</v>
      </c>
      <c r="H181" s="41">
        <v>0.0</v>
      </c>
      <c r="I181" s="41">
        <v>0.0</v>
      </c>
      <c r="J181" s="41">
        <v>0.0</v>
      </c>
      <c r="K181" s="41">
        <v>0.0</v>
      </c>
      <c r="L181" s="41">
        <v>0.0</v>
      </c>
      <c r="M181" s="41">
        <v>0.0</v>
      </c>
      <c r="N181" s="41">
        <v>0.0</v>
      </c>
      <c r="O181" s="41">
        <v>0.0</v>
      </c>
      <c r="P181" s="41">
        <v>0.0</v>
      </c>
      <c r="Q181" s="41">
        <v>0.0</v>
      </c>
      <c r="R181" s="41">
        <v>0.0</v>
      </c>
      <c r="S181" s="41">
        <v>0.0</v>
      </c>
      <c r="T181" s="41">
        <v>0.0</v>
      </c>
      <c r="U181" s="41">
        <v>0.0</v>
      </c>
      <c r="V181" s="41">
        <v>0.0</v>
      </c>
      <c r="W181" s="41">
        <v>0.0</v>
      </c>
      <c r="X181" s="41">
        <v>0.0</v>
      </c>
      <c r="Y181" s="41">
        <v>11.0</v>
      </c>
      <c r="Z181" s="41">
        <v>28.0</v>
      </c>
      <c r="AA181" s="41">
        <v>28.0</v>
      </c>
      <c r="AB181" s="41">
        <v>44.0</v>
      </c>
      <c r="AC181" s="41">
        <v>20.0</v>
      </c>
      <c r="AD181" s="41">
        <v>40.0</v>
      </c>
      <c r="AE181" s="41">
        <v>16.0</v>
      </c>
      <c r="AF181" s="41">
        <v>16.0</v>
      </c>
      <c r="AG181" s="41">
        <v>12.0</v>
      </c>
      <c r="AH181" s="41">
        <v>12.0</v>
      </c>
      <c r="AI181" s="41">
        <v>8.0</v>
      </c>
      <c r="AJ181" s="41">
        <v>7.0</v>
      </c>
      <c r="AK181" s="41">
        <v>8.0</v>
      </c>
      <c r="AL181" s="41">
        <v>4.0</v>
      </c>
      <c r="AM181" s="43">
        <v>16.0</v>
      </c>
      <c r="AN181" s="43">
        <v>20.0</v>
      </c>
      <c r="AO181" s="43">
        <v>28.0</v>
      </c>
      <c r="AP181" s="43">
        <v>12.0</v>
      </c>
      <c r="AQ181" s="43">
        <v>8.0</v>
      </c>
      <c r="AR181" s="43">
        <v>4.0</v>
      </c>
      <c r="AS181" s="43">
        <v>10.0</v>
      </c>
      <c r="AT181" s="4">
        <f t="shared" si="4"/>
        <v>137.0</v>
      </c>
      <c r="AU181" s="4">
        <f t="shared" si="5"/>
        <v>55.0</v>
      </c>
      <c r="AV181" s="4">
        <f t="shared" si="6"/>
        <v>60.5</v>
      </c>
      <c r="AW181" s="1">
        <f t="shared" ref="AW181:AW182" si="648">AV181*$AW$4/$AV$4+4*$AW$183</f>
        <v>6.8095238095238</v>
      </c>
      <c r="AX181" s="1">
        <f t="shared" ref="AX181:AX182" si="649">AV181*$AX$4/$AV$4+4*$AX$183</f>
        <v>8.51190476190476</v>
      </c>
      <c r="AY181" s="1">
        <f t="shared" ref="AY181:AY182" si="650">AV181*$AY$4/$AV$4+4*$AY$183</f>
        <v>9.1666666666667</v>
      </c>
      <c r="AZ181" s="1">
        <f t="shared" ref="AZ181:AZ182" si="651">AV181*$AZ$4/$AV$4+4*$AZ$183</f>
        <v>12.70238095238</v>
      </c>
      <c r="BA181" s="1">
        <f t="shared" ref="BA181:BA182" si="652">AV181*$BA$4/$AV$4+4*$BA$183</f>
        <v>6.02380952380952</v>
      </c>
      <c r="BB181" s="1">
        <f t="shared" ref="BB181:BB182" si="653">AV181*$BB$4/$AV$4+4*$BB$183</f>
        <v>11.7857142857142</v>
      </c>
      <c r="BC181" s="4">
        <f t="shared" si="478"/>
        <v>54.999999999999</v>
      </c>
      <c r="BD181" s="3">
        <f>VLOOKUP(D181,FEB23SOH,2,false)</f>
        <v>681.0</v>
      </c>
      <c r="BE181" s="44">
        <f>VLOOKUP(D181,UNITVALUE,4,false)</f>
        <v>1.7844</v>
      </c>
      <c r="BF181" s="44">
        <f t="shared" si="16"/>
        <v>1215.1764</v>
      </c>
      <c r="BI181" s="6">
        <f t="shared" si="618"/>
        <v>626.000000000001</v>
      </c>
      <c r="BJ181" s="1">
        <v>1002.0</v>
      </c>
      <c r="BK181" s="53" t="s">
        <v>0</v>
      </c>
      <c r="BM181" s="1">
        <f t="shared" si="620"/>
        <v>681.0</v>
      </c>
      <c r="BN181" s="1">
        <f t="shared" si="621"/>
        <v>6.8095238095238</v>
      </c>
      <c r="BP181" s="45">
        <f t="shared" si="622"/>
        <v>674.190476190476</v>
      </c>
      <c r="BQ181" s="5">
        <f t="shared" si="623"/>
        <v>1203.02548571429</v>
      </c>
      <c r="BR181" s="1">
        <f t="shared" si="624"/>
        <v>8.51190476190476</v>
      </c>
      <c r="BS181" s="1">
        <f t="shared" si="625"/>
      </c>
      <c r="BT181" s="45">
        <f t="shared" si="626"/>
        <v>665.678571428571</v>
      </c>
      <c r="BU181" s="5">
        <f t="shared" si="627"/>
        <v>1187.83684285714</v>
      </c>
      <c r="BV181" s="1">
        <f t="shared" si="628"/>
        <v>9.1666666666667</v>
      </c>
      <c r="BW181" s="1">
        <f t="shared" si="629"/>
      </c>
      <c r="BX181" s="45">
        <f t="shared" si="630"/>
        <v>656.511904761904</v>
      </c>
      <c r="BY181" s="5">
        <f t="shared" si="631"/>
        <v>1171.47984285714</v>
      </c>
      <c r="BZ181" s="1">
        <f t="shared" si="632"/>
        <v>12.70238095238</v>
      </c>
      <c r="CB181" s="45">
        <f t="shared" si="633"/>
        <v>643.809523809524</v>
      </c>
      <c r="CC181" s="5">
        <f t="shared" si="634"/>
        <v>1148.81371428571</v>
      </c>
      <c r="CD181" s="1">
        <f t="shared" si="635"/>
        <v>6.02380952380952</v>
      </c>
      <c r="CF181" s="45">
        <f t="shared" si="636"/>
        <v>637.785714285714</v>
      </c>
      <c r="CG181" s="5">
        <f t="shared" si="637"/>
        <v>1138.06482857142</v>
      </c>
      <c r="CH181" s="1">
        <f t="shared" si="638"/>
        <v>11.7857142857142</v>
      </c>
      <c r="CJ181" s="45">
        <f t="shared" si="639"/>
        <v>626.0</v>
      </c>
      <c r="CK181" s="5">
        <f t="shared" si="640"/>
        <v>1117.0344</v>
      </c>
    </row>
    <row r="182" ht="17.0">
      <c r="A182" s="41" t="s">
        <v>30</v>
      </c>
      <c r="B182" s="10" t="s">
        <v>369</v>
      </c>
      <c r="C182" s="41" t="s">
        <v>397</v>
      </c>
      <c r="D182" s="55" t="s">
        <v>398</v>
      </c>
      <c r="E182" s="41">
        <v>0.0</v>
      </c>
      <c r="F182" s="41">
        <v>0.0</v>
      </c>
      <c r="G182" s="41">
        <v>0.0</v>
      </c>
      <c r="H182" s="41">
        <v>0.0</v>
      </c>
      <c r="I182" s="41">
        <v>0.0</v>
      </c>
      <c r="J182" s="41">
        <v>0.0</v>
      </c>
      <c r="K182" s="41">
        <v>0.0</v>
      </c>
      <c r="L182" s="41">
        <v>0.0</v>
      </c>
      <c r="M182" s="41">
        <v>0.0</v>
      </c>
      <c r="N182" s="41">
        <v>0.0</v>
      </c>
      <c r="O182" s="41">
        <v>0.0</v>
      </c>
      <c r="P182" s="41">
        <v>0.0</v>
      </c>
      <c r="Q182" s="41">
        <v>0.0</v>
      </c>
      <c r="R182" s="41">
        <v>0.0</v>
      </c>
      <c r="S182" s="41">
        <v>0.0</v>
      </c>
      <c r="T182" s="41">
        <v>0.0</v>
      </c>
      <c r="U182" s="41">
        <v>0.0</v>
      </c>
      <c r="V182" s="41">
        <v>0.0</v>
      </c>
      <c r="W182" s="41">
        <v>0.0</v>
      </c>
      <c r="X182" s="41">
        <v>0.0</v>
      </c>
      <c r="Y182" s="41">
        <v>6.0</v>
      </c>
      <c r="Z182" s="41">
        <v>30.0</v>
      </c>
      <c r="AA182" s="41">
        <v>12.0</v>
      </c>
      <c r="AB182" s="41">
        <v>28.0</v>
      </c>
      <c r="AC182" s="41">
        <v>20.0</v>
      </c>
      <c r="AD182" s="41">
        <v>28.0</v>
      </c>
      <c r="AE182" s="41">
        <v>8.0</v>
      </c>
      <c r="AF182" s="41">
        <v>4.0</v>
      </c>
      <c r="AG182" s="41">
        <v>20.0</v>
      </c>
      <c r="AH182" s="41">
        <v>4.0</v>
      </c>
      <c r="AI182" s="41">
        <v>16.0</v>
      </c>
      <c r="AJ182" s="41">
        <v>8.0</v>
      </c>
      <c r="AK182" s="41">
        <v>4.0</v>
      </c>
      <c r="AL182" s="41">
        <v>4.0</v>
      </c>
      <c r="AM182" s="43">
        <v>12.0</v>
      </c>
      <c r="AN182" s="43">
        <v>8.0</v>
      </c>
      <c r="AO182" s="43">
        <v>8.0</v>
      </c>
      <c r="AP182" s="43">
        <v>8.0</v>
      </c>
      <c r="AQ182" s="43">
        <v>0.0</v>
      </c>
      <c r="AR182" s="43">
        <v>0.0</v>
      </c>
      <c r="AS182" s="43">
        <v>10.0</v>
      </c>
      <c r="AT182" s="4">
        <f t="shared" si="4"/>
        <v>82.0</v>
      </c>
      <c r="AU182" s="4">
        <f t="shared" si="5"/>
        <v>48.0</v>
      </c>
      <c r="AV182" s="4">
        <f t="shared" si="6"/>
        <v>52.8</v>
      </c>
      <c r="AW182" s="1">
        <f t="shared" si="648"/>
        <v>5.94285714285714</v>
      </c>
      <c r="AX182" s="1">
        <f t="shared" si="649"/>
        <v>7.42857142857142</v>
      </c>
      <c r="AY182" s="1">
        <f t="shared" si="650"/>
        <v>8.0</v>
      </c>
      <c r="AZ182" s="1">
        <f t="shared" si="651"/>
        <v>11.0857142857142</v>
      </c>
      <c r="BA182" s="1">
        <f t="shared" si="652"/>
        <v>5.25714285714286</v>
      </c>
      <c r="BB182" s="1">
        <f t="shared" si="653"/>
        <v>10.2857142857142</v>
      </c>
      <c r="BC182" s="4">
        <f t="shared" si="478"/>
        <v>47.9999999999998</v>
      </c>
      <c r="BD182" s="3">
        <f>VLOOKUP(D182,FEB23SOH,2,false)</f>
        <v>796.0</v>
      </c>
      <c r="BE182" s="44">
        <f>VLOOKUP(D182,UNITVALUE,4,false)</f>
        <v>1.7843</v>
      </c>
      <c r="BF182" s="44">
        <f t="shared" si="16"/>
        <v>1420.3028</v>
      </c>
      <c r="BI182" s="6">
        <f t="shared" si="618"/>
        <v>748.0</v>
      </c>
      <c r="BJ182" s="1">
        <v>1002.0</v>
      </c>
      <c r="BK182" s="53" t="s">
        <v>0</v>
      </c>
      <c r="BM182" s="1">
        <f t="shared" si="620"/>
        <v>796.0</v>
      </c>
      <c r="BN182" s="1">
        <f t="shared" si="621"/>
        <v>5.94285714285714</v>
      </c>
      <c r="BP182" s="45">
        <f t="shared" si="622"/>
        <v>790.057142857142</v>
      </c>
      <c r="BQ182" s="5">
        <f t="shared" si="623"/>
        <v>1409.69896</v>
      </c>
      <c r="BR182" s="1">
        <f t="shared" si="624"/>
        <v>7.42857142857142</v>
      </c>
      <c r="BS182" s="1">
        <f t="shared" si="625"/>
      </c>
      <c r="BT182" s="45">
        <f t="shared" si="626"/>
        <v>782.62857142857</v>
      </c>
      <c r="BU182" s="5">
        <f t="shared" si="627"/>
        <v>1396.44416</v>
      </c>
      <c r="BV182" s="1">
        <f t="shared" si="628"/>
        <v>8.0</v>
      </c>
      <c r="BW182" s="1">
        <f t="shared" si="629"/>
      </c>
      <c r="BX182" s="45">
        <f t="shared" si="630"/>
        <v>774.62857142857</v>
      </c>
      <c r="BY182" s="5">
        <f t="shared" si="631"/>
        <v>1382.16976</v>
      </c>
      <c r="BZ182" s="1">
        <f t="shared" si="632"/>
        <v>11.0857142857142</v>
      </c>
      <c r="CB182" s="45">
        <f t="shared" si="633"/>
        <v>763.54285714286</v>
      </c>
      <c r="CC182" s="5">
        <f t="shared" si="634"/>
        <v>1362.38952</v>
      </c>
      <c r="CD182" s="1">
        <f t="shared" si="635"/>
        <v>5.25714285714286</v>
      </c>
      <c r="CF182" s="45">
        <f t="shared" si="636"/>
        <v>758.285714285717</v>
      </c>
      <c r="CG182" s="5">
        <f t="shared" si="637"/>
        <v>1353.0092</v>
      </c>
      <c r="CH182" s="1">
        <f t="shared" si="638"/>
        <v>10.2857142857142</v>
      </c>
      <c r="CJ182" s="45">
        <f t="shared" si="639"/>
        <v>748.000000000002</v>
      </c>
      <c r="CK182" s="5">
        <f t="shared" si="640"/>
        <v>1334.6564</v>
      </c>
    </row>
    <row r="183" ht="17.0">
      <c r="A183" s="46" t="s">
        <v>30</v>
      </c>
      <c r="B183" s="46" t="s">
        <v>369</v>
      </c>
      <c r="C183" s="46" t="s">
        <v>399</v>
      </c>
      <c r="D183" s="47" t="s">
        <v>400</v>
      </c>
      <c r="E183" s="41">
        <v>3.0</v>
      </c>
      <c r="F183" s="41">
        <v>7.0</v>
      </c>
      <c r="G183" s="41">
        <v>1.0</v>
      </c>
      <c r="H183" s="41">
        <v>0.0</v>
      </c>
      <c r="I183" s="41">
        <v>2.0</v>
      </c>
      <c r="J183" s="41">
        <v>1.0</v>
      </c>
      <c r="K183" s="41">
        <v>2.0</v>
      </c>
      <c r="L183" s="41">
        <v>0.0</v>
      </c>
      <c r="M183" s="41">
        <v>0.0</v>
      </c>
      <c r="N183" s="41">
        <v>1.0</v>
      </c>
      <c r="O183" s="41">
        <v>4.0</v>
      </c>
      <c r="P183" s="41">
        <v>1.0</v>
      </c>
      <c r="Q183" s="41">
        <v>6.0</v>
      </c>
      <c r="R183" s="41">
        <v>0.0</v>
      </c>
      <c r="S183" s="41">
        <v>0.0</v>
      </c>
      <c r="T183" s="41">
        <v>0.0</v>
      </c>
      <c r="U183" s="41">
        <v>2.0</v>
      </c>
      <c r="V183" s="41">
        <v>0.0</v>
      </c>
      <c r="W183" s="41">
        <v>1.0</v>
      </c>
      <c r="X183" s="41">
        <v>0.0</v>
      </c>
      <c r="Y183" s="41">
        <v>0.0</v>
      </c>
      <c r="Z183" s="41">
        <v>0.0</v>
      </c>
      <c r="AA183" s="41">
        <v>0.0</v>
      </c>
      <c r="AB183" s="41">
        <v>0.0</v>
      </c>
      <c r="AC183" s="41">
        <v>3.0</v>
      </c>
      <c r="AD183" s="41">
        <v>0.0</v>
      </c>
      <c r="AE183" s="41">
        <v>0.0</v>
      </c>
      <c r="AF183" s="41">
        <v>0.0</v>
      </c>
      <c r="AG183" s="41">
        <v>0.0</v>
      </c>
      <c r="AH183" s="41">
        <v>0.0</v>
      </c>
      <c r="AI183" s="41">
        <v>0.0</v>
      </c>
      <c r="AJ183" s="41">
        <v>0.0</v>
      </c>
      <c r="AK183" s="41">
        <v>0.0</v>
      </c>
      <c r="AL183" s="41">
        <v>0.0</v>
      </c>
      <c r="AM183" s="43">
        <v>0.0</v>
      </c>
      <c r="AN183" s="43">
        <v>1.0</v>
      </c>
      <c r="AO183" s="43">
        <v>0.0</v>
      </c>
      <c r="AP183" s="43">
        <v>1.0</v>
      </c>
      <c r="AQ183" s="43">
        <v>1.0</v>
      </c>
      <c r="AR183" s="43">
        <v>0.0</v>
      </c>
      <c r="AS183" s="43">
        <v>0.0</v>
      </c>
      <c r="AT183" s="4">
        <f t="shared" si="4"/>
        <v>3.0</v>
      </c>
      <c r="AU183" s="4">
        <f t="shared" si="5"/>
        <v>0.0</v>
      </c>
      <c r="AV183" s="4">
        <f t="shared" si="6"/>
        <v>0.0</v>
      </c>
      <c r="AW183" s="48">
        <f>AV183*$AW$4/$AV$4</f>
        <v>0.0</v>
      </c>
      <c r="AX183" s="48">
        <f>AV183*$AX$4/$AV$4</f>
        <v>0.0</v>
      </c>
      <c r="AY183" s="48">
        <f>AV183*$AY$4/$AV$4</f>
        <v>0.0</v>
      </c>
      <c r="AZ183" s="48">
        <f>AV183*$AZ$4/$AV$4</f>
        <v>0.0</v>
      </c>
      <c r="BA183" s="48">
        <f>AV183*$BA$4/$AV$4</f>
        <v>0.0</v>
      </c>
      <c r="BB183" s="48">
        <f>AV183*$BB$4/$AV$4</f>
        <v>0.0</v>
      </c>
      <c r="BC183" s="4">
        <f t="shared" si="478"/>
        <v>0.0</v>
      </c>
      <c r="BD183" s="3">
        <f>VLOOKUP(D183,FEB23SOH,2,false)</f>
        <v>0.0</v>
      </c>
      <c r="BE183" s="44">
        <f>VLOOKUP(D183,UNITVALUE,4,false)</f>
      </c>
      <c r="BF183" s="44">
        <f t="shared" si="16"/>
        <v>0.0</v>
      </c>
      <c r="BJ183" s="1">
        <f>VLOOKUP(C183,MOQ,3,FALSE())</f>
      </c>
      <c r="BK183" s="50"/>
      <c r="BP183" s="45"/>
      <c r="BT183" s="45"/>
      <c r="BU183" s="5"/>
      <c r="BX183" s="45"/>
      <c r="BY183" s="5"/>
      <c r="CB183" s="45"/>
      <c r="CC183" s="5"/>
      <c r="CF183" s="45"/>
      <c r="CG183" s="5"/>
      <c r="CJ183" s="45"/>
      <c r="CK183" s="5"/>
      <c r="CL183" s="49"/>
      <c r="CM183" s="49"/>
      <c r="CN183" s="49"/>
      <c r="CO183" s="49"/>
      <c r="CP183" s="49"/>
      <c r="CQ183" s="49"/>
      <c r="CR183" s="49"/>
      <c r="CS183" s="49"/>
      <c r="CT183" s="49"/>
      <c r="CU183" s="49"/>
      <c r="CV183" s="49"/>
      <c r="CW183" s="49"/>
      <c r="CX183" s="49"/>
      <c r="CY183" s="49"/>
      <c r="CZ183" s="49"/>
      <c r="DA183" s="49"/>
      <c r="DB183" s="49"/>
      <c r="DC183" s="49"/>
      <c r="DD183" s="49"/>
      <c r="DE183" s="49"/>
      <c r="DF183" s="49"/>
      <c r="DG183" s="49"/>
      <c r="DH183" s="49"/>
      <c r="DI183" s="49"/>
      <c r="DJ183" s="49"/>
      <c r="DK183" s="49"/>
    </row>
    <row r="184" ht="17.0">
      <c r="A184" s="41" t="s">
        <v>30</v>
      </c>
      <c r="B184" s="10" t="s">
        <v>401</v>
      </c>
      <c r="C184" s="41" t="s">
        <v>402</v>
      </c>
      <c r="D184" s="55" t="s">
        <v>403</v>
      </c>
      <c r="E184" s="41">
        <v>0.0</v>
      </c>
      <c r="F184" s="41">
        <v>0.0</v>
      </c>
      <c r="G184" s="41">
        <v>0.0</v>
      </c>
      <c r="H184" s="41">
        <v>0.0</v>
      </c>
      <c r="I184" s="41">
        <v>0.0</v>
      </c>
      <c r="J184" s="41">
        <v>0.0</v>
      </c>
      <c r="K184" s="41">
        <v>0.0</v>
      </c>
      <c r="L184" s="41">
        <v>0.0</v>
      </c>
      <c r="M184" s="41">
        <v>0.0</v>
      </c>
      <c r="N184" s="41">
        <v>0.0</v>
      </c>
      <c r="O184" s="41">
        <v>0.0</v>
      </c>
      <c r="P184" s="41">
        <v>0.0</v>
      </c>
      <c r="Q184" s="41">
        <v>4.0</v>
      </c>
      <c r="R184" s="41">
        <v>269.0</v>
      </c>
      <c r="S184" s="41">
        <v>84.0</v>
      </c>
      <c r="T184" s="41">
        <v>28.0</v>
      </c>
      <c r="U184" s="41">
        <v>44.0</v>
      </c>
      <c r="V184" s="41">
        <v>77.0</v>
      </c>
      <c r="W184" s="41">
        <v>0.0</v>
      </c>
      <c r="X184" s="41">
        <v>0.0</v>
      </c>
      <c r="Y184" s="41">
        <v>8.0</v>
      </c>
      <c r="Z184" s="41">
        <v>6.0</v>
      </c>
      <c r="AA184" s="41">
        <v>64.0</v>
      </c>
      <c r="AB184" s="41">
        <v>88.0</v>
      </c>
      <c r="AC184" s="41">
        <v>76.0</v>
      </c>
      <c r="AD184" s="41">
        <v>100.0</v>
      </c>
      <c r="AE184" s="41">
        <v>40.0</v>
      </c>
      <c r="AF184" s="41">
        <v>8.0</v>
      </c>
      <c r="AG184" s="41">
        <v>24.0</v>
      </c>
      <c r="AH184" s="41">
        <v>24.0</v>
      </c>
      <c r="AI184" s="41">
        <v>20.0</v>
      </c>
      <c r="AJ184" s="41">
        <v>12.0</v>
      </c>
      <c r="AK184" s="41">
        <v>8.0</v>
      </c>
      <c r="AL184" s="41">
        <v>20.0</v>
      </c>
      <c r="AM184" s="43">
        <v>44.0</v>
      </c>
      <c r="AN184" s="43">
        <v>64.0</v>
      </c>
      <c r="AO184" s="43">
        <v>32.0</v>
      </c>
      <c r="AP184" s="43">
        <v>100.0</v>
      </c>
      <c r="AQ184" s="43">
        <v>16.0</v>
      </c>
      <c r="AR184" s="43">
        <v>20.0</v>
      </c>
      <c r="AS184" s="43">
        <v>26.0</v>
      </c>
      <c r="AT184" s="4">
        <f t="shared" si="4"/>
        <v>386.0</v>
      </c>
      <c r="AU184" s="4">
        <f t="shared" si="5"/>
        <v>128.0</v>
      </c>
      <c r="AV184" s="4">
        <f t="shared" si="6"/>
        <v>140.8</v>
      </c>
      <c r="AW184" s="1">
        <f t="shared" ref="AW184:AW186" si="661">AV184*$AW$4/$AV$4+4*$AW$361</f>
        <v>16.9234811165845</v>
      </c>
      <c r="AX184" s="1">
        <f t="shared" ref="AX184:AX186" si="662">AV184*$AX$4/$AV$4+4*$AX$361</f>
        <v>21.1543513957307</v>
      </c>
      <c r="AY184" s="1">
        <f t="shared" ref="AY184:AY186" si="663">AV184*$AY$4/$AV$4+4*$AY$361</f>
        <v>22.7816091954022</v>
      </c>
      <c r="AZ184" s="1">
        <f t="shared" ref="AZ184:AZ186" si="664">AV184*$AZ$4/$AV$4+4*$AZ$361</f>
        <v>31.5688013136289</v>
      </c>
      <c r="BA184" s="1">
        <f t="shared" ref="BA184:BA186" si="665">AV184*$BA$4/$AV$4+4*$BA$361</f>
        <v>30.0190476190476</v>
      </c>
      <c r="BB184" s="1">
        <f t="shared" ref="BB184:BB186" si="666">AV184*$BB$4/$AV$4+4*$BB$361</f>
        <v>39.4285714285714</v>
      </c>
      <c r="BC184" s="4">
        <f t="shared" si="478"/>
        <v>161.875862068965</v>
      </c>
      <c r="BD184" s="3">
        <f>VLOOKUP(D184,FEB23SOH,2,false)</f>
        <v>161.0</v>
      </c>
      <c r="BE184" s="44">
        <f>VLOOKUP(D184,UNITVALUE,4,false)</f>
        <v>2.1746</v>
      </c>
      <c r="BF184" s="44">
        <f t="shared" si="16"/>
        <v>350.1106</v>
      </c>
      <c r="BI184" s="6">
        <f t="shared" ref="BI184:BI208" si="667">BD184+BG184+BH184-BC184</f>
        <v>-0.875862068965004</v>
      </c>
      <c r="BJ184" s="1">
        <f>VLOOKUP(C184,MOQ,3,FALSE())</f>
        <v>504.0</v>
      </c>
      <c r="BK184" s="53" t="s">
        <v>0</v>
      </c>
      <c r="BL184" s="8" t="s">
        <v>10</v>
      </c>
      <c r="BM184" s="1">
        <f t="shared" ref="BM184:BM208" si="668">BD184</f>
        <v>161.0</v>
      </c>
      <c r="BN184" s="1">
        <f t="shared" ref="BN184:BN208" si="669">AW184</f>
        <v>16.9234811165845</v>
      </c>
      <c r="BP184" s="45">
        <f t="shared" ref="BP184:BP208" si="670">BM184+BO184-BN184</f>
        <v>144.07651888341</v>
      </c>
      <c r="BQ184" s="5">
        <f t="shared" ref="BQ184:BQ198" si="671">BP184*BE184</f>
        <v>313.308797963863</v>
      </c>
      <c r="BR184" s="1">
        <f t="shared" ref="BR184:BR208" si="672">AX184</f>
        <v>21.1543513957307</v>
      </c>
      <c r="BS184" s="1">
        <f t="shared" ref="BS184:BS208" si="673">BG184</f>
      </c>
      <c r="BT184" s="45">
        <f t="shared" ref="BT184:BT208" si="674">BP184+BS184-BR184</f>
        <v>122.922167487679</v>
      </c>
      <c r="BU184" s="5">
        <f t="shared" ref="BU184:BU186" si="675">BT184*BE184</f>
        <v>267.306545418707</v>
      </c>
      <c r="BV184" s="1">
        <f t="shared" ref="BV184:BV208" si="676">AY184</f>
        <v>22.7816091954022</v>
      </c>
      <c r="BW184" s="1">
        <f t="shared" ref="BW184:BW208" si="677">BG184</f>
      </c>
      <c r="BX184" s="45">
        <f t="shared" ref="BX184:BX208" si="678">BT184+BW184-BV184</f>
        <v>100.14055829228</v>
      </c>
      <c r="BY184" s="5">
        <f t="shared" ref="BY184:BY185" si="679">BX184*BE184</f>
        <v>217.765658062392</v>
      </c>
      <c r="BZ184" s="1">
        <f t="shared" ref="BZ184:BZ208" si="680">AZ184</f>
        <v>31.5688013136289</v>
      </c>
      <c r="CB184" s="45">
        <f t="shared" ref="CB184:CB208" si="681">BX184+CA184-BZ184</f>
        <v>68.5717569786511</v>
      </c>
      <c r="CC184" s="5">
        <f t="shared" ref="CC184:CC185" si="682">CB184*BE184</f>
        <v>149.116142725774</v>
      </c>
      <c r="CD184" s="1">
        <f t="shared" ref="CD184:CD208" si="683">BA184</f>
        <v>30.0190476190476</v>
      </c>
      <c r="CF184" s="45">
        <f t="shared" ref="CF184:CF208" si="684">CB184+CE184-CD184</f>
        <v>38.5527093596035</v>
      </c>
      <c r="CG184" s="5">
        <f t="shared" ref="CG184:CG185" si="685">CF184*BE184</f>
        <v>83.8367217733938</v>
      </c>
      <c r="CH184" s="1">
        <f t="shared" ref="CH184:CH208" si="686">BB184</f>
        <v>39.4285714285714</v>
      </c>
      <c r="CJ184" s="45">
        <f t="shared" ref="CJ184:CJ208" si="687">CF184+CI184-CH184</f>
        <v>-0.875862068967904</v>
      </c>
      <c r="CK184" s="5">
        <f t="shared" ref="CK184:CK185" si="688">CJ184*BE184</f>
        <v>-1.9046496551776</v>
      </c>
    </row>
    <row r="185" ht="17.0">
      <c r="A185" s="41" t="s">
        <v>30</v>
      </c>
      <c r="B185" s="10" t="s">
        <v>401</v>
      </c>
      <c r="C185" s="41" t="s">
        <v>404</v>
      </c>
      <c r="D185" s="55" t="s">
        <v>405</v>
      </c>
      <c r="E185" s="41">
        <v>0.0</v>
      </c>
      <c r="F185" s="41">
        <v>0.0</v>
      </c>
      <c r="G185" s="41">
        <v>0.0</v>
      </c>
      <c r="H185" s="41">
        <v>0.0</v>
      </c>
      <c r="I185" s="41">
        <v>0.0</v>
      </c>
      <c r="J185" s="41">
        <v>0.0</v>
      </c>
      <c r="K185" s="41">
        <v>0.0</v>
      </c>
      <c r="L185" s="41">
        <v>0.0</v>
      </c>
      <c r="M185" s="41">
        <v>0.0</v>
      </c>
      <c r="N185" s="41">
        <v>0.0</v>
      </c>
      <c r="O185" s="41">
        <v>0.0</v>
      </c>
      <c r="P185" s="41">
        <v>0.0</v>
      </c>
      <c r="Q185" s="41">
        <v>0.0</v>
      </c>
      <c r="R185" s="41">
        <v>125.0</v>
      </c>
      <c r="S185" s="41">
        <v>28.0</v>
      </c>
      <c r="T185" s="41">
        <v>20.0</v>
      </c>
      <c r="U185" s="41">
        <v>16.0</v>
      </c>
      <c r="V185" s="41">
        <v>20.0</v>
      </c>
      <c r="W185" s="41">
        <v>12.0</v>
      </c>
      <c r="X185" s="41">
        <v>4.0</v>
      </c>
      <c r="Y185" s="41">
        <v>4.0</v>
      </c>
      <c r="Z185" s="41">
        <v>6.0</v>
      </c>
      <c r="AA185" s="41">
        <v>24.0</v>
      </c>
      <c r="AB185" s="41">
        <v>12.0</v>
      </c>
      <c r="AC185" s="41">
        <v>20.0</v>
      </c>
      <c r="AD185" s="41">
        <v>16.0</v>
      </c>
      <c r="AE185" s="41">
        <v>8.0</v>
      </c>
      <c r="AF185" s="41">
        <v>8.0</v>
      </c>
      <c r="AG185" s="41">
        <v>12.0</v>
      </c>
      <c r="AH185" s="41">
        <v>0.0</v>
      </c>
      <c r="AI185" s="41">
        <v>0.0</v>
      </c>
      <c r="AJ185" s="41">
        <v>8.0</v>
      </c>
      <c r="AK185" s="41">
        <v>0.0</v>
      </c>
      <c r="AL185" s="41">
        <v>8.0</v>
      </c>
      <c r="AM185" s="43">
        <v>16.0</v>
      </c>
      <c r="AN185" s="43">
        <v>32.0</v>
      </c>
      <c r="AO185" s="43">
        <v>8.0</v>
      </c>
      <c r="AP185" s="43">
        <v>72.0</v>
      </c>
      <c r="AQ185" s="43">
        <v>24.0</v>
      </c>
      <c r="AR185" s="43">
        <v>4.0</v>
      </c>
      <c r="AS185" s="43">
        <v>21.0</v>
      </c>
      <c r="AT185" s="4">
        <f t="shared" si="4"/>
        <v>193.0</v>
      </c>
      <c r="AU185" s="4">
        <f t="shared" si="5"/>
        <v>32.0</v>
      </c>
      <c r="AV185" s="4">
        <f t="shared" si="6"/>
        <v>35.2</v>
      </c>
      <c r="AW185" s="1">
        <f t="shared" si="661"/>
        <v>5.03776683087027</v>
      </c>
      <c r="AX185" s="1">
        <f t="shared" si="662"/>
        <v>6.29720853858784</v>
      </c>
      <c r="AY185" s="1">
        <f t="shared" si="663"/>
        <v>6.78160919540229</v>
      </c>
      <c r="AZ185" s="1">
        <f t="shared" si="664"/>
        <v>9.39737274220032</v>
      </c>
      <c r="BA185" s="1">
        <f t="shared" si="665"/>
        <v>19.5047619047619</v>
      </c>
      <c r="BB185" s="1">
        <f t="shared" si="666"/>
        <v>18.8571428571429</v>
      </c>
      <c r="BC185" s="4">
        <f t="shared" si="478"/>
        <v>65.8758620689655</v>
      </c>
      <c r="BD185" s="3">
        <f>VLOOKUP(D185,FEB23SOH,2,false)</f>
        <v>424.0</v>
      </c>
      <c r="BE185" s="44">
        <f>VLOOKUP(D185,UNITVALUE,4,false)</f>
        <v>6.1888</v>
      </c>
      <c r="BF185" s="44">
        <f t="shared" si="16"/>
        <v>2624.0512</v>
      </c>
      <c r="BI185" s="6">
        <f t="shared" si="667"/>
        <v>358.124137931034</v>
      </c>
      <c r="BJ185" s="1">
        <f>VLOOKUP(C185,MOQ,3,FALSE())</f>
        <v>504.0</v>
      </c>
      <c r="BK185" s="53" t="s">
        <v>0</v>
      </c>
      <c r="BM185" s="1">
        <f t="shared" si="668"/>
        <v>424.0</v>
      </c>
      <c r="BN185" s="1">
        <f t="shared" si="669"/>
        <v>5.03776683087027</v>
      </c>
      <c r="BP185" s="45">
        <f t="shared" si="670"/>
        <v>418.96223316913</v>
      </c>
      <c r="BQ185" s="5">
        <f t="shared" si="671"/>
        <v>2592.87346863711</v>
      </c>
      <c r="BR185" s="1">
        <f t="shared" si="672"/>
        <v>6.29720853858784</v>
      </c>
      <c r="BS185" s="1">
        <f t="shared" si="673"/>
      </c>
      <c r="BT185" s="45">
        <f t="shared" si="674"/>
        <v>412.665024630542</v>
      </c>
      <c r="BU185" s="5">
        <f t="shared" si="675"/>
        <v>2553.9013044335</v>
      </c>
      <c r="BV185" s="1">
        <f t="shared" si="676"/>
        <v>6.78160919540229</v>
      </c>
      <c r="BW185" s="1">
        <f t="shared" si="677"/>
      </c>
      <c r="BX185" s="45">
        <f t="shared" si="678"/>
        <v>405.88341543514</v>
      </c>
      <c r="BY185" s="5">
        <f t="shared" si="679"/>
        <v>2511.93128144499</v>
      </c>
      <c r="BZ185" s="1">
        <f t="shared" si="680"/>
        <v>9.39737274220032</v>
      </c>
      <c r="CB185" s="45">
        <f t="shared" si="681"/>
        <v>396.48604269294</v>
      </c>
      <c r="CC185" s="5">
        <f t="shared" si="682"/>
        <v>2453.77282101807</v>
      </c>
      <c r="CD185" s="1">
        <f t="shared" si="683"/>
        <v>19.5047619047619</v>
      </c>
      <c r="CF185" s="45">
        <f t="shared" si="684"/>
        <v>376.981280788178</v>
      </c>
      <c r="CG185" s="5">
        <f t="shared" si="685"/>
        <v>2333.06175054188</v>
      </c>
      <c r="CH185" s="1">
        <f t="shared" si="686"/>
        <v>18.8571428571429</v>
      </c>
      <c r="CJ185" s="45">
        <f t="shared" si="687"/>
        <v>358.124137931035</v>
      </c>
      <c r="CK185" s="5">
        <f t="shared" si="688"/>
        <v>2216.35866482759</v>
      </c>
    </row>
    <row r="186" ht="17.0">
      <c r="A186" s="41" t="s">
        <v>30</v>
      </c>
      <c r="B186" s="10" t="s">
        <v>401</v>
      </c>
      <c r="C186" s="41" t="s">
        <v>406</v>
      </c>
      <c r="D186" s="55" t="s">
        <v>407</v>
      </c>
      <c r="E186" s="41">
        <v>0.0</v>
      </c>
      <c r="F186" s="41">
        <v>0.0</v>
      </c>
      <c r="G186" s="41">
        <v>0.0</v>
      </c>
      <c r="H186" s="41">
        <v>0.0</v>
      </c>
      <c r="I186" s="41">
        <v>0.0</v>
      </c>
      <c r="J186" s="41">
        <v>0.0</v>
      </c>
      <c r="K186" s="41">
        <v>0.0</v>
      </c>
      <c r="L186" s="41">
        <v>0.0</v>
      </c>
      <c r="M186" s="41">
        <v>0.0</v>
      </c>
      <c r="N186" s="41">
        <v>0.0</v>
      </c>
      <c r="O186" s="41">
        <v>0.0</v>
      </c>
      <c r="P186" s="41">
        <v>0.0</v>
      </c>
      <c r="Q186" s="41">
        <v>4.0</v>
      </c>
      <c r="R186" s="41">
        <v>121.0</v>
      </c>
      <c r="S186" s="41">
        <v>40.0</v>
      </c>
      <c r="T186" s="41">
        <v>8.0</v>
      </c>
      <c r="U186" s="41">
        <v>24.0</v>
      </c>
      <c r="V186" s="41">
        <v>24.0</v>
      </c>
      <c r="W186" s="41">
        <v>12.0</v>
      </c>
      <c r="X186" s="41">
        <v>12.0</v>
      </c>
      <c r="Y186" s="41">
        <v>4.0</v>
      </c>
      <c r="Z186" s="41">
        <v>2.0</v>
      </c>
      <c r="AA186" s="41">
        <v>16.0</v>
      </c>
      <c r="AB186" s="41">
        <v>16.0</v>
      </c>
      <c r="AC186" s="41">
        <v>8.0</v>
      </c>
      <c r="AD186" s="41">
        <v>16.0</v>
      </c>
      <c r="AE186" s="41">
        <v>16.0</v>
      </c>
      <c r="AF186" s="41">
        <v>4.0</v>
      </c>
      <c r="AG186" s="41">
        <v>12.0</v>
      </c>
      <c r="AH186" s="41">
        <v>4.0</v>
      </c>
      <c r="AI186" s="41">
        <v>0.0</v>
      </c>
      <c r="AJ186" s="41">
        <v>8.0</v>
      </c>
      <c r="AK186" s="41">
        <v>4.0</v>
      </c>
      <c r="AL186" s="41">
        <v>4.0</v>
      </c>
      <c r="AM186" s="43">
        <v>24.0</v>
      </c>
      <c r="AN186" s="43">
        <v>12.0</v>
      </c>
      <c r="AO186" s="43">
        <v>18.0</v>
      </c>
      <c r="AP186" s="43">
        <v>20.0</v>
      </c>
      <c r="AQ186" s="43">
        <v>0.0</v>
      </c>
      <c r="AR186" s="43">
        <v>0.0</v>
      </c>
      <c r="AS186" s="43">
        <v>0.0</v>
      </c>
      <c r="AT186" s="4">
        <f t="shared" si="4"/>
        <v>94.0</v>
      </c>
      <c r="AU186" s="4">
        <f t="shared" si="5"/>
        <v>44.0</v>
      </c>
      <c r="AV186" s="4">
        <f t="shared" si="6"/>
        <v>48.4</v>
      </c>
      <c r="AW186" s="1">
        <f t="shared" si="661"/>
        <v>6.52348111658455</v>
      </c>
      <c r="AX186" s="1">
        <f t="shared" si="662"/>
        <v>8.1543513957307</v>
      </c>
      <c r="AY186" s="1">
        <f t="shared" si="663"/>
        <v>8.78160919540229</v>
      </c>
      <c r="AZ186" s="1">
        <f t="shared" si="664"/>
        <v>12.1688013136281</v>
      </c>
      <c r="BA186" s="1">
        <f t="shared" si="665"/>
        <v>20.8190476190476</v>
      </c>
      <c r="BB186" s="1">
        <f t="shared" si="666"/>
        <v>21.4285714285714</v>
      </c>
      <c r="BC186" s="4">
        <f t="shared" si="478"/>
        <v>77.8758620689646</v>
      </c>
      <c r="BD186" s="3">
        <f>VLOOKUP(D186,FEB23SOH,2,false)</f>
        <v>0.0</v>
      </c>
      <c r="BE186" s="44">
        <f>VLOOKUP(D186,UNITVALUE,4,false)</f>
      </c>
      <c r="BF186" s="44">
        <f t="shared" si="16"/>
        <v>0.0</v>
      </c>
      <c r="BI186" s="6">
        <f t="shared" si="667"/>
        <v>-77.8758620689646</v>
      </c>
      <c r="BJ186" s="1">
        <f>VLOOKUP(C186,MOQ,3,FALSE())</f>
        <v>504.0</v>
      </c>
      <c r="BK186" s="53" t="s">
        <v>0</v>
      </c>
      <c r="BL186" s="8" t="s">
        <v>68</v>
      </c>
      <c r="BM186" s="1">
        <f t="shared" si="668"/>
        <v>0.0</v>
      </c>
      <c r="BN186" s="1">
        <f t="shared" si="669"/>
        <v>6.52348111658455</v>
      </c>
      <c r="BP186" s="45">
        <f t="shared" si="670"/>
        <v>-6.52348111658455</v>
      </c>
      <c r="BQ186" s="5">
        <f t="shared" si="671"/>
        <v>0.0</v>
      </c>
      <c r="BR186" s="1">
        <f t="shared" si="672"/>
        <v>8.1543513957307</v>
      </c>
      <c r="BS186" s="1">
        <f t="shared" si="673"/>
      </c>
      <c r="BT186" s="45">
        <f t="shared" si="674"/>
        <v>-14.6778325123152</v>
      </c>
      <c r="BU186" s="5">
        <f t="shared" si="675"/>
        <v>0.0</v>
      </c>
      <c r="BV186" s="1">
        <f t="shared" si="676"/>
        <v>8.78160919540229</v>
      </c>
      <c r="BW186" s="1">
        <f t="shared" si="677"/>
      </c>
      <c r="BX186" s="45">
        <f t="shared" si="678"/>
        <v>-23.4594417077174</v>
      </c>
      <c r="BY186" s="5"/>
      <c r="BZ186" s="1">
        <f t="shared" si="680"/>
        <v>12.1688013136281</v>
      </c>
      <c r="CB186" s="45">
        <f t="shared" si="681"/>
        <v>-35.6282430213455</v>
      </c>
      <c r="CC186" s="5"/>
      <c r="CD186" s="1">
        <f t="shared" si="683"/>
        <v>20.8190476190476</v>
      </c>
      <c r="CF186" s="45">
        <f t="shared" si="684"/>
        <v>-56.447290640393</v>
      </c>
      <c r="CG186" s="5"/>
      <c r="CH186" s="1">
        <f t="shared" si="686"/>
        <v>21.4285714285714</v>
      </c>
      <c r="CJ186" s="45">
        <f t="shared" si="687"/>
        <v>-77.8758620689644</v>
      </c>
      <c r="CK186" s="5"/>
    </row>
    <row r="187" ht="17.0">
      <c r="A187" s="41" t="s">
        <v>30</v>
      </c>
      <c r="B187" s="10" t="s">
        <v>401</v>
      </c>
      <c r="C187" s="41" t="s">
        <v>408</v>
      </c>
      <c r="D187" s="42" t="s">
        <v>409</v>
      </c>
      <c r="E187" s="41">
        <v>0.0</v>
      </c>
      <c r="F187" s="41">
        <v>0.0</v>
      </c>
      <c r="G187" s="41">
        <v>0.0</v>
      </c>
      <c r="H187" s="41">
        <v>0.0</v>
      </c>
      <c r="I187" s="41">
        <v>0.0</v>
      </c>
      <c r="J187" s="41">
        <v>0.0</v>
      </c>
      <c r="K187" s="41">
        <v>0.0</v>
      </c>
      <c r="L187" s="41">
        <v>0.0</v>
      </c>
      <c r="M187" s="41">
        <v>0.0</v>
      </c>
      <c r="N187" s="41">
        <v>0.0</v>
      </c>
      <c r="O187" s="41">
        <v>0.0</v>
      </c>
      <c r="P187" s="41">
        <v>0.0</v>
      </c>
      <c r="Q187" s="41">
        <v>8.0</v>
      </c>
      <c r="R187" s="41">
        <v>101.0</v>
      </c>
      <c r="S187" s="41">
        <v>48.0</v>
      </c>
      <c r="T187" s="41">
        <v>16.0</v>
      </c>
      <c r="U187" s="41">
        <v>8.0</v>
      </c>
      <c r="V187" s="41">
        <v>16.0</v>
      </c>
      <c r="W187" s="41">
        <v>4.0</v>
      </c>
      <c r="X187" s="41">
        <v>8.0</v>
      </c>
      <c r="Y187" s="41">
        <v>4.0</v>
      </c>
      <c r="Z187" s="41">
        <v>6.0</v>
      </c>
      <c r="AA187" s="41">
        <v>40.0</v>
      </c>
      <c r="AB187" s="41">
        <v>28.0</v>
      </c>
      <c r="AC187" s="41">
        <v>16.0</v>
      </c>
      <c r="AD187" s="41">
        <v>24.0</v>
      </c>
      <c r="AE187" s="41">
        <v>8.0</v>
      </c>
      <c r="AF187" s="41">
        <v>0.0</v>
      </c>
      <c r="AG187" s="41">
        <v>12.0</v>
      </c>
      <c r="AH187" s="41">
        <v>12.0</v>
      </c>
      <c r="AI187" s="41">
        <v>4.0</v>
      </c>
      <c r="AJ187" s="41">
        <v>0.0</v>
      </c>
      <c r="AK187" s="41">
        <v>0.0</v>
      </c>
      <c r="AL187" s="41">
        <v>12.0</v>
      </c>
      <c r="AM187" s="43">
        <v>8.0</v>
      </c>
      <c r="AN187" s="43">
        <v>12.0</v>
      </c>
      <c r="AO187" s="43">
        <v>16.0</v>
      </c>
      <c r="AP187" s="43">
        <v>28.0</v>
      </c>
      <c r="AQ187" s="43">
        <v>0.0</v>
      </c>
      <c r="AR187" s="43">
        <v>0.0</v>
      </c>
      <c r="AS187" s="43">
        <v>0.0</v>
      </c>
      <c r="AT187" s="4">
        <f t="shared" si="4"/>
        <v>92.0</v>
      </c>
      <c r="AU187" s="4">
        <f t="shared" si="5"/>
        <v>36.0</v>
      </c>
      <c r="AV187" s="4">
        <f t="shared" si="6"/>
        <v>39.6</v>
      </c>
      <c r="AW187" s="1">
        <f>AV187*$AW$4/$AV$4</f>
        <v>4.45714285714286</v>
      </c>
      <c r="AX187" s="1">
        <f>AV187*$AX$4/$AV$4</f>
        <v>5.57142857142857</v>
      </c>
      <c r="AY187" s="1">
        <f>AV187*$AY$4/$AV$4</f>
        <v>6.0</v>
      </c>
      <c r="AZ187" s="1">
        <f>AV187*$AZ$4/$AV$4</f>
        <v>8.31428571428571</v>
      </c>
      <c r="BA187" s="1">
        <f>AV187*$BA$4/$AV$4</f>
        <v>3.94285714285714</v>
      </c>
      <c r="BB187" s="1">
        <f>AV187*$BB$4/$AV$4</f>
        <v>7.71428571428571</v>
      </c>
      <c r="BC187" s="4">
        <f t="shared" si="478"/>
        <v>36.0</v>
      </c>
      <c r="BD187" s="3">
        <f>VLOOKUP(D187,FEB23SOH,2,false)</f>
        <v>0.0</v>
      </c>
      <c r="BE187" s="44">
        <f>VLOOKUP(D187,UNITVALUE,4,false)</f>
      </c>
      <c r="BF187" s="44">
        <f t="shared" si="16"/>
        <v>0.0</v>
      </c>
      <c r="BI187" s="6">
        <f t="shared" si="667"/>
        <v>-36.0</v>
      </c>
      <c r="BJ187" s="1">
        <f>VLOOKUP(C187,MOQ,3,FALSE())</f>
        <v>504.0</v>
      </c>
      <c r="BK187" s="53" t="s">
        <v>0</v>
      </c>
      <c r="BL187" s="8" t="s">
        <v>68</v>
      </c>
      <c r="BM187" s="1">
        <f t="shared" si="668"/>
        <v>0.0</v>
      </c>
      <c r="BN187" s="1">
        <f t="shared" si="669"/>
        <v>4.45714285714286</v>
      </c>
      <c r="BP187" s="45">
        <f t="shared" si="670"/>
        <v>-4.45714285714286</v>
      </c>
      <c r="BQ187" s="5">
        <f t="shared" si="671"/>
        <v>0.0</v>
      </c>
      <c r="BR187" s="1">
        <f t="shared" si="672"/>
        <v>5.57142857142857</v>
      </c>
      <c r="BS187" s="1">
        <f t="shared" si="673"/>
      </c>
      <c r="BT187" s="45">
        <f t="shared" si="674"/>
        <v>-10.0285714285714</v>
      </c>
      <c r="BU187" s="5"/>
      <c r="BV187" s="1">
        <f t="shared" si="676"/>
        <v>6.0</v>
      </c>
      <c r="BW187" s="1">
        <f t="shared" si="677"/>
      </c>
      <c r="BX187" s="45">
        <f t="shared" si="678"/>
        <v>-16.0285714285714</v>
      </c>
      <c r="BY187" s="5"/>
      <c r="BZ187" s="1">
        <f t="shared" si="680"/>
        <v>8.31428571428571</v>
      </c>
      <c r="CB187" s="45">
        <f t="shared" si="681"/>
        <v>-24.3428571428571</v>
      </c>
      <c r="CC187" s="5"/>
      <c r="CD187" s="1">
        <f t="shared" si="683"/>
        <v>3.94285714285714</v>
      </c>
      <c r="CF187" s="45">
        <f t="shared" si="684"/>
        <v>-28.2857142857142</v>
      </c>
      <c r="CG187" s="5"/>
      <c r="CH187" s="1">
        <f t="shared" si="686"/>
        <v>7.71428571428571</v>
      </c>
      <c r="CJ187" s="45">
        <f t="shared" si="687"/>
        <v>-35.9999999999999</v>
      </c>
      <c r="CK187" s="5"/>
    </row>
    <row r="188" ht="17.0">
      <c r="A188" s="41" t="s">
        <v>30</v>
      </c>
      <c r="B188" s="10" t="s">
        <v>401</v>
      </c>
      <c r="C188" s="41" t="s">
        <v>410</v>
      </c>
      <c r="D188" s="55" t="s">
        <v>411</v>
      </c>
      <c r="E188" s="41">
        <v>0.0</v>
      </c>
      <c r="F188" s="41">
        <v>0.0</v>
      </c>
      <c r="G188" s="41">
        <v>0.0</v>
      </c>
      <c r="H188" s="41">
        <v>0.0</v>
      </c>
      <c r="I188" s="41">
        <v>0.0</v>
      </c>
      <c r="J188" s="41">
        <v>0.0</v>
      </c>
      <c r="K188" s="41">
        <v>0.0</v>
      </c>
      <c r="L188" s="41">
        <v>0.0</v>
      </c>
      <c r="M188" s="41">
        <v>0.0</v>
      </c>
      <c r="N188" s="41">
        <v>0.0</v>
      </c>
      <c r="O188" s="41">
        <v>0.0</v>
      </c>
      <c r="P188" s="41">
        <v>0.0</v>
      </c>
      <c r="Q188" s="41">
        <v>0.0</v>
      </c>
      <c r="R188" s="41">
        <v>165.0</v>
      </c>
      <c r="S188" s="41">
        <v>36.0</v>
      </c>
      <c r="T188" s="41">
        <v>12.0</v>
      </c>
      <c r="U188" s="41">
        <v>42.0</v>
      </c>
      <c r="V188" s="41">
        <v>36.0</v>
      </c>
      <c r="W188" s="41">
        <v>18.0</v>
      </c>
      <c r="X188" s="41">
        <v>12.0</v>
      </c>
      <c r="Y188" s="41">
        <v>18.0</v>
      </c>
      <c r="Z188" s="41">
        <v>20.0</v>
      </c>
      <c r="AA188" s="41">
        <v>30.0</v>
      </c>
      <c r="AB188" s="41">
        <v>12.0</v>
      </c>
      <c r="AC188" s="41">
        <v>12.0</v>
      </c>
      <c r="AD188" s="41">
        <v>12.0</v>
      </c>
      <c r="AE188" s="41">
        <v>12.0</v>
      </c>
      <c r="AF188" s="41">
        <v>6.0</v>
      </c>
      <c r="AG188" s="41">
        <v>12.0</v>
      </c>
      <c r="AH188" s="41">
        <v>0.0</v>
      </c>
      <c r="AI188" s="41">
        <v>0.0</v>
      </c>
      <c r="AJ188" s="41">
        <v>12.0</v>
      </c>
      <c r="AK188" s="41">
        <v>0.0</v>
      </c>
      <c r="AL188" s="41">
        <v>6.0</v>
      </c>
      <c r="AM188" s="43">
        <v>18.0</v>
      </c>
      <c r="AN188" s="43">
        <v>12.0</v>
      </c>
      <c r="AO188" s="43">
        <v>30.0</v>
      </c>
      <c r="AP188" s="43">
        <v>28.0</v>
      </c>
      <c r="AQ188" s="43">
        <v>6.0</v>
      </c>
      <c r="AR188" s="43">
        <v>6.0</v>
      </c>
      <c r="AS188" s="43">
        <v>7.0</v>
      </c>
      <c r="AT188" s="4">
        <f t="shared" si="4"/>
        <v>125.0</v>
      </c>
      <c r="AU188" s="4">
        <f t="shared" si="5"/>
        <v>36.0</v>
      </c>
      <c r="AV188" s="4">
        <f t="shared" si="6"/>
        <v>39.6</v>
      </c>
      <c r="AW188" s="1">
        <f>AV188*$AW$4/$AV$4+6*$AW$361</f>
        <v>6.07093596059113</v>
      </c>
      <c r="AX188" s="1">
        <f>AV188*$AX$4/$AV$4+6*$AX$361</f>
        <v>7.58866995073891</v>
      </c>
      <c r="AY188" s="1">
        <f>AV188*$AY$4/$AV$4+6*$AY$361</f>
        <v>8.17241379310344</v>
      </c>
      <c r="AZ188" s="1">
        <f>AV188*$AZ$4/$AV$4+6*$AZ$361</f>
        <v>11.3246305418719</v>
      </c>
      <c r="BA188" s="1">
        <f>AV188*$BA$4/$AV$4+6*$BA$361</f>
        <v>27.9428571428571</v>
      </c>
      <c r="BB188" s="1">
        <f>AV188*$BB$4/$AV$4+6*$BB$361</f>
        <v>25.7142857142857</v>
      </c>
      <c r="BC188" s="4">
        <f t="shared" si="478"/>
        <v>86.8137931034481</v>
      </c>
      <c r="BD188" s="3">
        <f>VLOOKUP(D188,FEB23SOH,2,false)</f>
        <v>339.0</v>
      </c>
      <c r="BE188" s="44">
        <f>VLOOKUP(D188,UNITVALUE,4,false)</f>
        <v>1.0872</v>
      </c>
      <c r="BF188" s="44">
        <f t="shared" si="16"/>
        <v>368.5608</v>
      </c>
      <c r="BI188" s="6">
        <f t="shared" si="667"/>
        <v>252.186206896551</v>
      </c>
      <c r="BJ188" s="1">
        <f>VLOOKUP(C188,MOQ,3,FALSE())</f>
        <v>504.0</v>
      </c>
      <c r="BK188" s="53" t="s">
        <v>0</v>
      </c>
      <c r="BM188" s="1">
        <f t="shared" si="668"/>
        <v>339.0</v>
      </c>
      <c r="BN188" s="1">
        <f t="shared" si="669"/>
        <v>6.07093596059113</v>
      </c>
      <c r="BP188" s="45">
        <f t="shared" si="670"/>
        <v>332.929064039409</v>
      </c>
      <c r="BQ188" s="5">
        <f t="shared" si="671"/>
        <v>361.960478423645</v>
      </c>
      <c r="BR188" s="1">
        <f t="shared" si="672"/>
        <v>7.58866995073891</v>
      </c>
      <c r="BS188" s="1">
        <f t="shared" si="673"/>
      </c>
      <c r="BT188" s="45">
        <f t="shared" si="674"/>
        <v>325.34039408867</v>
      </c>
      <c r="BU188" s="5">
        <f t="shared" ref="BU188:BU198" si="701">BT188*BE188</f>
        <v>353.710076453202</v>
      </c>
      <c r="BV188" s="1">
        <f t="shared" si="676"/>
        <v>8.17241379310344</v>
      </c>
      <c r="BW188" s="1">
        <f t="shared" si="677"/>
      </c>
      <c r="BX188" s="45">
        <f t="shared" si="678"/>
        <v>317.167980295567</v>
      </c>
      <c r="BY188" s="5">
        <f t="shared" ref="BY188:BY198" si="702">BX188*BE188</f>
        <v>344.82502817734</v>
      </c>
      <c r="BZ188" s="1">
        <f t="shared" si="680"/>
        <v>11.3246305418719</v>
      </c>
      <c r="CB188" s="45">
        <f t="shared" si="681"/>
        <v>305.843349753695</v>
      </c>
      <c r="CC188" s="5">
        <f t="shared" ref="CC188:CC189" si="703">CB188*BE188</f>
        <v>332.512889852217</v>
      </c>
      <c r="CD188" s="1">
        <f t="shared" si="683"/>
        <v>27.9428571428571</v>
      </c>
      <c r="CF188" s="45">
        <f t="shared" si="684"/>
        <v>277.900492610838</v>
      </c>
      <c r="CG188" s="5">
        <f t="shared" ref="CG188:CG189" si="704">CF188*BE188</f>
        <v>302.133415566503</v>
      </c>
      <c r="CH188" s="1">
        <f t="shared" si="686"/>
        <v>25.7142857142857</v>
      </c>
      <c r="CJ188" s="45">
        <f t="shared" si="687"/>
        <v>252.186206896552</v>
      </c>
      <c r="CK188" s="5">
        <f t="shared" ref="CK188:CK189" si="705">CJ188*BE188</f>
        <v>274.176844137931</v>
      </c>
    </row>
    <row r="189" ht="17.0">
      <c r="A189" s="41" t="s">
        <v>30</v>
      </c>
      <c r="B189" s="10" t="s">
        <v>401</v>
      </c>
      <c r="C189" s="41" t="s">
        <v>412</v>
      </c>
      <c r="D189" s="42" t="s">
        <v>413</v>
      </c>
      <c r="E189" s="41">
        <v>0.0</v>
      </c>
      <c r="F189" s="41">
        <v>0.0</v>
      </c>
      <c r="G189" s="41">
        <v>0.0</v>
      </c>
      <c r="H189" s="41">
        <v>0.0</v>
      </c>
      <c r="I189" s="41">
        <v>0.0</v>
      </c>
      <c r="J189" s="41">
        <v>0.0</v>
      </c>
      <c r="K189" s="41">
        <v>0.0</v>
      </c>
      <c r="L189" s="41">
        <v>0.0</v>
      </c>
      <c r="M189" s="41">
        <v>0.0</v>
      </c>
      <c r="N189" s="41">
        <v>0.0</v>
      </c>
      <c r="O189" s="41">
        <v>0.0</v>
      </c>
      <c r="P189" s="41">
        <v>0.0</v>
      </c>
      <c r="Q189" s="41">
        <v>0.0</v>
      </c>
      <c r="R189" s="41">
        <v>0.0</v>
      </c>
      <c r="S189" s="41">
        <v>0.0</v>
      </c>
      <c r="T189" s="41">
        <v>0.0</v>
      </c>
      <c r="U189" s="41">
        <v>0.0</v>
      </c>
      <c r="V189" s="41">
        <v>0.0</v>
      </c>
      <c r="W189" s="41">
        <v>0.0</v>
      </c>
      <c r="X189" s="41">
        <v>0.0</v>
      </c>
      <c r="Y189" s="41">
        <v>0.0</v>
      </c>
      <c r="Z189" s="41">
        <v>0.0</v>
      </c>
      <c r="AA189" s="41">
        <v>56.0</v>
      </c>
      <c r="AB189" s="41">
        <v>28.0</v>
      </c>
      <c r="AC189" s="41">
        <v>28.0</v>
      </c>
      <c r="AD189" s="41">
        <v>20.0</v>
      </c>
      <c r="AE189" s="41">
        <v>16.0</v>
      </c>
      <c r="AF189" s="41">
        <v>0.0</v>
      </c>
      <c r="AG189" s="41">
        <v>20.0</v>
      </c>
      <c r="AH189" s="41">
        <v>16.0</v>
      </c>
      <c r="AI189" s="41">
        <v>8.0</v>
      </c>
      <c r="AJ189" s="41">
        <v>0.0</v>
      </c>
      <c r="AK189" s="41">
        <v>12.0</v>
      </c>
      <c r="AL189" s="41">
        <v>20.0</v>
      </c>
      <c r="AM189" s="43">
        <v>16.0</v>
      </c>
      <c r="AN189" s="43">
        <v>28.0</v>
      </c>
      <c r="AO189" s="43">
        <v>21.0</v>
      </c>
      <c r="AP189" s="43">
        <v>68.0</v>
      </c>
      <c r="AQ189" s="43">
        <v>20.0</v>
      </c>
      <c r="AR189" s="43">
        <v>4.0</v>
      </c>
      <c r="AS189" s="43">
        <v>5.0</v>
      </c>
      <c r="AT189" s="4">
        <f t="shared" si="4"/>
        <v>218.0</v>
      </c>
      <c r="AU189" s="4">
        <f t="shared" si="5"/>
        <v>72.0</v>
      </c>
      <c r="AV189" s="4">
        <f t="shared" si="6"/>
        <v>79.2</v>
      </c>
      <c r="AW189" s="1">
        <f>AV189*$AW$4/$AV$4</f>
        <v>8.91428571428571</v>
      </c>
      <c r="AX189" s="1">
        <f>AV189*$AX$4/$AV$4</f>
        <v>11.1428571428571</v>
      </c>
      <c r="AY189" s="1">
        <f>AV189*$AY$4/$AV$4</f>
        <v>12.0</v>
      </c>
      <c r="AZ189" s="1">
        <f>AV189*$AZ$4/$AV$4</f>
        <v>16.6285714285714</v>
      </c>
      <c r="BA189" s="1">
        <f>AV189*$BA$4/$AV$4</f>
        <v>7.88571428571429</v>
      </c>
      <c r="BB189" s="1">
        <f>AV189*$BB$4/$AV$4</f>
        <v>15.4285714285714</v>
      </c>
      <c r="BC189" s="4">
        <f t="shared" si="478"/>
        <v>71.9999999999999</v>
      </c>
      <c r="BD189" s="3">
        <f>VLOOKUP(D189,FEB23SOH,2,false)</f>
        <v>34.0</v>
      </c>
      <c r="BE189" s="44">
        <f>VLOOKUP(D189,UNITVALUE,4,false)</f>
        <v>3.7582</v>
      </c>
      <c r="BF189" s="44">
        <f t="shared" si="16"/>
        <v>127.7788</v>
      </c>
      <c r="BI189" s="6">
        <f t="shared" si="667"/>
        <v>-37.9999999999999</v>
      </c>
      <c r="BJ189" s="1">
        <v>504.0</v>
      </c>
      <c r="BK189" s="53" t="s">
        <v>0</v>
      </c>
      <c r="BL189" s="8" t="s">
        <v>8</v>
      </c>
      <c r="BM189" s="1">
        <f t="shared" si="668"/>
        <v>34.0</v>
      </c>
      <c r="BN189" s="1">
        <f t="shared" si="669"/>
        <v>8.91428571428571</v>
      </c>
      <c r="BP189" s="45">
        <f t="shared" si="670"/>
        <v>25.0857142857142</v>
      </c>
      <c r="BQ189" s="5">
        <f t="shared" si="671"/>
        <v>94.2771314285711</v>
      </c>
      <c r="BR189" s="1">
        <f t="shared" si="672"/>
        <v>11.1428571428571</v>
      </c>
      <c r="BS189" s="1">
        <f t="shared" si="673"/>
      </c>
      <c r="BT189" s="45">
        <f t="shared" si="674"/>
        <v>13.9428571428571</v>
      </c>
      <c r="BU189" s="5">
        <f t="shared" si="701"/>
        <v>52.400045714286</v>
      </c>
      <c r="BV189" s="1">
        <f t="shared" si="676"/>
        <v>12.0</v>
      </c>
      <c r="BW189" s="1">
        <f t="shared" si="677"/>
      </c>
      <c r="BX189" s="45">
        <f t="shared" si="678"/>
        <v>1.9428571428571</v>
      </c>
      <c r="BY189" s="5">
        <f t="shared" si="702"/>
        <v>7.30164571428555</v>
      </c>
      <c r="BZ189" s="1">
        <f t="shared" si="680"/>
        <v>16.6285714285714</v>
      </c>
      <c r="CB189" s="45">
        <f t="shared" si="681"/>
        <v>-14.6857142857143</v>
      </c>
      <c r="CC189" s="5">
        <f t="shared" si="703"/>
        <v>-55.1918514285714</v>
      </c>
      <c r="CD189" s="1">
        <f t="shared" si="683"/>
        <v>7.88571428571429</v>
      </c>
      <c r="CF189" s="45">
        <f t="shared" si="684"/>
        <v>-22.5714285714284</v>
      </c>
      <c r="CG189" s="5">
        <f t="shared" si="704"/>
        <v>-84.8279428571422</v>
      </c>
      <c r="CH189" s="1">
        <f t="shared" si="686"/>
        <v>15.4285714285714</v>
      </c>
      <c r="CJ189" s="45">
        <f t="shared" si="687"/>
        <v>-37.9999999999998</v>
      </c>
      <c r="CK189" s="5">
        <f t="shared" si="705"/>
        <v>-142.811599999999</v>
      </c>
    </row>
    <row r="190" ht="17.0">
      <c r="A190" s="41" t="s">
        <v>30</v>
      </c>
      <c r="B190" s="10" t="s">
        <v>401</v>
      </c>
      <c r="C190" s="41" t="s">
        <v>414</v>
      </c>
      <c r="D190" s="55" t="s">
        <v>415</v>
      </c>
      <c r="E190" s="41">
        <v>0.0</v>
      </c>
      <c r="F190" s="41">
        <v>0.0</v>
      </c>
      <c r="G190" s="41">
        <v>0.0</v>
      </c>
      <c r="H190" s="41">
        <v>0.0</v>
      </c>
      <c r="I190" s="41">
        <v>0.0</v>
      </c>
      <c r="J190" s="41">
        <v>0.0</v>
      </c>
      <c r="K190" s="41">
        <v>0.0</v>
      </c>
      <c r="L190" s="41">
        <v>0.0</v>
      </c>
      <c r="M190" s="41">
        <v>0.0</v>
      </c>
      <c r="N190" s="41">
        <v>0.0</v>
      </c>
      <c r="O190" s="41">
        <v>0.0</v>
      </c>
      <c r="P190" s="41">
        <v>0.0</v>
      </c>
      <c r="Q190" s="41">
        <v>0.0</v>
      </c>
      <c r="R190" s="41">
        <v>0.0</v>
      </c>
      <c r="S190" s="41">
        <v>0.0</v>
      </c>
      <c r="T190" s="41">
        <v>0.0</v>
      </c>
      <c r="U190" s="41">
        <v>0.0</v>
      </c>
      <c r="V190" s="41">
        <v>0.0</v>
      </c>
      <c r="W190" s="41">
        <v>0.0</v>
      </c>
      <c r="X190" s="41">
        <v>0.0</v>
      </c>
      <c r="Y190" s="41">
        <v>0.0</v>
      </c>
      <c r="Z190" s="41">
        <v>0.0</v>
      </c>
      <c r="AA190" s="41">
        <v>48.0</v>
      </c>
      <c r="AB190" s="41">
        <v>16.0</v>
      </c>
      <c r="AC190" s="41">
        <v>44.0</v>
      </c>
      <c r="AD190" s="41">
        <v>56.0</v>
      </c>
      <c r="AE190" s="41">
        <v>32.0</v>
      </c>
      <c r="AF190" s="41">
        <v>13.0</v>
      </c>
      <c r="AG190" s="41">
        <v>16.0</v>
      </c>
      <c r="AH190" s="41">
        <v>12.0</v>
      </c>
      <c r="AI190" s="41">
        <v>4.0</v>
      </c>
      <c r="AJ190" s="41">
        <v>12.0</v>
      </c>
      <c r="AK190" s="41">
        <v>16.0</v>
      </c>
      <c r="AL190" s="41">
        <v>8.0</v>
      </c>
      <c r="AM190" s="43">
        <v>25.0</v>
      </c>
      <c r="AN190" s="43">
        <v>24.0</v>
      </c>
      <c r="AO190" s="43">
        <v>32.0</v>
      </c>
      <c r="AP190" s="43">
        <v>66.0</v>
      </c>
      <c r="AQ190" s="43">
        <v>34.0</v>
      </c>
      <c r="AR190" s="43">
        <v>0.0</v>
      </c>
      <c r="AS190" s="43">
        <v>0.0</v>
      </c>
      <c r="AT190" s="4">
        <f t="shared" si="4"/>
        <v>233.0</v>
      </c>
      <c r="AU190" s="4">
        <f t="shared" si="5"/>
        <v>77.0</v>
      </c>
      <c r="AV190" s="4">
        <f t="shared" si="6"/>
        <v>84.7</v>
      </c>
      <c r="AW190" s="1">
        <f>AV190*$AW$4/$AV$4+4*$AW$361</f>
        <v>10.6091954022988</v>
      </c>
      <c r="AX190" s="1">
        <f>AV190*$AX$4/$AV$4+4*$AX$361</f>
        <v>13.2614942528736</v>
      </c>
      <c r="AY190" s="1">
        <f>AV190*$AY$4/$AV$4+4*$AY$361</f>
        <v>14.2816091954022</v>
      </c>
      <c r="AZ190" s="1">
        <f>AV190*$AZ$4/$AV$4+4*$AZ$361</f>
        <v>19.7902298850574</v>
      </c>
      <c r="BA190" s="1">
        <f>AV190*$BA$4/$AV$4+4*$BA$361</f>
        <v>24.4333333333333</v>
      </c>
      <c r="BB190" s="1">
        <f>AV190*$BB$4/$AV$4+4*$BB$361</f>
        <v>28.5</v>
      </c>
      <c r="BC190" s="4">
        <f t="shared" si="478"/>
        <v>110.875862068965</v>
      </c>
      <c r="BD190" s="3">
        <f>VLOOKUP(D190,FEB23SOH,2,false)</f>
        <v>0.0</v>
      </c>
      <c r="BE190" s="44">
        <f>VLOOKUP(D190,UNITVALUE,4,false)</f>
      </c>
      <c r="BF190" s="44">
        <f t="shared" si="16"/>
        <v>0.0</v>
      </c>
      <c r="BI190" s="6">
        <f t="shared" si="667"/>
        <v>-110.875862068965</v>
      </c>
      <c r="BJ190" s="1">
        <v>504.0</v>
      </c>
      <c r="BK190" s="53" t="s">
        <v>0</v>
      </c>
      <c r="BL190" s="8" t="s">
        <v>68</v>
      </c>
      <c r="BM190" s="1">
        <f t="shared" si="668"/>
        <v>0.0</v>
      </c>
      <c r="BN190" s="1">
        <f t="shared" si="669"/>
        <v>10.6091954022988</v>
      </c>
      <c r="BP190" s="45">
        <f t="shared" si="670"/>
        <v>-10.6091954022988</v>
      </c>
      <c r="BQ190" s="5">
        <f t="shared" si="671"/>
        <v>0.0</v>
      </c>
      <c r="BR190" s="1">
        <f t="shared" si="672"/>
        <v>13.2614942528736</v>
      </c>
      <c r="BS190" s="1">
        <f t="shared" si="673"/>
      </c>
      <c r="BT190" s="45">
        <f t="shared" si="674"/>
        <v>-23.8706896551724</v>
      </c>
      <c r="BU190" s="5">
        <f t="shared" si="701"/>
        <v>0.0</v>
      </c>
      <c r="BV190" s="1">
        <f t="shared" si="676"/>
        <v>14.2816091954022</v>
      </c>
      <c r="BW190" s="1">
        <f t="shared" si="677"/>
      </c>
      <c r="BX190" s="45">
        <f t="shared" si="678"/>
        <v>-38.152298850574</v>
      </c>
      <c r="BY190" s="5">
        <f t="shared" si="702"/>
        <v>0.0</v>
      </c>
      <c r="BZ190" s="1">
        <f t="shared" si="680"/>
        <v>19.7902298850574</v>
      </c>
      <c r="CB190" s="45">
        <f t="shared" si="681"/>
        <v>-57.9425287356314</v>
      </c>
      <c r="CC190" s="5"/>
      <c r="CD190" s="1">
        <f t="shared" si="683"/>
        <v>24.4333333333333</v>
      </c>
      <c r="CF190" s="45">
        <f t="shared" si="684"/>
        <v>-82.3758620689647</v>
      </c>
      <c r="CG190" s="5"/>
      <c r="CH190" s="1">
        <f t="shared" si="686"/>
        <v>28.5</v>
      </c>
      <c r="CJ190" s="45">
        <f t="shared" si="687"/>
        <v>-110.875862068964</v>
      </c>
      <c r="CK190" s="5"/>
    </row>
    <row r="191" ht="17.0">
      <c r="A191" s="41" t="s">
        <v>30</v>
      </c>
      <c r="B191" s="41" t="s">
        <v>401</v>
      </c>
      <c r="C191" s="41" t="s">
        <v>416</v>
      </c>
      <c r="D191" s="57" t="s">
        <v>417</v>
      </c>
      <c r="E191" s="41">
        <v>0.0</v>
      </c>
      <c r="F191" s="41">
        <v>0.0</v>
      </c>
      <c r="G191" s="41">
        <v>0.0</v>
      </c>
      <c r="H191" s="41">
        <v>0.0</v>
      </c>
      <c r="I191" s="41">
        <v>0.0</v>
      </c>
      <c r="J191" s="41">
        <v>0.0</v>
      </c>
      <c r="K191" s="41">
        <v>0.0</v>
      </c>
      <c r="L191" s="41">
        <v>0.0</v>
      </c>
      <c r="M191" s="41">
        <v>0.0</v>
      </c>
      <c r="N191" s="41">
        <v>0.0</v>
      </c>
      <c r="O191" s="41">
        <v>0.0</v>
      </c>
      <c r="P191" s="41">
        <v>0.0</v>
      </c>
      <c r="Q191" s="41">
        <v>0.0</v>
      </c>
      <c r="R191" s="41">
        <v>0.0</v>
      </c>
      <c r="S191" s="41">
        <v>0.0</v>
      </c>
      <c r="T191" s="41">
        <v>0.0</v>
      </c>
      <c r="U191" s="41">
        <v>0.0</v>
      </c>
      <c r="V191" s="41">
        <v>0.0</v>
      </c>
      <c r="W191" s="41">
        <v>0.0</v>
      </c>
      <c r="X191" s="41">
        <v>0.0</v>
      </c>
      <c r="Y191" s="41">
        <v>0.0</v>
      </c>
      <c r="Z191" s="41">
        <v>0.0</v>
      </c>
      <c r="AA191" s="41">
        <v>5.0</v>
      </c>
      <c r="AB191" s="41">
        <v>12.0</v>
      </c>
      <c r="AC191" s="41">
        <v>12.0</v>
      </c>
      <c r="AD191" s="41">
        <v>12.0</v>
      </c>
      <c r="AE191" s="41">
        <v>6.0</v>
      </c>
      <c r="AF191" s="41">
        <v>6.0</v>
      </c>
      <c r="AG191" s="41">
        <v>9.0</v>
      </c>
      <c r="AH191" s="41">
        <v>3.0</v>
      </c>
      <c r="AI191" s="41">
        <v>9.0</v>
      </c>
      <c r="AJ191" s="41">
        <v>4.0</v>
      </c>
      <c r="AK191" s="41">
        <v>0.0</v>
      </c>
      <c r="AL191" s="41">
        <v>12.0</v>
      </c>
      <c r="AM191" s="43">
        <v>12.0</v>
      </c>
      <c r="AN191" s="43">
        <v>15.0</v>
      </c>
      <c r="AO191" s="43">
        <v>10.0</v>
      </c>
      <c r="AP191" s="43">
        <v>21.0</v>
      </c>
      <c r="AQ191" s="43">
        <v>9.0</v>
      </c>
      <c r="AR191" s="43">
        <v>9.0</v>
      </c>
      <c r="AS191" s="43">
        <v>4.0</v>
      </c>
      <c r="AT191" s="4">
        <f t="shared" si="4"/>
        <v>108.0</v>
      </c>
      <c r="AU191" s="4">
        <f t="shared" si="5"/>
        <v>40.0</v>
      </c>
      <c r="AV191" s="4">
        <f t="shared" si="6"/>
        <v>44.0</v>
      </c>
      <c r="AW191" s="1">
        <f t="shared" ref="AW191:AW196" si="718">AV191*$AW$4/$AV$4+6*$AW$360</f>
        <v>6.56617405582922</v>
      </c>
      <c r="AX191" s="1">
        <f t="shared" ref="AX191:AX196" si="719">AV191*$AX$4/$AV$4+6*$AX$360</f>
        <v>8.20771756978653</v>
      </c>
      <c r="AY191" s="1">
        <f t="shared" ref="AY191:AY196" si="720">AV191*$AY$4/$AV$4+6*$AY$360</f>
        <v>8.83908045977011</v>
      </c>
      <c r="AZ191" s="1">
        <f t="shared" ref="AZ191:AZ196" si="721">AV191*$AZ$4/$AV$4+6*$AZ$360</f>
        <v>12.2484400656814</v>
      </c>
      <c r="BA191" s="1">
        <f t="shared" ref="BA191:BA196" si="722">AV191*$BA$4/$AV$4+6*$BA$360</f>
        <v>64.3809523809523</v>
      </c>
      <c r="BB191" s="1">
        <f t="shared" ref="BB191:BB196" si="723">AV191*$BB$4/$AV$4+6*$BB$360</f>
        <v>20.571428571429</v>
      </c>
      <c r="BC191" s="4">
        <f>SUM(AW191:BB191)+6*$BC$360</f>
        <v>201.627586206897</v>
      </c>
      <c r="BD191" s="3">
        <f>VLOOKUP(D191,FEB23SOH,2,false)</f>
        <v>225.0</v>
      </c>
      <c r="BE191" s="44">
        <f>VLOOKUP(D191,UNITVALUE,4,false)</f>
        <v>2.6436</v>
      </c>
      <c r="BF191" s="44">
        <f t="shared" si="16"/>
        <v>594.81</v>
      </c>
      <c r="BI191" s="6">
        <f t="shared" si="667"/>
        <v>23.372413793103</v>
      </c>
      <c r="BJ191" s="1">
        <v>504.0</v>
      </c>
      <c r="BM191" s="1">
        <f t="shared" si="668"/>
        <v>225.0</v>
      </c>
      <c r="BN191" s="1">
        <f t="shared" si="669"/>
        <v>6.56617405582922</v>
      </c>
      <c r="BP191" s="45">
        <f t="shared" si="670"/>
        <v>218.43382594417</v>
      </c>
      <c r="BQ191" s="5">
        <f t="shared" si="671"/>
        <v>577.451662266008</v>
      </c>
      <c r="BR191" s="1">
        <f t="shared" si="672"/>
        <v>8.20771756978653</v>
      </c>
      <c r="BS191" s="1">
        <f t="shared" si="673"/>
      </c>
      <c r="BT191" s="45">
        <f t="shared" si="674"/>
        <v>210.226108374383</v>
      </c>
      <c r="BU191" s="5">
        <f t="shared" si="701"/>
        <v>555.753740098519</v>
      </c>
      <c r="BV191" s="1">
        <f t="shared" si="676"/>
        <v>8.83908045977011</v>
      </c>
      <c r="BW191" s="1">
        <f t="shared" si="677"/>
      </c>
      <c r="BX191" s="45">
        <f t="shared" si="678"/>
        <v>201.387027914612</v>
      </c>
      <c r="BY191" s="5">
        <f t="shared" si="702"/>
        <v>532.386746995068</v>
      </c>
      <c r="BZ191" s="1">
        <f t="shared" si="680"/>
        <v>12.2484400656814</v>
      </c>
      <c r="CB191" s="45">
        <f t="shared" si="681"/>
        <v>189.13858784893</v>
      </c>
      <c r="CC191" s="5">
        <f t="shared" ref="CC191:CC198" si="725">CB191*BE191</f>
        <v>500.006770837431</v>
      </c>
      <c r="CD191" s="1">
        <f t="shared" si="683"/>
        <v>64.3809523809523</v>
      </c>
      <c r="CF191" s="45">
        <f t="shared" si="684"/>
        <v>124.757635468</v>
      </c>
      <c r="CG191" s="5">
        <f t="shared" ref="CG191:CG198" si="726">CF191*BE191</f>
        <v>329.809285123204</v>
      </c>
      <c r="CH191" s="1">
        <f t="shared" si="686"/>
        <v>20.571428571429</v>
      </c>
      <c r="CJ191" s="45">
        <f t="shared" si="687"/>
        <v>104.186206896571</v>
      </c>
      <c r="CK191" s="5">
        <f t="shared" ref="CK191:CK198" si="727">CJ191*BE191</f>
        <v>275.426656551775</v>
      </c>
    </row>
    <row r="192" ht="17.0">
      <c r="A192" s="41" t="s">
        <v>30</v>
      </c>
      <c r="B192" s="41" t="s">
        <v>401</v>
      </c>
      <c r="C192" s="41" t="s">
        <v>418</v>
      </c>
      <c r="D192" s="57" t="s">
        <v>419</v>
      </c>
      <c r="E192" s="41">
        <v>0.0</v>
      </c>
      <c r="F192" s="41">
        <v>0.0</v>
      </c>
      <c r="G192" s="41">
        <v>0.0</v>
      </c>
      <c r="H192" s="41">
        <v>0.0</v>
      </c>
      <c r="I192" s="41">
        <v>0.0</v>
      </c>
      <c r="J192" s="41">
        <v>0.0</v>
      </c>
      <c r="K192" s="41">
        <v>0.0</v>
      </c>
      <c r="L192" s="41">
        <v>0.0</v>
      </c>
      <c r="M192" s="41">
        <v>0.0</v>
      </c>
      <c r="N192" s="41">
        <v>0.0</v>
      </c>
      <c r="O192" s="41">
        <v>0.0</v>
      </c>
      <c r="P192" s="41">
        <v>0.0</v>
      </c>
      <c r="Q192" s="41">
        <v>0.0</v>
      </c>
      <c r="R192" s="41">
        <v>0.0</v>
      </c>
      <c r="S192" s="41">
        <v>0.0</v>
      </c>
      <c r="T192" s="41">
        <v>0.0</v>
      </c>
      <c r="U192" s="41">
        <v>0.0</v>
      </c>
      <c r="V192" s="41">
        <v>0.0</v>
      </c>
      <c r="W192" s="41">
        <v>0.0</v>
      </c>
      <c r="X192" s="41">
        <v>0.0</v>
      </c>
      <c r="Y192" s="41">
        <v>0.0</v>
      </c>
      <c r="Z192" s="41">
        <v>0.0</v>
      </c>
      <c r="AA192" s="41">
        <v>3.0</v>
      </c>
      <c r="AB192" s="41">
        <v>6.0</v>
      </c>
      <c r="AC192" s="41">
        <v>13.0</v>
      </c>
      <c r="AD192" s="41">
        <v>12.0</v>
      </c>
      <c r="AE192" s="41">
        <v>9.0</v>
      </c>
      <c r="AF192" s="41">
        <v>1.0</v>
      </c>
      <c r="AG192" s="41">
        <v>8.0</v>
      </c>
      <c r="AH192" s="41">
        <v>3.0</v>
      </c>
      <c r="AI192" s="41">
        <v>9.0</v>
      </c>
      <c r="AJ192" s="41">
        <v>0.0</v>
      </c>
      <c r="AK192" s="41">
        <v>0.0</v>
      </c>
      <c r="AL192" s="41">
        <v>9.0</v>
      </c>
      <c r="AM192" s="43">
        <v>9.0</v>
      </c>
      <c r="AN192" s="43">
        <v>11.0</v>
      </c>
      <c r="AO192" s="43">
        <v>1.0</v>
      </c>
      <c r="AP192" s="43">
        <v>9.0</v>
      </c>
      <c r="AQ192" s="43">
        <v>3.0</v>
      </c>
      <c r="AR192" s="43">
        <v>6.0</v>
      </c>
      <c r="AS192" s="43">
        <v>4.0</v>
      </c>
      <c r="AT192" s="4">
        <f t="shared" si="4"/>
        <v>64.0</v>
      </c>
      <c r="AU192" s="4">
        <f t="shared" si="5"/>
        <v>30.0</v>
      </c>
      <c r="AV192" s="4">
        <f t="shared" si="6"/>
        <v>33.0</v>
      </c>
      <c r="AW192" s="1">
        <f t="shared" si="718"/>
        <v>5.32807881773398</v>
      </c>
      <c r="AX192" s="1">
        <f t="shared" si="719"/>
        <v>6.6600985221674</v>
      </c>
      <c r="AY192" s="1">
        <f t="shared" si="720"/>
        <v>7.17241379310343</v>
      </c>
      <c r="AZ192" s="1">
        <f t="shared" si="721"/>
        <v>9.93891625615762</v>
      </c>
      <c r="BA192" s="1">
        <f t="shared" si="722"/>
        <v>63.2857142857142</v>
      </c>
      <c r="BB192" s="1">
        <f t="shared" si="723"/>
        <v>18.4285714285714</v>
      </c>
      <c r="BC192" s="4">
        <f t="shared" ref="BC192:BC386" si="728">SUM(AW192:BB192)</f>
        <v>110.813793103448</v>
      </c>
      <c r="BD192" s="3">
        <f>VLOOKUP(D192,FEB23SOH,2,false)</f>
        <v>280.0</v>
      </c>
      <c r="BE192" s="44">
        <f>VLOOKUP(D192,UNITVALUE,4,false)</f>
        <v>2.6435</v>
      </c>
      <c r="BF192" s="44">
        <f t="shared" si="16"/>
        <v>740.18</v>
      </c>
      <c r="BI192" s="6">
        <f t="shared" si="667"/>
        <v>169.186206896552</v>
      </c>
      <c r="BJ192" s="1">
        <v>504.0</v>
      </c>
      <c r="BM192" s="1">
        <f t="shared" si="668"/>
        <v>280.0</v>
      </c>
      <c r="BN192" s="1">
        <f t="shared" si="669"/>
        <v>5.32807881773398</v>
      </c>
      <c r="BP192" s="45">
        <f t="shared" si="670"/>
        <v>274.671921182266</v>
      </c>
      <c r="BQ192" s="5">
        <f t="shared" si="671"/>
        <v>726.09522364532</v>
      </c>
      <c r="BR192" s="1">
        <f t="shared" si="672"/>
        <v>6.6600985221674</v>
      </c>
      <c r="BS192" s="1">
        <f t="shared" si="673"/>
      </c>
      <c r="BT192" s="45">
        <f t="shared" si="674"/>
        <v>268.011822660099</v>
      </c>
      <c r="BU192" s="5">
        <f t="shared" si="701"/>
        <v>708.489253201971</v>
      </c>
      <c r="BV192" s="1">
        <f t="shared" si="676"/>
        <v>7.17241379310343</v>
      </c>
      <c r="BW192" s="1">
        <f t="shared" si="677"/>
      </c>
      <c r="BX192" s="45">
        <f t="shared" si="678"/>
        <v>260.839408866996</v>
      </c>
      <c r="BY192" s="5">
        <f t="shared" si="702"/>
        <v>689.528977339903</v>
      </c>
      <c r="BZ192" s="1">
        <f t="shared" si="680"/>
        <v>9.93891625615762</v>
      </c>
      <c r="CB192" s="45">
        <f t="shared" si="681"/>
        <v>250.900492610838</v>
      </c>
      <c r="CC192" s="5">
        <f t="shared" si="725"/>
        <v>663.25545221675</v>
      </c>
      <c r="CD192" s="1">
        <f t="shared" si="683"/>
        <v>63.2857142857142</v>
      </c>
      <c r="CF192" s="45">
        <f t="shared" si="684"/>
        <v>187.614778325123</v>
      </c>
      <c r="CG192" s="5">
        <f t="shared" si="726"/>
        <v>495.959666502462</v>
      </c>
      <c r="CH192" s="1">
        <f t="shared" si="686"/>
        <v>18.4285714285714</v>
      </c>
      <c r="CJ192" s="45">
        <f t="shared" si="687"/>
        <v>169.186206896551</v>
      </c>
      <c r="CK192" s="5">
        <f t="shared" si="727"/>
        <v>447.243737931032</v>
      </c>
    </row>
    <row r="193" ht="17.0">
      <c r="A193" s="41" t="s">
        <v>30</v>
      </c>
      <c r="B193" s="41" t="s">
        <v>401</v>
      </c>
      <c r="C193" s="41" t="s">
        <v>420</v>
      </c>
      <c r="D193" s="57" t="s">
        <v>421</v>
      </c>
      <c r="E193" s="41">
        <v>0.0</v>
      </c>
      <c r="F193" s="41">
        <v>0.0</v>
      </c>
      <c r="G193" s="41">
        <v>0.0</v>
      </c>
      <c r="H193" s="41">
        <v>0.0</v>
      </c>
      <c r="I193" s="41">
        <v>0.0</v>
      </c>
      <c r="J193" s="41">
        <v>0.0</v>
      </c>
      <c r="K193" s="41">
        <v>0.0</v>
      </c>
      <c r="L193" s="41">
        <v>0.0</v>
      </c>
      <c r="M193" s="41">
        <v>0.0</v>
      </c>
      <c r="N193" s="41">
        <v>0.0</v>
      </c>
      <c r="O193" s="41">
        <v>0.0</v>
      </c>
      <c r="P193" s="41">
        <v>0.0</v>
      </c>
      <c r="Q193" s="41">
        <v>0.0</v>
      </c>
      <c r="R193" s="41">
        <v>0.0</v>
      </c>
      <c r="S193" s="41">
        <v>0.0</v>
      </c>
      <c r="T193" s="41">
        <v>0.0</v>
      </c>
      <c r="U193" s="41">
        <v>0.0</v>
      </c>
      <c r="V193" s="41">
        <v>0.0</v>
      </c>
      <c r="W193" s="41">
        <v>0.0</v>
      </c>
      <c r="X193" s="41">
        <v>0.0</v>
      </c>
      <c r="Y193" s="41">
        <v>0.0</v>
      </c>
      <c r="Z193" s="41">
        <v>0.0</v>
      </c>
      <c r="AA193" s="41">
        <v>3.0</v>
      </c>
      <c r="AB193" s="41">
        <v>21.0</v>
      </c>
      <c r="AC193" s="41">
        <v>15.0</v>
      </c>
      <c r="AD193" s="41">
        <v>21.0</v>
      </c>
      <c r="AE193" s="41">
        <v>9.0</v>
      </c>
      <c r="AF193" s="41">
        <v>0.0</v>
      </c>
      <c r="AG193" s="41">
        <v>9.0</v>
      </c>
      <c r="AH193" s="41">
        <v>12.0</v>
      </c>
      <c r="AI193" s="41">
        <v>6.0</v>
      </c>
      <c r="AJ193" s="41">
        <v>6.0</v>
      </c>
      <c r="AK193" s="41">
        <v>0.0</v>
      </c>
      <c r="AL193" s="41">
        <v>6.0</v>
      </c>
      <c r="AM193" s="43">
        <v>9.0</v>
      </c>
      <c r="AN193" s="43">
        <v>15.0</v>
      </c>
      <c r="AO193" s="43">
        <v>2.0</v>
      </c>
      <c r="AP193" s="43">
        <v>6.0</v>
      </c>
      <c r="AQ193" s="43">
        <v>3.0</v>
      </c>
      <c r="AR193" s="43">
        <v>0.0</v>
      </c>
      <c r="AS193" s="43">
        <v>4.0</v>
      </c>
      <c r="AT193" s="4">
        <f t="shared" si="4"/>
        <v>69.0</v>
      </c>
      <c r="AU193" s="4">
        <f t="shared" si="5"/>
        <v>39.0</v>
      </c>
      <c r="AV193" s="4">
        <f t="shared" si="6"/>
        <v>42.9</v>
      </c>
      <c r="AW193" s="1">
        <f t="shared" si="718"/>
        <v>6.44236453201969</v>
      </c>
      <c r="AX193" s="1">
        <f t="shared" si="719"/>
        <v>8.05295566502463</v>
      </c>
      <c r="AY193" s="1">
        <f t="shared" si="720"/>
        <v>8.67241379310344</v>
      </c>
      <c r="AZ193" s="1">
        <f t="shared" si="721"/>
        <v>12.017487684729</v>
      </c>
      <c r="BA193" s="1">
        <f t="shared" si="722"/>
        <v>64.2714285714286</v>
      </c>
      <c r="BB193" s="1">
        <f t="shared" si="723"/>
        <v>20.3571428571429</v>
      </c>
      <c r="BC193" s="4">
        <f t="shared" si="728"/>
        <v>119.813793103448</v>
      </c>
      <c r="BD193" s="3">
        <f>VLOOKUP(D193,FEB23SOH,2,false)</f>
        <v>249.0</v>
      </c>
      <c r="BE193" s="44">
        <f>VLOOKUP(D193,UNITVALUE,4,false)</f>
        <v>2.6436</v>
      </c>
      <c r="BF193" s="44">
        <f t="shared" si="16"/>
        <v>658.2564</v>
      </c>
      <c r="BI193" s="6">
        <f t="shared" si="667"/>
        <v>129.186206896552</v>
      </c>
      <c r="BJ193" s="1">
        <v>504.0</v>
      </c>
      <c r="BM193" s="1">
        <f t="shared" si="668"/>
        <v>249.0</v>
      </c>
      <c r="BN193" s="1">
        <f t="shared" si="669"/>
        <v>6.44236453201969</v>
      </c>
      <c r="BP193" s="45">
        <f t="shared" si="670"/>
        <v>242.55763546798</v>
      </c>
      <c r="BQ193" s="5">
        <f t="shared" si="671"/>
        <v>641.225365123152</v>
      </c>
      <c r="BR193" s="1">
        <f t="shared" si="672"/>
        <v>8.05295566502463</v>
      </c>
      <c r="BS193" s="1">
        <f t="shared" si="673"/>
      </c>
      <c r="BT193" s="45">
        <f t="shared" si="674"/>
        <v>234.504679802955</v>
      </c>
      <c r="BU193" s="5">
        <f t="shared" si="701"/>
        <v>619.936571527091</v>
      </c>
      <c r="BV193" s="1">
        <f t="shared" si="676"/>
        <v>8.67241379310344</v>
      </c>
      <c r="BW193" s="1">
        <f t="shared" si="677"/>
      </c>
      <c r="BX193" s="45">
        <f t="shared" si="678"/>
        <v>225.832266009851</v>
      </c>
      <c r="BY193" s="5">
        <f t="shared" si="702"/>
        <v>597.010178423642</v>
      </c>
      <c r="BZ193" s="1">
        <f t="shared" si="680"/>
        <v>12.017487684729</v>
      </c>
      <c r="CB193" s="45">
        <f t="shared" si="681"/>
        <v>213.814778325122</v>
      </c>
      <c r="CC193" s="5">
        <f t="shared" si="725"/>
        <v>565.240747980292</v>
      </c>
      <c r="CD193" s="1">
        <f t="shared" si="683"/>
        <v>64.2714285714286</v>
      </c>
      <c r="CF193" s="45">
        <f t="shared" si="684"/>
        <v>149.543349753693</v>
      </c>
      <c r="CG193" s="5">
        <f t="shared" si="726"/>
        <v>395.332799408862</v>
      </c>
      <c r="CH193" s="1">
        <f t="shared" si="686"/>
        <v>20.3571428571429</v>
      </c>
      <c r="CJ193" s="45">
        <f t="shared" si="687"/>
        <v>129.18620689655</v>
      </c>
      <c r="CK193" s="5">
        <f t="shared" si="727"/>
        <v>341.51665655172</v>
      </c>
    </row>
    <row r="194" ht="17.0">
      <c r="A194" s="41" t="s">
        <v>30</v>
      </c>
      <c r="B194" s="41" t="s">
        <v>401</v>
      </c>
      <c r="C194" s="41" t="s">
        <v>422</v>
      </c>
      <c r="D194" s="57" t="s">
        <v>423</v>
      </c>
      <c r="E194" s="41">
        <v>0.0</v>
      </c>
      <c r="F194" s="41">
        <v>0.0</v>
      </c>
      <c r="G194" s="41">
        <v>0.0</v>
      </c>
      <c r="H194" s="41">
        <v>0.0</v>
      </c>
      <c r="I194" s="41">
        <v>0.0</v>
      </c>
      <c r="J194" s="41">
        <v>0.0</v>
      </c>
      <c r="K194" s="41">
        <v>0.0</v>
      </c>
      <c r="L194" s="41">
        <v>0.0</v>
      </c>
      <c r="M194" s="41">
        <v>0.0</v>
      </c>
      <c r="N194" s="41">
        <v>0.0</v>
      </c>
      <c r="O194" s="41">
        <v>0.0</v>
      </c>
      <c r="P194" s="41">
        <v>0.0</v>
      </c>
      <c r="Q194" s="41">
        <v>0.0</v>
      </c>
      <c r="R194" s="41">
        <v>0.0</v>
      </c>
      <c r="S194" s="41">
        <v>0.0</v>
      </c>
      <c r="T194" s="41">
        <v>0.0</v>
      </c>
      <c r="U194" s="41">
        <v>0.0</v>
      </c>
      <c r="V194" s="41">
        <v>0.0</v>
      </c>
      <c r="W194" s="41">
        <v>0.0</v>
      </c>
      <c r="X194" s="41">
        <v>0.0</v>
      </c>
      <c r="Y194" s="41">
        <v>0.0</v>
      </c>
      <c r="Z194" s="41">
        <v>0.0</v>
      </c>
      <c r="AA194" s="41">
        <v>54.0</v>
      </c>
      <c r="AB194" s="41">
        <v>48.0</v>
      </c>
      <c r="AC194" s="41">
        <v>51.0</v>
      </c>
      <c r="AD194" s="41">
        <v>33.0</v>
      </c>
      <c r="AE194" s="41">
        <v>33.0</v>
      </c>
      <c r="AF194" s="41">
        <v>12.0</v>
      </c>
      <c r="AG194" s="41">
        <v>27.0</v>
      </c>
      <c r="AH194" s="41">
        <v>15.0</v>
      </c>
      <c r="AI194" s="41">
        <v>12.0</v>
      </c>
      <c r="AJ194" s="41">
        <v>21.0</v>
      </c>
      <c r="AK194" s="41">
        <v>9.0</v>
      </c>
      <c r="AL194" s="41">
        <v>39.0</v>
      </c>
      <c r="AM194" s="43">
        <v>51.0</v>
      </c>
      <c r="AN194" s="43">
        <v>60.0</v>
      </c>
      <c r="AO194" s="43">
        <v>30.0</v>
      </c>
      <c r="AP194" s="43">
        <v>30.0</v>
      </c>
      <c r="AQ194" s="43">
        <v>18.0</v>
      </c>
      <c r="AR194" s="43">
        <v>3.0</v>
      </c>
      <c r="AS194" s="43">
        <v>18.0</v>
      </c>
      <c r="AT194" s="4">
        <f t="shared" si="4"/>
        <v>306.0</v>
      </c>
      <c r="AU194" s="4">
        <f t="shared" si="5"/>
        <v>147.0</v>
      </c>
      <c r="AV194" s="4">
        <f t="shared" si="6"/>
        <v>161.7</v>
      </c>
      <c r="AW194" s="1">
        <f t="shared" si="718"/>
        <v>19.8137931034482</v>
      </c>
      <c r="AX194" s="1">
        <f t="shared" si="719"/>
        <v>24.7672413793103</v>
      </c>
      <c r="AY194" s="1">
        <f t="shared" si="720"/>
        <v>26.6724137931034</v>
      </c>
      <c r="AZ194" s="1">
        <f t="shared" si="721"/>
        <v>36.9603448275862</v>
      </c>
      <c r="BA194" s="1">
        <f t="shared" si="722"/>
        <v>76.1</v>
      </c>
      <c r="BB194" s="1">
        <f t="shared" si="723"/>
        <v>43.5</v>
      </c>
      <c r="BC194" s="4">
        <f t="shared" si="728"/>
        <v>227.813793103448</v>
      </c>
      <c r="BD194" s="3">
        <f>VLOOKUP(D194,FEB23SOH,2,false)</f>
        <v>351.0</v>
      </c>
      <c r="BE194" s="44">
        <f>VLOOKUP(D194,UNITVALUE,4,false)</f>
        <v>2.509</v>
      </c>
      <c r="BF194" s="44">
        <f t="shared" si="16"/>
        <v>880.659</v>
      </c>
      <c r="BI194" s="6">
        <f t="shared" si="667"/>
        <v>123.186206896552</v>
      </c>
      <c r="BJ194" s="1">
        <v>504.0</v>
      </c>
      <c r="BM194" s="1">
        <f t="shared" si="668"/>
        <v>351.0</v>
      </c>
      <c r="BN194" s="1">
        <f t="shared" si="669"/>
        <v>19.8137931034482</v>
      </c>
      <c r="BP194" s="45">
        <f t="shared" si="670"/>
        <v>331.186206896551</v>
      </c>
      <c r="BQ194" s="5">
        <f t="shared" si="671"/>
        <v>830.94619310344</v>
      </c>
      <c r="BR194" s="1">
        <f t="shared" si="672"/>
        <v>24.7672413793103</v>
      </c>
      <c r="BS194" s="1">
        <f t="shared" si="673"/>
      </c>
      <c r="BT194" s="45">
        <f t="shared" si="674"/>
        <v>306.41896551724</v>
      </c>
      <c r="BU194" s="5">
        <f t="shared" si="701"/>
        <v>768.805184482755</v>
      </c>
      <c r="BV194" s="1">
        <f t="shared" si="676"/>
        <v>26.6724137931034</v>
      </c>
      <c r="BW194" s="1">
        <f t="shared" si="677"/>
      </c>
      <c r="BX194" s="45">
        <f t="shared" si="678"/>
        <v>279.746551724137</v>
      </c>
      <c r="BY194" s="5">
        <f t="shared" si="702"/>
        <v>701.88409827586</v>
      </c>
      <c r="BZ194" s="1">
        <f t="shared" si="680"/>
        <v>36.9603448275862</v>
      </c>
      <c r="CB194" s="45">
        <f t="shared" si="681"/>
        <v>242.78620689655</v>
      </c>
      <c r="CC194" s="5">
        <f t="shared" si="725"/>
        <v>609.150593103444</v>
      </c>
      <c r="CD194" s="1">
        <f t="shared" si="683"/>
        <v>76.1</v>
      </c>
      <c r="CF194" s="45">
        <f t="shared" si="684"/>
        <v>166.68620689655</v>
      </c>
      <c r="CG194" s="5">
        <f t="shared" si="726"/>
        <v>418.215693103443</v>
      </c>
      <c r="CH194" s="1">
        <f t="shared" si="686"/>
        <v>43.5</v>
      </c>
      <c r="CJ194" s="45">
        <f t="shared" si="687"/>
        <v>123.18620689655</v>
      </c>
      <c r="CK194" s="5">
        <f t="shared" si="727"/>
        <v>309.074193103444</v>
      </c>
    </row>
    <row r="195" ht="17.0">
      <c r="A195" s="41" t="s">
        <v>30</v>
      </c>
      <c r="B195" s="41" t="s">
        <v>401</v>
      </c>
      <c r="C195" s="41" t="s">
        <v>424</v>
      </c>
      <c r="D195" s="57" t="s">
        <v>425</v>
      </c>
      <c r="E195" s="41">
        <v>0.0</v>
      </c>
      <c r="F195" s="41">
        <v>0.0</v>
      </c>
      <c r="G195" s="41">
        <v>0.0</v>
      </c>
      <c r="H195" s="41">
        <v>0.0</v>
      </c>
      <c r="I195" s="41">
        <v>0.0</v>
      </c>
      <c r="J195" s="41">
        <v>0.0</v>
      </c>
      <c r="K195" s="41">
        <v>0.0</v>
      </c>
      <c r="L195" s="41">
        <v>0.0</v>
      </c>
      <c r="M195" s="41">
        <v>0.0</v>
      </c>
      <c r="N195" s="41">
        <v>0.0</v>
      </c>
      <c r="O195" s="41">
        <v>0.0</v>
      </c>
      <c r="P195" s="41">
        <v>0.0</v>
      </c>
      <c r="Q195" s="41">
        <v>0.0</v>
      </c>
      <c r="R195" s="41">
        <v>0.0</v>
      </c>
      <c r="S195" s="41">
        <v>0.0</v>
      </c>
      <c r="T195" s="41">
        <v>0.0</v>
      </c>
      <c r="U195" s="41">
        <v>0.0</v>
      </c>
      <c r="V195" s="41">
        <v>0.0</v>
      </c>
      <c r="W195" s="41">
        <v>0.0</v>
      </c>
      <c r="X195" s="41">
        <v>0.0</v>
      </c>
      <c r="Y195" s="41">
        <v>0.0</v>
      </c>
      <c r="Z195" s="41">
        <v>0.0</v>
      </c>
      <c r="AA195" s="41">
        <v>45.0</v>
      </c>
      <c r="AB195" s="41">
        <v>46.0</v>
      </c>
      <c r="AC195" s="41">
        <v>46.0</v>
      </c>
      <c r="AD195" s="41">
        <v>30.0</v>
      </c>
      <c r="AE195" s="41">
        <v>30.0</v>
      </c>
      <c r="AF195" s="41">
        <v>13.0</v>
      </c>
      <c r="AG195" s="41">
        <v>21.0</v>
      </c>
      <c r="AH195" s="41">
        <v>21.0</v>
      </c>
      <c r="AI195" s="41">
        <v>15.0</v>
      </c>
      <c r="AJ195" s="41">
        <v>21.0</v>
      </c>
      <c r="AK195" s="41">
        <v>9.0</v>
      </c>
      <c r="AL195" s="41">
        <v>39.0</v>
      </c>
      <c r="AM195" s="43">
        <v>51.0</v>
      </c>
      <c r="AN195" s="43">
        <v>57.0</v>
      </c>
      <c r="AO195" s="43">
        <v>18.0</v>
      </c>
      <c r="AP195" s="43">
        <v>30.0</v>
      </c>
      <c r="AQ195" s="43">
        <v>15.0</v>
      </c>
      <c r="AR195" s="43">
        <v>3.0</v>
      </c>
      <c r="AS195" s="43">
        <v>22.0</v>
      </c>
      <c r="AT195" s="4">
        <f t="shared" si="4"/>
        <v>301.0</v>
      </c>
      <c r="AU195" s="4">
        <f t="shared" si="5"/>
        <v>156.0</v>
      </c>
      <c r="AV195" s="4">
        <f t="shared" si="6"/>
        <v>171.6</v>
      </c>
      <c r="AW195" s="1">
        <f t="shared" si="718"/>
        <v>20.928078817734</v>
      </c>
      <c r="AX195" s="1">
        <f t="shared" si="719"/>
        <v>26.1600985221674</v>
      </c>
      <c r="AY195" s="1">
        <f t="shared" si="720"/>
        <v>28.1724137931034</v>
      </c>
      <c r="AZ195" s="1">
        <f t="shared" si="721"/>
        <v>39.0389162561576</v>
      </c>
      <c r="BA195" s="1">
        <f t="shared" si="722"/>
        <v>77.0857142857142</v>
      </c>
      <c r="BB195" s="1">
        <f t="shared" si="723"/>
        <v>45.4285714285714</v>
      </c>
      <c r="BC195" s="4">
        <f t="shared" si="728"/>
        <v>236.813793103448</v>
      </c>
      <c r="BD195" s="3">
        <f>VLOOKUP(D195,FEB23SOH,2,false)</f>
        <v>384.0</v>
      </c>
      <c r="BE195" s="44">
        <f>VLOOKUP(D195,UNITVALUE,4,false)</f>
        <v>2.5091</v>
      </c>
      <c r="BF195" s="44">
        <f t="shared" si="16"/>
        <v>963.4944</v>
      </c>
      <c r="BI195" s="6">
        <f t="shared" si="667"/>
        <v>147.186206896552</v>
      </c>
      <c r="BJ195" s="1">
        <v>504.0</v>
      </c>
      <c r="BM195" s="1">
        <f t="shared" si="668"/>
        <v>384.0</v>
      </c>
      <c r="BN195" s="1">
        <f t="shared" si="669"/>
        <v>20.928078817734</v>
      </c>
      <c r="BP195" s="45">
        <f t="shared" si="670"/>
        <v>363.071921182266</v>
      </c>
      <c r="BQ195" s="5">
        <f t="shared" si="671"/>
        <v>910.983757438423</v>
      </c>
      <c r="BR195" s="1">
        <f t="shared" si="672"/>
        <v>26.1600985221674</v>
      </c>
      <c r="BS195" s="1">
        <f t="shared" si="673"/>
      </c>
      <c r="BT195" s="45">
        <f t="shared" si="674"/>
        <v>336.911822660099</v>
      </c>
      <c r="BU195" s="5">
        <f t="shared" si="701"/>
        <v>845.345454236454</v>
      </c>
      <c r="BV195" s="1">
        <f t="shared" si="676"/>
        <v>28.1724137931034</v>
      </c>
      <c r="BW195" s="1">
        <f t="shared" si="677"/>
      </c>
      <c r="BX195" s="45">
        <f t="shared" si="678"/>
        <v>308.739408867</v>
      </c>
      <c r="BY195" s="5">
        <f t="shared" si="702"/>
        <v>774.65805078819</v>
      </c>
      <c r="BZ195" s="1">
        <f t="shared" si="680"/>
        <v>39.0389162561576</v>
      </c>
      <c r="CB195" s="45">
        <f t="shared" si="681"/>
        <v>269.700492610842</v>
      </c>
      <c r="CC195" s="5">
        <f t="shared" si="725"/>
        <v>676.705506009863</v>
      </c>
      <c r="CD195" s="1">
        <f t="shared" si="683"/>
        <v>77.0857142857142</v>
      </c>
      <c r="CF195" s="45">
        <f t="shared" si="684"/>
        <v>192.614778325128</v>
      </c>
      <c r="CG195" s="5">
        <f t="shared" si="726"/>
        <v>483.289740295579</v>
      </c>
      <c r="CH195" s="1">
        <f t="shared" si="686"/>
        <v>45.4285714285714</v>
      </c>
      <c r="CJ195" s="45">
        <f t="shared" si="687"/>
        <v>147.186206896557</v>
      </c>
      <c r="CK195" s="5">
        <f t="shared" si="727"/>
        <v>369.304911724151</v>
      </c>
    </row>
    <row r="196" ht="17.0">
      <c r="A196" s="41" t="s">
        <v>30</v>
      </c>
      <c r="B196" s="41" t="s">
        <v>401</v>
      </c>
      <c r="C196" s="41" t="s">
        <v>426</v>
      </c>
      <c r="D196" s="57" t="s">
        <v>427</v>
      </c>
      <c r="E196" s="41">
        <v>0.0</v>
      </c>
      <c r="F196" s="41">
        <v>0.0</v>
      </c>
      <c r="G196" s="41">
        <v>0.0</v>
      </c>
      <c r="H196" s="41">
        <v>0.0</v>
      </c>
      <c r="I196" s="41">
        <v>0.0</v>
      </c>
      <c r="J196" s="41">
        <v>0.0</v>
      </c>
      <c r="K196" s="41">
        <v>0.0</v>
      </c>
      <c r="L196" s="41">
        <v>0.0</v>
      </c>
      <c r="M196" s="41">
        <v>0.0</v>
      </c>
      <c r="N196" s="41">
        <v>0.0</v>
      </c>
      <c r="O196" s="41">
        <v>0.0</v>
      </c>
      <c r="P196" s="41">
        <v>0.0</v>
      </c>
      <c r="Q196" s="41">
        <v>0.0</v>
      </c>
      <c r="R196" s="41">
        <v>0.0</v>
      </c>
      <c r="S196" s="41">
        <v>0.0</v>
      </c>
      <c r="T196" s="41">
        <v>0.0</v>
      </c>
      <c r="U196" s="41">
        <v>0.0</v>
      </c>
      <c r="V196" s="41">
        <v>0.0</v>
      </c>
      <c r="W196" s="41">
        <v>0.0</v>
      </c>
      <c r="X196" s="41">
        <v>0.0</v>
      </c>
      <c r="Y196" s="41">
        <v>0.0</v>
      </c>
      <c r="Z196" s="41">
        <v>0.0</v>
      </c>
      <c r="AA196" s="41">
        <v>50.0</v>
      </c>
      <c r="AB196" s="41">
        <v>42.0</v>
      </c>
      <c r="AC196" s="41">
        <v>51.0</v>
      </c>
      <c r="AD196" s="41">
        <v>36.0</v>
      </c>
      <c r="AE196" s="41">
        <v>24.0</v>
      </c>
      <c r="AF196" s="41">
        <v>18.0</v>
      </c>
      <c r="AG196" s="41">
        <v>12.0</v>
      </c>
      <c r="AH196" s="41">
        <v>18.0</v>
      </c>
      <c r="AI196" s="41">
        <v>9.0</v>
      </c>
      <c r="AJ196" s="41">
        <v>21.0</v>
      </c>
      <c r="AK196" s="41">
        <v>6.0</v>
      </c>
      <c r="AL196" s="41">
        <v>36.0</v>
      </c>
      <c r="AM196" s="43">
        <v>60.0</v>
      </c>
      <c r="AN196" s="43">
        <v>57.0</v>
      </c>
      <c r="AO196" s="43">
        <v>48.0</v>
      </c>
      <c r="AP196" s="43">
        <v>24.0</v>
      </c>
      <c r="AQ196" s="43">
        <v>21.0</v>
      </c>
      <c r="AR196" s="43">
        <v>6.0</v>
      </c>
      <c r="AS196" s="43">
        <v>11.0</v>
      </c>
      <c r="AT196" s="4">
        <f t="shared" si="4"/>
        <v>317.0</v>
      </c>
      <c r="AU196" s="4">
        <f t="shared" si="5"/>
        <v>150.0</v>
      </c>
      <c r="AV196" s="4">
        <f t="shared" si="6"/>
        <v>165.0</v>
      </c>
      <c r="AW196" s="1">
        <f t="shared" si="718"/>
        <v>20.1852216748772</v>
      </c>
      <c r="AX196" s="1">
        <f t="shared" si="719"/>
        <v>25.231527093596</v>
      </c>
      <c r="AY196" s="1">
        <f t="shared" si="720"/>
        <v>27.1724137931034</v>
      </c>
      <c r="AZ196" s="1">
        <f t="shared" si="721"/>
        <v>37.6532019704433</v>
      </c>
      <c r="BA196" s="1">
        <f t="shared" si="722"/>
        <v>76.4285714285714</v>
      </c>
      <c r="BB196" s="1">
        <f t="shared" si="723"/>
        <v>44.1428571428571</v>
      </c>
      <c r="BC196" s="4">
        <f t="shared" si="728"/>
        <v>230.813793103448</v>
      </c>
      <c r="BD196" s="3">
        <f>VLOOKUP(D196,FEB23SOH,2,false)</f>
        <v>364.0</v>
      </c>
      <c r="BE196" s="44">
        <f>VLOOKUP(D196,UNITVALUE,4,false)</f>
        <v>2.5091</v>
      </c>
      <c r="BF196" s="44">
        <f t="shared" si="16"/>
        <v>913.3124</v>
      </c>
      <c r="BI196" s="6">
        <f t="shared" si="667"/>
        <v>133.186206896552</v>
      </c>
      <c r="BJ196" s="1">
        <v>504.0</v>
      </c>
      <c r="BM196" s="1">
        <f t="shared" si="668"/>
        <v>364.0</v>
      </c>
      <c r="BN196" s="1">
        <f t="shared" si="669"/>
        <v>20.1852216748772</v>
      </c>
      <c r="BP196" s="45">
        <f t="shared" si="670"/>
        <v>343.814778325122</v>
      </c>
      <c r="BQ196" s="5">
        <f t="shared" si="671"/>
        <v>862.665660295563</v>
      </c>
      <c r="BR196" s="1">
        <f t="shared" si="672"/>
        <v>25.231527093596</v>
      </c>
      <c r="BS196" s="1">
        <f t="shared" si="673"/>
      </c>
      <c r="BT196" s="45">
        <f t="shared" si="674"/>
        <v>318.583251231526</v>
      </c>
      <c r="BU196" s="5">
        <f t="shared" si="701"/>
        <v>799.357235665021</v>
      </c>
      <c r="BV196" s="1">
        <f t="shared" si="676"/>
        <v>27.1724137931034</v>
      </c>
      <c r="BW196" s="1">
        <f t="shared" si="677"/>
      </c>
      <c r="BX196" s="45">
        <f t="shared" si="678"/>
        <v>291.410837438422</v>
      </c>
      <c r="BY196" s="5">
        <f t="shared" si="702"/>
        <v>731.178932216744</v>
      </c>
      <c r="BZ196" s="1">
        <f t="shared" si="680"/>
        <v>37.6532019704433</v>
      </c>
      <c r="CB196" s="45">
        <f t="shared" si="681"/>
        <v>253.757635467979</v>
      </c>
      <c r="CC196" s="5">
        <f t="shared" si="725"/>
        <v>636.703283152706</v>
      </c>
      <c r="CD196" s="1">
        <f t="shared" si="683"/>
        <v>76.4285714285714</v>
      </c>
      <c r="CF196" s="45">
        <f t="shared" si="684"/>
        <v>177.329064039408</v>
      </c>
      <c r="CG196" s="5">
        <f t="shared" si="726"/>
        <v>444.93635458128</v>
      </c>
      <c r="CH196" s="1">
        <f t="shared" si="686"/>
        <v>44.1428571428571</v>
      </c>
      <c r="CJ196" s="45">
        <f t="shared" si="687"/>
        <v>133.18620689655</v>
      </c>
      <c r="CK196" s="5">
        <f t="shared" si="727"/>
        <v>334.177511724133</v>
      </c>
    </row>
    <row r="197" ht="17.0">
      <c r="A197" s="41" t="s">
        <v>30</v>
      </c>
      <c r="B197" s="10" t="s">
        <v>401</v>
      </c>
      <c r="C197" s="41" t="s">
        <v>428</v>
      </c>
      <c r="D197" s="71" t="s">
        <v>429</v>
      </c>
      <c r="E197" s="41">
        <v>8.0</v>
      </c>
      <c r="F197" s="41">
        <v>20.0</v>
      </c>
      <c r="G197" s="41">
        <v>4.0</v>
      </c>
      <c r="H197" s="41">
        <v>4.0</v>
      </c>
      <c r="I197" s="41">
        <v>0.0</v>
      </c>
      <c r="J197" s="41">
        <v>4.0</v>
      </c>
      <c r="K197" s="41">
        <v>4.0</v>
      </c>
      <c r="L197" s="41">
        <v>4.0</v>
      </c>
      <c r="M197" s="41">
        <v>8.0</v>
      </c>
      <c r="N197" s="41">
        <v>12.0</v>
      </c>
      <c r="O197" s="41">
        <v>12.0</v>
      </c>
      <c r="P197" s="41">
        <v>4.0</v>
      </c>
      <c r="Q197" s="41">
        <v>16.0</v>
      </c>
      <c r="R197" s="41">
        <v>16.0</v>
      </c>
      <c r="S197" s="41">
        <v>12.0</v>
      </c>
      <c r="T197" s="41">
        <v>0.0</v>
      </c>
      <c r="U197" s="41">
        <v>4.0</v>
      </c>
      <c r="V197" s="41">
        <v>8.0</v>
      </c>
      <c r="W197" s="41">
        <v>0.0</v>
      </c>
      <c r="X197" s="41">
        <v>0.0</v>
      </c>
      <c r="Y197" s="41">
        <v>4.0</v>
      </c>
      <c r="Z197" s="41">
        <v>1.0</v>
      </c>
      <c r="AA197" s="41">
        <v>16.0</v>
      </c>
      <c r="AB197" s="41">
        <v>8.0</v>
      </c>
      <c r="AC197" s="41">
        <v>0.0</v>
      </c>
      <c r="AD197" s="41">
        <v>0.0</v>
      </c>
      <c r="AE197" s="41">
        <v>8.0</v>
      </c>
      <c r="AF197" s="41">
        <v>1.0</v>
      </c>
      <c r="AG197" s="41">
        <v>0.0</v>
      </c>
      <c r="AH197" s="41">
        <v>0.0</v>
      </c>
      <c r="AI197" s="41">
        <v>0.0</v>
      </c>
      <c r="AJ197" s="41">
        <v>0.0</v>
      </c>
      <c r="AK197" s="41">
        <v>0.0</v>
      </c>
      <c r="AL197" s="41">
        <v>16.0</v>
      </c>
      <c r="AM197" s="43">
        <v>4.0</v>
      </c>
      <c r="AN197" s="43">
        <v>4.0</v>
      </c>
      <c r="AO197" s="43">
        <v>0.0</v>
      </c>
      <c r="AP197" s="43">
        <v>4.0</v>
      </c>
      <c r="AQ197" s="43">
        <v>12.0</v>
      </c>
      <c r="AR197" s="43">
        <v>0.0</v>
      </c>
      <c r="AS197" s="43">
        <v>0.0</v>
      </c>
      <c r="AT197" s="4">
        <f t="shared" si="4"/>
        <v>40.0</v>
      </c>
      <c r="AU197" s="4">
        <f t="shared" si="5"/>
        <v>20.0</v>
      </c>
      <c r="AV197" s="4">
        <f t="shared" si="6"/>
        <v>22.0</v>
      </c>
      <c r="AW197" s="1">
        <f t="shared" ref="AW197:AW198" si="729">AV197*$AW$4/$AV$4+4*$AW$362</f>
        <v>2.83481116584557</v>
      </c>
      <c r="AX197" s="1">
        <f t="shared" ref="AX197:AX198" si="730">AV197*$AX$4/$AV$4+4*$AX$362</f>
        <v>3.54351395730706</v>
      </c>
      <c r="AY197" s="1">
        <f t="shared" ref="AY197:AY198" si="731">AV197*$AY$4/$AV$4+4*$AY$362</f>
        <v>3.81609195402298</v>
      </c>
      <c r="AZ197" s="1">
        <f t="shared" ref="AZ197:AZ198" si="732">AV197*$AZ$4/$AV$4+4*$AZ$362</f>
        <v>5.28801313628899</v>
      </c>
      <c r="BA197" s="1">
        <f t="shared" ref="BA197:BA198" si="733">AV197*$BA$4/$AV$4+4*$BA$362</f>
        <v>18.1904761904761</v>
      </c>
      <c r="BB197" s="1">
        <f t="shared" ref="BB197:BB198" si="734">AV197*$BB$4/$AV$4+4*$BB$362</f>
        <v>28.2857142857142</v>
      </c>
      <c r="BC197" s="4">
        <f t="shared" si="728"/>
        <v>61.9586206896549</v>
      </c>
      <c r="BD197" s="3">
        <f>VLOOKUP(D197,FEB23SOH,2,false)</f>
        <v>593.0</v>
      </c>
      <c r="BE197" s="44">
        <f>VLOOKUP(D197,UNITVALUE,4,false)</f>
        <v>4.6246</v>
      </c>
      <c r="BF197" s="44">
        <f t="shared" si="16"/>
        <v>2742.3878</v>
      </c>
      <c r="BI197" s="6">
        <f t="shared" si="667"/>
        <v>531.041379310345</v>
      </c>
      <c r="BJ197" s="1">
        <f>VLOOKUP(C197,MOQ,3,FALSE())</f>
        <v>1000.0</v>
      </c>
      <c r="BK197" s="53" t="s">
        <v>0</v>
      </c>
      <c r="BM197" s="1">
        <f t="shared" si="668"/>
        <v>593.0</v>
      </c>
      <c r="BN197" s="1">
        <f t="shared" si="669"/>
        <v>2.83481116584557</v>
      </c>
      <c r="BP197" s="45">
        <f t="shared" si="670"/>
        <v>590.165188834154</v>
      </c>
      <c r="BQ197" s="5">
        <f t="shared" si="671"/>
        <v>2729.27793228242</v>
      </c>
      <c r="BR197" s="1">
        <f t="shared" si="672"/>
        <v>3.54351395730706</v>
      </c>
      <c r="BS197" s="1">
        <f t="shared" si="673"/>
      </c>
      <c r="BT197" s="45">
        <f t="shared" si="674"/>
        <v>586.621674876847</v>
      </c>
      <c r="BU197" s="5">
        <f t="shared" si="701"/>
        <v>2712.89059763547</v>
      </c>
      <c r="BV197" s="1">
        <f t="shared" si="676"/>
        <v>3.81609195402298</v>
      </c>
      <c r="BW197" s="1">
        <f t="shared" si="677"/>
      </c>
      <c r="BX197" s="45">
        <f t="shared" si="678"/>
        <v>582.805582922824</v>
      </c>
      <c r="BY197" s="5">
        <f t="shared" si="702"/>
        <v>2695.24269878489</v>
      </c>
      <c r="BZ197" s="1">
        <f t="shared" si="680"/>
        <v>5.28801313628899</v>
      </c>
      <c r="CB197" s="45">
        <f t="shared" si="681"/>
        <v>577.517569786535</v>
      </c>
      <c r="CC197" s="5">
        <f t="shared" si="725"/>
        <v>2670.7877532348</v>
      </c>
      <c r="CD197" s="1">
        <f t="shared" si="683"/>
        <v>18.1904761904761</v>
      </c>
      <c r="CF197" s="45">
        <f t="shared" si="684"/>
        <v>559.32709359606</v>
      </c>
      <c r="CG197" s="5">
        <f t="shared" si="726"/>
        <v>2586.66407704433</v>
      </c>
      <c r="CH197" s="1">
        <f t="shared" si="686"/>
        <v>28.2857142857142</v>
      </c>
      <c r="CJ197" s="45">
        <f t="shared" si="687"/>
        <v>531.041379310346</v>
      </c>
      <c r="CK197" s="5">
        <f t="shared" si="727"/>
        <v>2455.85396275862</v>
      </c>
    </row>
    <row r="198" ht="17.0">
      <c r="A198" s="41" t="s">
        <v>30</v>
      </c>
      <c r="B198" s="10" t="s">
        <v>401</v>
      </c>
      <c r="C198" s="41" t="s">
        <v>430</v>
      </c>
      <c r="D198" s="71" t="s">
        <v>431</v>
      </c>
      <c r="E198" s="41">
        <v>32.0</v>
      </c>
      <c r="F198" s="41">
        <v>32.0</v>
      </c>
      <c r="G198" s="41">
        <v>20.0</v>
      </c>
      <c r="H198" s="41">
        <v>4.0</v>
      </c>
      <c r="I198" s="41">
        <v>12.0</v>
      </c>
      <c r="J198" s="41">
        <v>21.0</v>
      </c>
      <c r="K198" s="41">
        <v>24.0</v>
      </c>
      <c r="L198" s="41">
        <v>16.0</v>
      </c>
      <c r="M198" s="41">
        <v>4.0</v>
      </c>
      <c r="N198" s="41">
        <v>12.0</v>
      </c>
      <c r="O198" s="41">
        <v>37.0</v>
      </c>
      <c r="P198" s="41">
        <v>16.0</v>
      </c>
      <c r="Q198" s="41">
        <v>32.0</v>
      </c>
      <c r="R198" s="41">
        <v>4.0</v>
      </c>
      <c r="S198" s="41">
        <v>24.0</v>
      </c>
      <c r="T198" s="41">
        <v>8.0</v>
      </c>
      <c r="U198" s="41">
        <v>8.0</v>
      </c>
      <c r="V198" s="41">
        <v>12.0</v>
      </c>
      <c r="W198" s="41">
        <v>12.0</v>
      </c>
      <c r="X198" s="41">
        <v>8.0</v>
      </c>
      <c r="Y198" s="41">
        <v>8.0</v>
      </c>
      <c r="Z198" s="41">
        <v>1.0</v>
      </c>
      <c r="AA198" s="41">
        <v>40.0</v>
      </c>
      <c r="AB198" s="41">
        <v>4.0</v>
      </c>
      <c r="AC198" s="41">
        <v>4.0</v>
      </c>
      <c r="AD198" s="41">
        <v>12.0</v>
      </c>
      <c r="AE198" s="41">
        <v>8.0</v>
      </c>
      <c r="AF198" s="41">
        <v>0.0</v>
      </c>
      <c r="AG198" s="41">
        <v>0.0</v>
      </c>
      <c r="AH198" s="41">
        <v>4.0</v>
      </c>
      <c r="AI198" s="41">
        <v>8.0</v>
      </c>
      <c r="AJ198" s="41">
        <v>4.0</v>
      </c>
      <c r="AK198" s="41">
        <v>0.0</v>
      </c>
      <c r="AL198" s="41">
        <v>12.0</v>
      </c>
      <c r="AM198" s="43">
        <v>8.0</v>
      </c>
      <c r="AN198" s="43">
        <v>4.0</v>
      </c>
      <c r="AO198" s="43">
        <v>8.0</v>
      </c>
      <c r="AP198" s="43">
        <v>20.0</v>
      </c>
      <c r="AQ198" s="43">
        <v>4.0</v>
      </c>
      <c r="AR198" s="43">
        <v>4.0</v>
      </c>
      <c r="AS198" s="43">
        <v>10.0</v>
      </c>
      <c r="AT198" s="4">
        <f t="shared" si="4"/>
        <v>86.0</v>
      </c>
      <c r="AU198" s="4">
        <f t="shared" si="5"/>
        <v>36.0</v>
      </c>
      <c r="AV198" s="4">
        <f t="shared" si="6"/>
        <v>39.6</v>
      </c>
      <c r="AW198" s="1">
        <f t="shared" si="729"/>
        <v>4.81576354679803</v>
      </c>
      <c r="AX198" s="1">
        <f t="shared" si="730"/>
        <v>6.01970443349753</v>
      </c>
      <c r="AY198" s="1">
        <f t="shared" si="731"/>
        <v>6.48275862068965</v>
      </c>
      <c r="AZ198" s="1">
        <f t="shared" si="732"/>
        <v>8.98325123152709</v>
      </c>
      <c r="BA198" s="1">
        <f t="shared" si="733"/>
        <v>19.9428571428571</v>
      </c>
      <c r="BB198" s="1">
        <f t="shared" si="734"/>
        <v>31.7142857142857</v>
      </c>
      <c r="BC198" s="4">
        <f t="shared" si="728"/>
        <v>77.9586206896551</v>
      </c>
      <c r="BD198" s="3">
        <f>VLOOKUP(D198,FEB23SOH,2,false)</f>
        <v>188.0</v>
      </c>
      <c r="BE198" s="44">
        <f>VLOOKUP(D198,UNITVALUE,4,false)</f>
        <v>5.9186</v>
      </c>
      <c r="BF198" s="44">
        <f t="shared" si="16"/>
        <v>1112.6968</v>
      </c>
      <c r="BI198" s="6">
        <f t="shared" si="667"/>
        <v>110.041379310344</v>
      </c>
      <c r="BJ198" s="1">
        <f>VLOOKUP(C198,MOQ,3,FALSE())</f>
        <v>1000.0</v>
      </c>
      <c r="BK198" s="53" t="s">
        <v>0</v>
      </c>
      <c r="BM198" s="1">
        <f t="shared" si="668"/>
        <v>188.0</v>
      </c>
      <c r="BN198" s="1">
        <f t="shared" si="669"/>
        <v>4.81576354679803</v>
      </c>
      <c r="BP198" s="45">
        <f t="shared" si="670"/>
        <v>183.184236453201</v>
      </c>
      <c r="BQ198" s="5">
        <f t="shared" si="671"/>
        <v>1084.19422187191</v>
      </c>
      <c r="BR198" s="1">
        <f t="shared" si="672"/>
        <v>6.01970443349753</v>
      </c>
      <c r="BS198" s="1">
        <f t="shared" si="673"/>
      </c>
      <c r="BT198" s="45">
        <f t="shared" si="674"/>
        <v>177.164532019703</v>
      </c>
      <c r="BU198" s="5">
        <f t="shared" si="701"/>
        <v>1048.56599921181</v>
      </c>
      <c r="BV198" s="1">
        <f t="shared" si="676"/>
        <v>6.48275862068965</v>
      </c>
      <c r="BW198" s="1">
        <f t="shared" si="677"/>
      </c>
      <c r="BX198" s="45">
        <f t="shared" si="678"/>
        <v>170.681773399013</v>
      </c>
      <c r="BY198" s="5">
        <f t="shared" si="702"/>
        <v>1010.1971440394</v>
      </c>
      <c r="BZ198" s="1">
        <f t="shared" si="680"/>
        <v>8.98325123152709</v>
      </c>
      <c r="CB198" s="45">
        <f t="shared" si="681"/>
        <v>161.698522167486</v>
      </c>
      <c r="CC198" s="5">
        <f t="shared" si="725"/>
        <v>957.028873300482</v>
      </c>
      <c r="CD198" s="1">
        <f t="shared" si="683"/>
        <v>19.9428571428571</v>
      </c>
      <c r="CF198" s="45">
        <f t="shared" si="684"/>
        <v>141.755665024629</v>
      </c>
      <c r="CG198" s="5">
        <f t="shared" si="726"/>
        <v>838.995079014769</v>
      </c>
      <c r="CH198" s="1">
        <f t="shared" si="686"/>
        <v>31.7142857142857</v>
      </c>
      <c r="CJ198" s="45">
        <f t="shared" si="687"/>
        <v>110.041379310343</v>
      </c>
      <c r="CK198" s="5">
        <f t="shared" si="727"/>
        <v>651.290907586196</v>
      </c>
    </row>
    <row r="199" ht="17.0">
      <c r="A199" s="41" t="s">
        <v>30</v>
      </c>
      <c r="B199" s="10" t="s">
        <v>401</v>
      </c>
      <c r="C199" s="41" t="s">
        <v>432</v>
      </c>
      <c r="D199" s="42" t="s">
        <v>433</v>
      </c>
      <c r="E199" s="41">
        <v>24.0</v>
      </c>
      <c r="F199" s="41">
        <v>20.0</v>
      </c>
      <c r="G199" s="41">
        <v>25.0</v>
      </c>
      <c r="H199" s="41">
        <v>24.0</v>
      </c>
      <c r="I199" s="41">
        <v>15.0</v>
      </c>
      <c r="J199" s="41">
        <v>4.0</v>
      </c>
      <c r="K199" s="41">
        <v>16.0</v>
      </c>
      <c r="L199" s="41">
        <v>8.0</v>
      </c>
      <c r="M199" s="41">
        <v>16.0</v>
      </c>
      <c r="N199" s="41">
        <v>32.0</v>
      </c>
      <c r="O199" s="41">
        <v>32.0</v>
      </c>
      <c r="P199" s="41">
        <v>16.0</v>
      </c>
      <c r="Q199" s="41">
        <v>16.0</v>
      </c>
      <c r="R199" s="41">
        <v>33.0</v>
      </c>
      <c r="S199" s="41">
        <v>12.0</v>
      </c>
      <c r="T199" s="41">
        <v>4.0</v>
      </c>
      <c r="U199" s="41">
        <v>16.0</v>
      </c>
      <c r="V199" s="41">
        <v>8.0</v>
      </c>
      <c r="W199" s="41">
        <v>4.0</v>
      </c>
      <c r="X199" s="41">
        <v>8.0</v>
      </c>
      <c r="Y199" s="41">
        <v>2.0</v>
      </c>
      <c r="Z199" s="41">
        <v>5.0</v>
      </c>
      <c r="AA199" s="41">
        <v>8.0</v>
      </c>
      <c r="AB199" s="41">
        <v>8.0</v>
      </c>
      <c r="AC199" s="41">
        <v>4.0</v>
      </c>
      <c r="AD199" s="41">
        <v>24.0</v>
      </c>
      <c r="AE199" s="41">
        <v>5.0</v>
      </c>
      <c r="AF199" s="41">
        <v>0.0</v>
      </c>
      <c r="AG199" s="41">
        <v>0.0</v>
      </c>
      <c r="AH199" s="41">
        <v>0.0</v>
      </c>
      <c r="AI199" s="41">
        <v>0.0</v>
      </c>
      <c r="AJ199" s="41">
        <v>0.0</v>
      </c>
      <c r="AK199" s="41">
        <v>0.0</v>
      </c>
      <c r="AL199" s="41">
        <v>4.0</v>
      </c>
      <c r="AM199" s="43">
        <v>0.0</v>
      </c>
      <c r="AN199" s="43">
        <v>0.0</v>
      </c>
      <c r="AO199" s="43">
        <v>0.0</v>
      </c>
      <c r="AP199" s="43">
        <v>4.0</v>
      </c>
      <c r="AQ199" s="43">
        <v>0.0</v>
      </c>
      <c r="AR199" s="43">
        <v>0.0</v>
      </c>
      <c r="AS199" s="43">
        <v>0.0</v>
      </c>
      <c r="AT199" s="4">
        <f t="shared" si="4"/>
        <v>8.0</v>
      </c>
      <c r="AU199" s="4">
        <f t="shared" si="5"/>
        <v>4.0</v>
      </c>
      <c r="AV199" s="4">
        <f t="shared" si="6"/>
        <v>4.4</v>
      </c>
      <c r="AW199" s="1">
        <f>AV199*$AW$4/$AV$4</f>
        <v>0.495238095238095</v>
      </c>
      <c r="AX199" s="1">
        <f>AV199*$AX$4/$AV$4</f>
        <v>0.619047619047619</v>
      </c>
      <c r="AY199" s="1">
        <f>AV199*$AY$4/$AV$4</f>
        <v>0.666666666666667</v>
      </c>
      <c r="AZ199" s="1">
        <f>AV199*$AZ$4/$AV$4</f>
        <v>0.923809523809523</v>
      </c>
      <c r="BA199" s="1">
        <f>AV199*$BA$4/$AV$4</f>
        <v>0.438095238095238</v>
      </c>
      <c r="BB199" s="1">
        <f>AV199*$BB$4/$AV$4</f>
        <v>0.857142857142857</v>
      </c>
      <c r="BC199" s="4">
        <f t="shared" si="728"/>
        <v>4.0</v>
      </c>
      <c r="BD199" s="3">
        <f>VLOOKUP(D199,FEB23SOH,2,false)</f>
        <v>0.0</v>
      </c>
      <c r="BE199" s="44">
        <f>VLOOKUP(D199,UNITVALUE,4,false)</f>
      </c>
      <c r="BF199" s="44">
        <f t="shared" si="16"/>
        <v>0.0</v>
      </c>
      <c r="BI199" s="6">
        <f t="shared" si="667"/>
        <v>-4.0</v>
      </c>
      <c r="BJ199" s="1">
        <f>VLOOKUP(C199,MOQ,3,FALSE())</f>
        <v>1000.0</v>
      </c>
      <c r="BK199" s="53" t="s">
        <v>0</v>
      </c>
      <c r="BL199" s="8" t="s">
        <v>68</v>
      </c>
      <c r="BM199" s="1">
        <f t="shared" si="668"/>
        <v>0.0</v>
      </c>
      <c r="BN199" s="1">
        <f t="shared" si="669"/>
        <v>0.495238095238095</v>
      </c>
      <c r="BP199" s="45">
        <f t="shared" si="670"/>
        <v>-0.495238095238095</v>
      </c>
      <c r="BR199" s="1">
        <f t="shared" si="672"/>
        <v>0.619047619047619</v>
      </c>
      <c r="BS199" s="1">
        <f t="shared" si="673"/>
      </c>
      <c r="BT199" s="45">
        <f t="shared" si="674"/>
        <v>-1.11428571428571</v>
      </c>
      <c r="BU199" s="5"/>
      <c r="BV199" s="1">
        <f t="shared" si="676"/>
        <v>0.666666666666667</v>
      </c>
      <c r="BW199" s="1">
        <f t="shared" si="677"/>
      </c>
      <c r="BX199" s="45">
        <f t="shared" si="678"/>
        <v>-1.78095238095236</v>
      </c>
      <c r="BY199" s="5"/>
      <c r="BZ199" s="1">
        <f t="shared" si="680"/>
        <v>0.923809523809523</v>
      </c>
      <c r="CB199" s="45">
        <f t="shared" si="681"/>
        <v>-2.70476190476188</v>
      </c>
      <c r="CC199" s="5"/>
      <c r="CD199" s="1">
        <f t="shared" si="683"/>
        <v>0.438095238095238</v>
      </c>
      <c r="CF199" s="45">
        <f t="shared" si="684"/>
        <v>-3.14285714285711</v>
      </c>
      <c r="CG199" s="5"/>
      <c r="CH199" s="1">
        <f t="shared" si="686"/>
        <v>0.857142857142857</v>
      </c>
      <c r="CJ199" s="45">
        <f t="shared" si="687"/>
        <v>-3.99999999999995</v>
      </c>
      <c r="CK199" s="5"/>
    </row>
    <row r="200" ht="17.0">
      <c r="A200" s="41" t="s">
        <v>30</v>
      </c>
      <c r="B200" s="10" t="s">
        <v>401</v>
      </c>
      <c r="C200" s="41" t="s">
        <v>434</v>
      </c>
      <c r="D200" s="71" t="s">
        <v>435</v>
      </c>
      <c r="E200" s="41">
        <v>-1.0</v>
      </c>
      <c r="F200" s="41">
        <v>12.0</v>
      </c>
      <c r="G200" s="41">
        <v>0.0</v>
      </c>
      <c r="H200" s="41">
        <v>0.0</v>
      </c>
      <c r="I200" s="41">
        <v>0.0</v>
      </c>
      <c r="J200" s="41">
        <v>4.0</v>
      </c>
      <c r="K200" s="41">
        <v>8.0</v>
      </c>
      <c r="L200" s="41">
        <v>0.0</v>
      </c>
      <c r="M200" s="41">
        <v>8.0</v>
      </c>
      <c r="N200" s="41">
        <v>8.0</v>
      </c>
      <c r="O200" s="41">
        <v>8.0</v>
      </c>
      <c r="P200" s="41">
        <v>8.0</v>
      </c>
      <c r="Q200" s="41">
        <v>8.0</v>
      </c>
      <c r="R200" s="41">
        <v>12.0</v>
      </c>
      <c r="S200" s="41">
        <v>0.0</v>
      </c>
      <c r="T200" s="41">
        <v>8.0</v>
      </c>
      <c r="U200" s="41">
        <v>0.0</v>
      </c>
      <c r="V200" s="41">
        <v>0.0</v>
      </c>
      <c r="W200" s="41">
        <v>0.0</v>
      </c>
      <c r="X200" s="41">
        <v>1.0</v>
      </c>
      <c r="Y200" s="41">
        <v>0.0</v>
      </c>
      <c r="Z200" s="41">
        <v>1.0</v>
      </c>
      <c r="AA200" s="41">
        <v>0.0</v>
      </c>
      <c r="AB200" s="41">
        <v>10.0</v>
      </c>
      <c r="AC200" s="41">
        <v>0.0</v>
      </c>
      <c r="AD200" s="41">
        <v>8.0</v>
      </c>
      <c r="AE200" s="41">
        <v>4.0</v>
      </c>
      <c r="AF200" s="41">
        <v>4.0</v>
      </c>
      <c r="AG200" s="41">
        <v>0.0</v>
      </c>
      <c r="AH200" s="41">
        <v>4.0</v>
      </c>
      <c r="AI200" s="41">
        <v>0.0</v>
      </c>
      <c r="AJ200" s="41">
        <v>0.0</v>
      </c>
      <c r="AK200" s="41">
        <v>4.0</v>
      </c>
      <c r="AL200" s="41">
        <v>4.0</v>
      </c>
      <c r="AM200" s="43">
        <v>4.0</v>
      </c>
      <c r="AN200" s="43">
        <v>0.0</v>
      </c>
      <c r="AO200" s="43">
        <v>5.0</v>
      </c>
      <c r="AP200" s="43">
        <v>8.0</v>
      </c>
      <c r="AQ200" s="43">
        <v>0.0</v>
      </c>
      <c r="AR200" s="43">
        <v>0.0</v>
      </c>
      <c r="AS200" s="43">
        <v>0.0</v>
      </c>
      <c r="AT200" s="4">
        <f t="shared" si="4"/>
        <v>29.0</v>
      </c>
      <c r="AU200" s="4">
        <f t="shared" si="5"/>
        <v>16.0</v>
      </c>
      <c r="AV200" s="4">
        <f t="shared" si="6"/>
        <v>17.6</v>
      </c>
      <c r="AW200" s="1">
        <f>AV200*$AW$4/$AV$4+4*$AW$362</f>
        <v>2.33957307060755</v>
      </c>
      <c r="AX200" s="1">
        <f>AV200*$AX$4/$AV$4+4*$AX$362</f>
        <v>2.92446633825936</v>
      </c>
      <c r="AY200" s="1">
        <f>AV200*$AY$4/$AV$4+4*$AY$362</f>
        <v>3.14942528735632</v>
      </c>
      <c r="AZ200" s="1">
        <f>AV200*$AZ$4/$AV$4+4*$AZ$362</f>
        <v>4.3642036124794</v>
      </c>
      <c r="BA200" s="1">
        <f>AV200*$BA$4/$AV$4+4*$BA$362</f>
        <v>17.752380952381</v>
      </c>
      <c r="BB200" s="1">
        <f>AV200*$BB$4/$AV$4+4*$BB$362</f>
        <v>27.4285714285714</v>
      </c>
      <c r="BC200" s="4">
        <f t="shared" si="728"/>
        <v>57.958620689655</v>
      </c>
      <c r="BD200" s="3">
        <f>VLOOKUP(D200,FEB23SOH,2,false)</f>
        <v>491.0</v>
      </c>
      <c r="BE200" s="44">
        <f>VLOOKUP(D200,UNITVALUE,4,false)</f>
        <v>4.9056</v>
      </c>
      <c r="BF200" s="44">
        <f t="shared" si="16"/>
        <v>2408.6496</v>
      </c>
      <c r="BI200" s="6">
        <f t="shared" si="667"/>
        <v>433.041379310345</v>
      </c>
      <c r="BJ200" s="1">
        <f>VLOOKUP(C200,MOQ,3,FALSE())</f>
        <v>1000.0</v>
      </c>
      <c r="BK200" s="53" t="s">
        <v>0</v>
      </c>
      <c r="BM200" s="1">
        <f t="shared" si="668"/>
        <v>491.0</v>
      </c>
      <c r="BN200" s="1">
        <f t="shared" si="669"/>
        <v>2.33957307060755</v>
      </c>
      <c r="BP200" s="45">
        <f t="shared" si="670"/>
        <v>488.660426929392</v>
      </c>
      <c r="BQ200" s="5">
        <f t="shared" ref="BQ200:BQ204" si="748">BP200*BE200</f>
        <v>2397.17259034482</v>
      </c>
      <c r="BR200" s="1">
        <f t="shared" si="672"/>
        <v>2.92446633825936</v>
      </c>
      <c r="BS200" s="1">
        <f t="shared" si="673"/>
      </c>
      <c r="BT200" s="45">
        <f t="shared" si="674"/>
        <v>485.735960591132</v>
      </c>
      <c r="BU200" s="5">
        <f t="shared" ref="BU200:BU201" si="749">BT200*BE200</f>
        <v>2382.82632827586</v>
      </c>
      <c r="BV200" s="1">
        <f t="shared" si="676"/>
        <v>3.14942528735632</v>
      </c>
      <c r="BW200" s="1">
        <f t="shared" si="677"/>
      </c>
      <c r="BX200" s="45">
        <f t="shared" si="678"/>
        <v>482.58653530378</v>
      </c>
      <c r="BY200" s="5">
        <f t="shared" ref="BY200:BY201" si="750">BX200*BE200</f>
        <v>2367.37650758622</v>
      </c>
      <c r="BZ200" s="1">
        <f t="shared" si="680"/>
        <v>4.3642036124794</v>
      </c>
      <c r="CB200" s="45">
        <f t="shared" si="681"/>
        <v>478.2223316913</v>
      </c>
      <c r="CC200" s="5">
        <f t="shared" ref="CC200:CC201" si="751">CB200*BE200</f>
        <v>2345.96747034484</v>
      </c>
      <c r="CD200" s="1">
        <f t="shared" si="683"/>
        <v>17.752380952381</v>
      </c>
      <c r="CF200" s="45">
        <f t="shared" si="684"/>
        <v>460.469950738919</v>
      </c>
      <c r="CG200" s="5">
        <f t="shared" ref="CG200:CG201" si="752">CF200*BE200</f>
        <v>2258.88139034484</v>
      </c>
      <c r="CH200" s="1">
        <f t="shared" si="686"/>
        <v>27.4285714285714</v>
      </c>
      <c r="CJ200" s="45">
        <f t="shared" si="687"/>
        <v>433.041379310348</v>
      </c>
      <c r="CK200" s="5">
        <f t="shared" ref="CK200:CK201" si="753">CJ200*BE200</f>
        <v>2124.32779034484</v>
      </c>
    </row>
    <row r="201" ht="17.0">
      <c r="A201" s="41" t="s">
        <v>30</v>
      </c>
      <c r="B201" s="10" t="s">
        <v>401</v>
      </c>
      <c r="C201" s="41" t="s">
        <v>436</v>
      </c>
      <c r="D201" s="55" t="s">
        <v>437</v>
      </c>
      <c r="E201" s="41">
        <v>72.0</v>
      </c>
      <c r="F201" s="41">
        <v>89.0</v>
      </c>
      <c r="G201" s="41">
        <v>56.0</v>
      </c>
      <c r="H201" s="41">
        <v>16.0</v>
      </c>
      <c r="I201" s="41">
        <v>52.0</v>
      </c>
      <c r="J201" s="41">
        <v>44.0</v>
      </c>
      <c r="K201" s="41">
        <v>40.0</v>
      </c>
      <c r="L201" s="41">
        <v>83.0</v>
      </c>
      <c r="M201" s="41">
        <v>20.0</v>
      </c>
      <c r="N201" s="41">
        <v>80.0</v>
      </c>
      <c r="O201" s="41">
        <v>48.0</v>
      </c>
      <c r="P201" s="41">
        <v>28.0</v>
      </c>
      <c r="Q201" s="41">
        <v>88.0</v>
      </c>
      <c r="R201" s="41">
        <v>92.0</v>
      </c>
      <c r="S201" s="41">
        <v>40.0</v>
      </c>
      <c r="T201" s="41">
        <v>36.0</v>
      </c>
      <c r="U201" s="41">
        <v>23.0</v>
      </c>
      <c r="V201" s="41">
        <v>51.0</v>
      </c>
      <c r="W201" s="41">
        <v>16.0</v>
      </c>
      <c r="X201" s="41">
        <v>8.0</v>
      </c>
      <c r="Y201" s="41">
        <v>16.0</v>
      </c>
      <c r="Z201" s="41">
        <v>5.0</v>
      </c>
      <c r="AA201" s="41">
        <v>44.0</v>
      </c>
      <c r="AB201" s="41">
        <v>76.0</v>
      </c>
      <c r="AC201" s="41">
        <v>32.0</v>
      </c>
      <c r="AD201" s="41">
        <v>56.0</v>
      </c>
      <c r="AE201" s="41">
        <v>20.0</v>
      </c>
      <c r="AF201" s="41">
        <v>4.0</v>
      </c>
      <c r="AG201" s="41">
        <v>32.0</v>
      </c>
      <c r="AH201" s="41">
        <v>8.0</v>
      </c>
      <c r="AI201" s="41">
        <v>8.0</v>
      </c>
      <c r="AJ201" s="41">
        <v>12.0</v>
      </c>
      <c r="AK201" s="41">
        <v>16.0</v>
      </c>
      <c r="AL201" s="41">
        <v>32.0</v>
      </c>
      <c r="AM201" s="43">
        <v>40.0</v>
      </c>
      <c r="AN201" s="43">
        <v>48.0</v>
      </c>
      <c r="AO201" s="43">
        <v>21.0</v>
      </c>
      <c r="AP201" s="43">
        <v>52.0</v>
      </c>
      <c r="AQ201" s="43">
        <v>44.0</v>
      </c>
      <c r="AR201" s="43">
        <v>4.0</v>
      </c>
      <c r="AS201" s="43">
        <v>0.0</v>
      </c>
      <c r="AT201" s="4">
        <f t="shared" si="4"/>
        <v>285.0</v>
      </c>
      <c r="AU201" s="4">
        <f t="shared" si="5"/>
        <v>116.0</v>
      </c>
      <c r="AV201" s="4">
        <f t="shared" si="6"/>
        <v>127.6</v>
      </c>
      <c r="AW201" s="1">
        <f>AV201*$AW$4/$AV$4+4*$AW$361</f>
        <v>15.4377668308703</v>
      </c>
      <c r="AX201" s="1">
        <f>AV201*$AX$4/$AV$4+4*$AX$361</f>
        <v>19.2972085385879</v>
      </c>
      <c r="AY201" s="1">
        <f>AV201*$AY$4/$AV$4+4*$AY$361</f>
        <v>20.7816091954022</v>
      </c>
      <c r="AZ201" s="1">
        <f>AV201*$AZ$4/$AV$4+4*$AZ$361</f>
        <v>28.7973727422002</v>
      </c>
      <c r="BA201" s="1">
        <f>AV201*$BA$4/$AV$4+4*$BA$361</f>
        <v>28.7047619047619</v>
      </c>
      <c r="BB201" s="1">
        <f>AV201*$BB$4/$AV$4+4*$BB$361</f>
        <v>36.8571428571429</v>
      </c>
      <c r="BC201" s="4">
        <f t="shared" si="728"/>
        <v>149.875862068965</v>
      </c>
      <c r="BD201" s="3">
        <f>VLOOKUP(D201,FEB23SOH,2,false)</f>
        <v>134.0</v>
      </c>
      <c r="BE201" s="44">
        <f>VLOOKUP(D201,UNITVALUE,4,false)</f>
        <v>4.8001</v>
      </c>
      <c r="BF201" s="44">
        <f t="shared" si="16"/>
        <v>643.2134</v>
      </c>
      <c r="BI201" s="6">
        <f t="shared" si="667"/>
        <v>-15.875862068965</v>
      </c>
      <c r="BJ201" s="1">
        <f>VLOOKUP(C201,MOQ,3,FALSE())</f>
        <v>528.0</v>
      </c>
      <c r="BK201" s="53" t="s">
        <v>0</v>
      </c>
      <c r="BL201" s="8" t="s">
        <v>10</v>
      </c>
      <c r="BM201" s="1">
        <f t="shared" si="668"/>
        <v>134.0</v>
      </c>
      <c r="BN201" s="1">
        <f t="shared" si="669"/>
        <v>15.4377668308703</v>
      </c>
      <c r="BP201" s="45">
        <f t="shared" si="670"/>
        <v>118.56223316913</v>
      </c>
      <c r="BQ201" s="5">
        <f t="shared" si="748"/>
        <v>569.11057543514</v>
      </c>
      <c r="BR201" s="1">
        <f t="shared" si="672"/>
        <v>19.2972085385879</v>
      </c>
      <c r="BS201" s="1">
        <f t="shared" si="673"/>
      </c>
      <c r="BT201" s="45">
        <f t="shared" si="674"/>
        <v>99.2650246305421</v>
      </c>
      <c r="BU201" s="5">
        <f t="shared" si="749"/>
        <v>476.482044729065</v>
      </c>
      <c r="BV201" s="1">
        <f t="shared" si="676"/>
        <v>20.7816091954022</v>
      </c>
      <c r="BW201" s="1">
        <f t="shared" si="677"/>
      </c>
      <c r="BX201" s="45">
        <f t="shared" si="678"/>
        <v>78.4834154351399</v>
      </c>
      <c r="BY201" s="5">
        <f t="shared" si="750"/>
        <v>376.728242430215</v>
      </c>
      <c r="BZ201" s="1">
        <f t="shared" si="680"/>
        <v>28.7973727422002</v>
      </c>
      <c r="CB201" s="45">
        <f t="shared" si="681"/>
        <v>49.6860426929397</v>
      </c>
      <c r="CC201" s="5">
        <f t="shared" si="751"/>
        <v>238.49797353038</v>
      </c>
      <c r="CD201" s="1">
        <f t="shared" si="683"/>
        <v>28.7047619047619</v>
      </c>
      <c r="CF201" s="45">
        <f t="shared" si="684"/>
        <v>20.9812807881778</v>
      </c>
      <c r="CG201" s="5">
        <f t="shared" si="752"/>
        <v>100.712245911332</v>
      </c>
      <c r="CH201" s="1">
        <f t="shared" si="686"/>
        <v>36.8571428571429</v>
      </c>
      <c r="CJ201" s="45">
        <f t="shared" si="687"/>
        <v>-15.875862068965</v>
      </c>
      <c r="CK201" s="5">
        <f t="shared" si="753"/>
        <v>-76.2057255172387</v>
      </c>
    </row>
    <row r="202" ht="17.0">
      <c r="A202" s="41" t="s">
        <v>30</v>
      </c>
      <c r="B202" s="10" t="s">
        <v>401</v>
      </c>
      <c r="C202" s="41" t="s">
        <v>438</v>
      </c>
      <c r="D202" s="42" t="s">
        <v>439</v>
      </c>
      <c r="E202" s="41">
        <v>92.0</v>
      </c>
      <c r="F202" s="41">
        <v>84.0</v>
      </c>
      <c r="G202" s="41">
        <v>12.0</v>
      </c>
      <c r="H202" s="41">
        <v>8.0</v>
      </c>
      <c r="I202" s="41">
        <v>0.0</v>
      </c>
      <c r="J202" s="41">
        <v>17.0</v>
      </c>
      <c r="K202" s="41">
        <v>8.0</v>
      </c>
      <c r="L202" s="41">
        <v>4.0</v>
      </c>
      <c r="M202" s="41">
        <v>12.0</v>
      </c>
      <c r="N202" s="41">
        <v>39.0</v>
      </c>
      <c r="O202" s="41">
        <v>24.0</v>
      </c>
      <c r="P202" s="41">
        <v>24.0</v>
      </c>
      <c r="Q202" s="41">
        <v>24.0</v>
      </c>
      <c r="R202" s="41">
        <v>68.0</v>
      </c>
      <c r="S202" s="41">
        <v>12.0</v>
      </c>
      <c r="T202" s="41">
        <v>8.0</v>
      </c>
      <c r="U202" s="41">
        <v>21.0</v>
      </c>
      <c r="V202" s="41">
        <v>12.0</v>
      </c>
      <c r="W202" s="41">
        <v>3.0</v>
      </c>
      <c r="X202" s="41">
        <v>8.0</v>
      </c>
      <c r="Y202" s="41">
        <v>8.0</v>
      </c>
      <c r="Z202" s="41">
        <v>9.0</v>
      </c>
      <c r="AA202" s="41">
        <v>52.0</v>
      </c>
      <c r="AB202" s="41">
        <v>24.0</v>
      </c>
      <c r="AC202" s="41">
        <v>32.0</v>
      </c>
      <c r="AD202" s="41">
        <v>24.0</v>
      </c>
      <c r="AE202" s="41">
        <v>0.0</v>
      </c>
      <c r="AF202" s="41">
        <v>0.0</v>
      </c>
      <c r="AG202" s="41">
        <v>16.0</v>
      </c>
      <c r="AH202" s="41">
        <v>0.0</v>
      </c>
      <c r="AI202" s="41">
        <v>0.0</v>
      </c>
      <c r="AJ202" s="41">
        <v>0.0</v>
      </c>
      <c r="AK202" s="41">
        <v>8.0</v>
      </c>
      <c r="AL202" s="41">
        <v>8.0</v>
      </c>
      <c r="AM202" s="43">
        <v>24.0</v>
      </c>
      <c r="AN202" s="43">
        <v>16.0</v>
      </c>
      <c r="AO202" s="43">
        <v>12.0</v>
      </c>
      <c r="AP202" s="43">
        <v>12.0</v>
      </c>
      <c r="AQ202" s="43">
        <v>4.0</v>
      </c>
      <c r="AR202" s="43">
        <v>0.0</v>
      </c>
      <c r="AS202" s="43">
        <v>0.0</v>
      </c>
      <c r="AT202" s="4">
        <f t="shared" si="4"/>
        <v>84.0</v>
      </c>
      <c r="AU202" s="4">
        <f t="shared" si="5"/>
        <v>40.0</v>
      </c>
      <c r="AV202" s="4">
        <f t="shared" si="6"/>
        <v>44.0</v>
      </c>
      <c r="AW202" s="1">
        <f>AV202*$AW$4/$AV$4</f>
        <v>4.95238095238095</v>
      </c>
      <c r="AX202" s="1">
        <f>AV202*$AX$4/$AV$4</f>
        <v>6.19047619047619</v>
      </c>
      <c r="AY202" s="1">
        <f>AV202*$AY$4/$AV$4</f>
        <v>6.66666666666667</v>
      </c>
      <c r="AZ202" s="1">
        <f>AV202*$AZ$4/$AV$4</f>
        <v>9.23809523809523</v>
      </c>
      <c r="BA202" s="1">
        <f>AV202*$BA$4/$AV$4</f>
        <v>4.38095238095238</v>
      </c>
      <c r="BB202" s="1">
        <f>AV202*$BB$4/$AV$4</f>
        <v>8.57142857142857</v>
      </c>
      <c r="BC202" s="4">
        <f t="shared" si="728"/>
        <v>40.0</v>
      </c>
      <c r="BD202" s="3">
        <f>VLOOKUP(D202,FEB23SOH,2,false)</f>
        <v>0.0</v>
      </c>
      <c r="BE202" s="44">
        <f>VLOOKUP(D202,UNITVALUE,4,false)</f>
      </c>
      <c r="BF202" s="44">
        <f t="shared" si="16"/>
        <v>0.0</v>
      </c>
      <c r="BI202" s="6">
        <f t="shared" si="667"/>
        <v>-40.0</v>
      </c>
      <c r="BJ202" s="1">
        <f>VLOOKUP(C202,MOQ,3,FALSE())</f>
        <v>1000.0</v>
      </c>
      <c r="BK202" s="53" t="s">
        <v>0</v>
      </c>
      <c r="BL202" s="8" t="s">
        <v>68</v>
      </c>
      <c r="BM202" s="1">
        <f t="shared" si="668"/>
        <v>0.0</v>
      </c>
      <c r="BN202" s="1">
        <f t="shared" si="669"/>
        <v>4.95238095238095</v>
      </c>
      <c r="BP202" s="45">
        <f t="shared" si="670"/>
        <v>-4.95238095238095</v>
      </c>
      <c r="BQ202" s="5">
        <f t="shared" si="748"/>
        <v>0.0</v>
      </c>
      <c r="BR202" s="1">
        <f t="shared" si="672"/>
        <v>6.19047619047619</v>
      </c>
      <c r="BS202" s="1">
        <f t="shared" si="673"/>
      </c>
      <c r="BT202" s="45">
        <f t="shared" si="674"/>
        <v>-11.1428571428571</v>
      </c>
      <c r="BU202" s="5"/>
      <c r="BV202" s="1">
        <f t="shared" si="676"/>
        <v>6.66666666666667</v>
      </c>
      <c r="BW202" s="1">
        <f t="shared" si="677"/>
      </c>
      <c r="BX202" s="45">
        <f t="shared" si="678"/>
        <v>-17.8095238095236</v>
      </c>
      <c r="BY202" s="5"/>
      <c r="BZ202" s="1">
        <f t="shared" si="680"/>
        <v>9.23809523809523</v>
      </c>
      <c r="CB202" s="45">
        <f t="shared" si="681"/>
        <v>-27.0476190476188</v>
      </c>
      <c r="CC202" s="5"/>
      <c r="CD202" s="1">
        <f t="shared" si="683"/>
        <v>4.38095238095238</v>
      </c>
      <c r="CF202" s="45">
        <f t="shared" si="684"/>
        <v>-31.4285714285711</v>
      </c>
      <c r="CG202" s="5"/>
      <c r="CH202" s="1">
        <f t="shared" si="686"/>
        <v>8.57142857142857</v>
      </c>
      <c r="CJ202" s="45">
        <f t="shared" si="687"/>
        <v>-39.9999999999995</v>
      </c>
      <c r="CK202" s="5"/>
    </row>
    <row r="203" ht="17.0">
      <c r="A203" s="41" t="s">
        <v>30</v>
      </c>
      <c r="B203" s="10" t="s">
        <v>401</v>
      </c>
      <c r="C203" s="41" t="s">
        <v>440</v>
      </c>
      <c r="D203" s="71" t="s">
        <v>441</v>
      </c>
      <c r="E203" s="41">
        <v>68.0</v>
      </c>
      <c r="F203" s="41">
        <v>36.0</v>
      </c>
      <c r="G203" s="41">
        <v>13.0</v>
      </c>
      <c r="H203" s="41">
        <v>8.0</v>
      </c>
      <c r="I203" s="41">
        <v>16.0</v>
      </c>
      <c r="J203" s="41">
        <v>31.0</v>
      </c>
      <c r="K203" s="41">
        <v>16.0</v>
      </c>
      <c r="L203" s="41">
        <v>4.0</v>
      </c>
      <c r="M203" s="41">
        <v>0.0</v>
      </c>
      <c r="N203" s="41">
        <v>24.0</v>
      </c>
      <c r="O203" s="41">
        <v>25.0</v>
      </c>
      <c r="P203" s="41">
        <v>12.0</v>
      </c>
      <c r="Q203" s="41">
        <v>20.0</v>
      </c>
      <c r="R203" s="41">
        <v>24.0</v>
      </c>
      <c r="S203" s="41">
        <v>4.0</v>
      </c>
      <c r="T203" s="41">
        <v>4.0</v>
      </c>
      <c r="U203" s="41">
        <v>12.0</v>
      </c>
      <c r="V203" s="41">
        <v>20.0</v>
      </c>
      <c r="W203" s="41">
        <v>4.0</v>
      </c>
      <c r="X203" s="41">
        <v>4.0</v>
      </c>
      <c r="Y203" s="41">
        <v>4.0</v>
      </c>
      <c r="Z203" s="41">
        <v>5.0</v>
      </c>
      <c r="AA203" s="41">
        <v>32.0</v>
      </c>
      <c r="AB203" s="41">
        <v>8.0</v>
      </c>
      <c r="AC203" s="41">
        <v>16.0</v>
      </c>
      <c r="AD203" s="41">
        <v>12.0</v>
      </c>
      <c r="AE203" s="41">
        <v>8.0</v>
      </c>
      <c r="AF203" s="41">
        <v>0.0</v>
      </c>
      <c r="AG203" s="41">
        <v>8.0</v>
      </c>
      <c r="AH203" s="41">
        <v>12.0</v>
      </c>
      <c r="AI203" s="41">
        <v>0.0</v>
      </c>
      <c r="AJ203" s="41">
        <v>0.0</v>
      </c>
      <c r="AK203" s="41">
        <v>0.0</v>
      </c>
      <c r="AL203" s="41">
        <v>12.0</v>
      </c>
      <c r="AM203" s="43">
        <v>12.0</v>
      </c>
      <c r="AN203" s="43">
        <v>20.0</v>
      </c>
      <c r="AO203" s="43">
        <v>14.0</v>
      </c>
      <c r="AP203" s="43">
        <v>15.0</v>
      </c>
      <c r="AQ203" s="43">
        <v>16.0</v>
      </c>
      <c r="AR203" s="43">
        <v>0.0</v>
      </c>
      <c r="AS203" s="43">
        <v>0.0</v>
      </c>
      <c r="AT203" s="4">
        <f t="shared" si="4"/>
        <v>101.0</v>
      </c>
      <c r="AU203" s="4">
        <f t="shared" si="5"/>
        <v>36.0</v>
      </c>
      <c r="AV203" s="4">
        <f t="shared" si="6"/>
        <v>39.6</v>
      </c>
      <c r="AW203" s="1">
        <f>AV203*$AW$4/$AV$4+4*$AW$362</f>
        <v>4.81576354679803</v>
      </c>
      <c r="AX203" s="1">
        <f>AV203*$AX$4/$AV$4+4*$AX$362</f>
        <v>6.01970443349753</v>
      </c>
      <c r="AY203" s="1">
        <f>AV203*$AY$4/$AV$4+4*$AY$362</f>
        <v>6.48275862068965</v>
      </c>
      <c r="AZ203" s="1">
        <f>AV203*$AZ$4/$AV$4+4*$AZ$362</f>
        <v>8.98325123152709</v>
      </c>
      <c r="BA203" s="1">
        <f>AV203*$BA$4/$AV$4+4*$BA$362</f>
        <v>19.9428571428571</v>
      </c>
      <c r="BB203" s="1">
        <f>AV203*$BB$4/$AV$4+4*$BB$362</f>
        <v>31.7142857142857</v>
      </c>
      <c r="BC203" s="4">
        <f t="shared" si="728"/>
        <v>77.9586206896551</v>
      </c>
      <c r="BD203" s="3">
        <f>VLOOKUP(D203,FEB23SOH,2,false)</f>
        <v>0.0</v>
      </c>
      <c r="BE203" s="44">
        <f>VLOOKUP(D203,UNITVALUE,4,false)</f>
      </c>
      <c r="BF203" s="44">
        <f t="shared" si="16"/>
        <v>0.0</v>
      </c>
      <c r="BI203" s="6">
        <f t="shared" si="667"/>
        <v>-77.9586206896551</v>
      </c>
      <c r="BJ203" s="1">
        <f>VLOOKUP(C203,MOQ,3,FALSE())</f>
        <v>1000.0</v>
      </c>
      <c r="BK203" s="53" t="s">
        <v>0</v>
      </c>
      <c r="BL203" s="8" t="s">
        <v>68</v>
      </c>
      <c r="BM203" s="1">
        <f t="shared" si="668"/>
        <v>0.0</v>
      </c>
      <c r="BN203" s="1">
        <f t="shared" si="669"/>
        <v>4.81576354679803</v>
      </c>
      <c r="BP203" s="45">
        <f t="shared" si="670"/>
        <v>-4.81576354679803</v>
      </c>
      <c r="BQ203" s="5">
        <f t="shared" si="748"/>
        <v>0.0</v>
      </c>
      <c r="BR203" s="1">
        <f t="shared" si="672"/>
        <v>6.01970443349753</v>
      </c>
      <c r="BS203" s="1">
        <f t="shared" si="673"/>
      </c>
      <c r="BT203" s="45">
        <f t="shared" si="674"/>
        <v>-10.8354679802954</v>
      </c>
      <c r="BU203" s="5">
        <f t="shared" ref="BU203:BU204" si="772">BT203*BE203</f>
        <v>0.0</v>
      </c>
      <c r="BV203" s="1">
        <f t="shared" si="676"/>
        <v>6.48275862068965</v>
      </c>
      <c r="BW203" s="1">
        <f t="shared" si="677"/>
      </c>
      <c r="BX203" s="45">
        <f t="shared" si="678"/>
        <v>-17.318226600985</v>
      </c>
      <c r="BY203" s="5">
        <f t="shared" ref="BY203:BY204" si="773">BX203*BE203</f>
        <v>0.0</v>
      </c>
      <c r="BZ203" s="1">
        <f t="shared" si="680"/>
        <v>8.98325123152709</v>
      </c>
      <c r="CB203" s="45">
        <f t="shared" si="681"/>
        <v>-26.301477832512</v>
      </c>
      <c r="CC203" s="5"/>
      <c r="CD203" s="1">
        <f t="shared" si="683"/>
        <v>19.9428571428571</v>
      </c>
      <c r="CF203" s="45">
        <f t="shared" si="684"/>
        <v>-46.2443349753691</v>
      </c>
      <c r="CG203" s="5"/>
      <c r="CH203" s="1">
        <f t="shared" si="686"/>
        <v>31.7142857142857</v>
      </c>
      <c r="CJ203" s="45">
        <f t="shared" si="687"/>
        <v>-77.9586206896548</v>
      </c>
      <c r="CK203" s="5"/>
    </row>
    <row r="204" ht="17.0">
      <c r="A204" s="41" t="s">
        <v>30</v>
      </c>
      <c r="B204" s="10" t="s">
        <v>401</v>
      </c>
      <c r="C204" s="41" t="s">
        <v>442</v>
      </c>
      <c r="D204" s="55" t="s">
        <v>443</v>
      </c>
      <c r="E204" s="41">
        <v>168.0</v>
      </c>
      <c r="F204" s="41">
        <v>180.0</v>
      </c>
      <c r="G204" s="41">
        <v>160.0</v>
      </c>
      <c r="H204" s="41">
        <v>32.0</v>
      </c>
      <c r="I204" s="41">
        <v>84.0</v>
      </c>
      <c r="J204" s="41">
        <v>60.0</v>
      </c>
      <c r="K204" s="41">
        <v>32.0</v>
      </c>
      <c r="L204" s="41">
        <v>0.0</v>
      </c>
      <c r="M204" s="41">
        <v>0.0</v>
      </c>
      <c r="N204" s="41">
        <v>0.0</v>
      </c>
      <c r="O204" s="41">
        <v>0.0</v>
      </c>
      <c r="P204" s="41">
        <v>0.0</v>
      </c>
      <c r="Q204" s="41">
        <v>4.0</v>
      </c>
      <c r="R204" s="41">
        <v>337.0</v>
      </c>
      <c r="S204" s="41">
        <v>140.0</v>
      </c>
      <c r="T204" s="41">
        <v>28.0</v>
      </c>
      <c r="U204" s="41">
        <v>48.0</v>
      </c>
      <c r="V204" s="41">
        <v>76.0</v>
      </c>
      <c r="W204" s="41">
        <v>20.0</v>
      </c>
      <c r="X204" s="41">
        <v>32.0</v>
      </c>
      <c r="Y204" s="41">
        <v>40.0</v>
      </c>
      <c r="Z204" s="41">
        <v>6.0</v>
      </c>
      <c r="AA204" s="41">
        <v>84.0</v>
      </c>
      <c r="AB204" s="41">
        <v>98.0</v>
      </c>
      <c r="AC204" s="41">
        <v>63.0</v>
      </c>
      <c r="AD204" s="41">
        <v>96.0</v>
      </c>
      <c r="AE204" s="41">
        <v>24.0</v>
      </c>
      <c r="AF204" s="41">
        <v>12.0</v>
      </c>
      <c r="AG204" s="41">
        <v>36.0</v>
      </c>
      <c r="AH204" s="41">
        <v>24.0</v>
      </c>
      <c r="AI204" s="41">
        <v>12.0</v>
      </c>
      <c r="AJ204" s="41">
        <v>20.0</v>
      </c>
      <c r="AK204" s="41">
        <v>4.0</v>
      </c>
      <c r="AL204" s="41">
        <v>40.0</v>
      </c>
      <c r="AM204" s="43">
        <v>36.0</v>
      </c>
      <c r="AN204" s="43">
        <v>44.0</v>
      </c>
      <c r="AO204" s="43">
        <v>52.0</v>
      </c>
      <c r="AP204" s="43">
        <v>76.0</v>
      </c>
      <c r="AQ204" s="43">
        <v>60.0</v>
      </c>
      <c r="AR204" s="43">
        <v>24.0</v>
      </c>
      <c r="AS204" s="43">
        <v>19.0</v>
      </c>
      <c r="AT204" s="4">
        <f t="shared" si="4"/>
        <v>411.0</v>
      </c>
      <c r="AU204" s="4">
        <f t="shared" si="5"/>
        <v>136.0</v>
      </c>
      <c r="AV204" s="4">
        <f t="shared" si="6"/>
        <v>149.6</v>
      </c>
      <c r="AW204" s="1">
        <f>AV204*$AW$4/$AV$4+4*$AW$361</f>
        <v>17.9139573070607</v>
      </c>
      <c r="AX204" s="1">
        <f>AV204*$AX$4/$AV$4+4*$AX$361</f>
        <v>22.3924466338259</v>
      </c>
      <c r="AY204" s="1">
        <f>AV204*$AY$4/$AV$4+4*$AY$361</f>
        <v>24.1149425287357</v>
      </c>
      <c r="AZ204" s="1">
        <f>AV204*$AZ$4/$AV$4+4*$AZ$361</f>
        <v>33.4164203612479</v>
      </c>
      <c r="BA204" s="1">
        <f>AV204*$BA$4/$AV$4+4*$BA$361</f>
        <v>30.895238095238</v>
      </c>
      <c r="BB204" s="1">
        <f>AV204*$BB$4/$AV$4+4*$BB$361</f>
        <v>41.142857142857</v>
      </c>
      <c r="BC204" s="4">
        <f t="shared" si="728"/>
        <v>169.875862068965</v>
      </c>
      <c r="BD204" s="3">
        <f>VLOOKUP(D204,FEB23SOH,2,false)</f>
        <v>313.0</v>
      </c>
      <c r="BE204" s="44">
        <f>VLOOKUP(D204,UNITVALUE,4,false)</f>
        <v>5.6896</v>
      </c>
      <c r="BF204" s="44">
        <f t="shared" si="16"/>
        <v>1780.8448</v>
      </c>
      <c r="BI204" s="6">
        <f t="shared" si="667"/>
        <v>143.124137931035</v>
      </c>
      <c r="BJ204" s="1">
        <f>VLOOKUP(C204,MOQ,3,FALSE())</f>
        <v>504.0</v>
      </c>
      <c r="BK204" s="53" t="s">
        <v>0</v>
      </c>
      <c r="BM204" s="1">
        <f t="shared" si="668"/>
        <v>313.0</v>
      </c>
      <c r="BN204" s="1">
        <f t="shared" si="669"/>
        <v>17.9139573070607</v>
      </c>
      <c r="BP204" s="45">
        <f t="shared" si="670"/>
        <v>295.086042692939</v>
      </c>
      <c r="BQ204" s="5">
        <f t="shared" si="748"/>
        <v>1678.92154850574</v>
      </c>
      <c r="BR204" s="1">
        <f t="shared" si="672"/>
        <v>22.3924466338259</v>
      </c>
      <c r="BS204" s="1">
        <f t="shared" si="673"/>
      </c>
      <c r="BT204" s="45">
        <f t="shared" si="674"/>
        <v>272.693596059113</v>
      </c>
      <c r="BU204" s="5">
        <f t="shared" si="772"/>
        <v>1551.51748413792</v>
      </c>
      <c r="BV204" s="1">
        <f t="shared" si="676"/>
        <v>24.1149425287357</v>
      </c>
      <c r="BW204" s="1">
        <f t="shared" si="677"/>
      </c>
      <c r="BX204" s="45">
        <f t="shared" si="678"/>
        <v>248.578653530377</v>
      </c>
      <c r="BY204" s="5">
        <f t="shared" si="773"/>
        <v>1414.31310712643</v>
      </c>
      <c r="BZ204" s="1">
        <f t="shared" si="680"/>
        <v>33.4164203612479</v>
      </c>
      <c r="CB204" s="45">
        <f t="shared" si="681"/>
        <v>215.162233169129</v>
      </c>
      <c r="CC204" s="5">
        <f>CB204*BE204</f>
        <v>1224.18704183908</v>
      </c>
      <c r="CD204" s="1">
        <f t="shared" si="683"/>
        <v>30.895238095238</v>
      </c>
      <c r="CF204" s="45">
        <f t="shared" si="684"/>
        <v>184.266995073891</v>
      </c>
      <c r="CG204" s="5">
        <f>CF204*BE204</f>
        <v>1048.40549517241</v>
      </c>
      <c r="CH204" s="1">
        <f t="shared" si="686"/>
        <v>41.142857142857</v>
      </c>
      <c r="CJ204" s="45">
        <f t="shared" si="687"/>
        <v>143.124137931034</v>
      </c>
      <c r="CK204" s="5">
        <f>CJ204*BE204</f>
        <v>814.319095172411</v>
      </c>
    </row>
    <row r="205" ht="17.0">
      <c r="A205" s="41" t="s">
        <v>30</v>
      </c>
      <c r="B205" s="10" t="s">
        <v>401</v>
      </c>
      <c r="C205" s="41" t="s">
        <v>444</v>
      </c>
      <c r="D205" s="42" t="s">
        <v>445</v>
      </c>
      <c r="E205" s="41">
        <v>108.0</v>
      </c>
      <c r="F205" s="41">
        <v>59.0</v>
      </c>
      <c r="G205" s="41">
        <v>60.0</v>
      </c>
      <c r="H205" s="41">
        <v>18.0</v>
      </c>
      <c r="I205" s="41">
        <v>70.0</v>
      </c>
      <c r="J205" s="41">
        <v>43.0</v>
      </c>
      <c r="K205" s="41">
        <v>24.0</v>
      </c>
      <c r="L205" s="41">
        <v>36.0</v>
      </c>
      <c r="M205" s="41">
        <v>30.0</v>
      </c>
      <c r="N205" s="41">
        <v>149.0</v>
      </c>
      <c r="O205" s="41">
        <v>43.0</v>
      </c>
      <c r="P205" s="41">
        <v>0.0</v>
      </c>
      <c r="Q205" s="41">
        <v>3.0</v>
      </c>
      <c r="R205" s="41">
        <v>160.0</v>
      </c>
      <c r="S205" s="41">
        <v>84.0</v>
      </c>
      <c r="T205" s="41">
        <v>32.0</v>
      </c>
      <c r="U205" s="41">
        <v>40.0</v>
      </c>
      <c r="V205" s="41">
        <v>64.0</v>
      </c>
      <c r="W205" s="41">
        <v>36.0</v>
      </c>
      <c r="X205" s="41">
        <v>4.0</v>
      </c>
      <c r="Y205" s="41">
        <v>20.0</v>
      </c>
      <c r="Z205" s="41">
        <v>22.0</v>
      </c>
      <c r="AA205" s="41">
        <v>56.0</v>
      </c>
      <c r="AB205" s="41">
        <v>96.0</v>
      </c>
      <c r="AC205" s="41">
        <v>48.0</v>
      </c>
      <c r="AD205" s="41">
        <v>64.0</v>
      </c>
      <c r="AE205" s="41">
        <v>32.0</v>
      </c>
      <c r="AF205" s="41">
        <v>36.0</v>
      </c>
      <c r="AG205" s="41">
        <v>20.0</v>
      </c>
      <c r="AH205" s="41">
        <v>24.0</v>
      </c>
      <c r="AI205" s="41">
        <v>0.0</v>
      </c>
      <c r="AJ205" s="41">
        <v>12.0</v>
      </c>
      <c r="AK205" s="41">
        <v>8.0</v>
      </c>
      <c r="AL205" s="41">
        <v>24.0</v>
      </c>
      <c r="AM205" s="43">
        <v>44.0</v>
      </c>
      <c r="AN205" s="43">
        <v>12.0</v>
      </c>
      <c r="AO205" s="43">
        <v>0.0</v>
      </c>
      <c r="AP205" s="43">
        <v>0.0</v>
      </c>
      <c r="AQ205" s="43">
        <v>0.0</v>
      </c>
      <c r="AR205" s="43">
        <v>0.0</v>
      </c>
      <c r="AS205" s="43">
        <v>0.0</v>
      </c>
      <c r="AT205" s="4">
        <f t="shared" si="4"/>
        <v>124.0</v>
      </c>
      <c r="AU205" s="4">
        <f t="shared" si="5"/>
        <v>112.0</v>
      </c>
      <c r="AV205" s="4">
        <f t="shared" si="6"/>
        <v>123.2</v>
      </c>
      <c r="AW205" s="1">
        <f>AV205*$AW$4/$AV$4</f>
        <v>13.8666666666667</v>
      </c>
      <c r="AX205" s="1">
        <f>AV205*$AX$4/$AV$4</f>
        <v>17.3333333333333</v>
      </c>
      <c r="AY205" s="1">
        <f>AV205*$AY$4/$AV$4</f>
        <v>18.6666666666667</v>
      </c>
      <c r="AZ205" s="1">
        <f>AV205*$AZ$4/$AV$4</f>
        <v>25.8666666666667</v>
      </c>
      <c r="BA205" s="1">
        <f>AV205*$BA$4/$AV$4</f>
        <v>12.2666666666667</v>
      </c>
      <c r="BB205" s="1">
        <f>AV205*$BB$4/$AV$4</f>
        <v>24.0</v>
      </c>
      <c r="BC205" s="4">
        <f t="shared" si="728"/>
        <v>112.0</v>
      </c>
      <c r="BD205" s="3">
        <f>VLOOKUP(D205,FEB23SOH,2,false)</f>
        <v>0.0</v>
      </c>
      <c r="BE205" s="44">
        <f>VLOOKUP(D205,UNITVALUE,4,false)</f>
      </c>
      <c r="BF205" s="44">
        <f t="shared" si="16"/>
        <v>0.0</v>
      </c>
      <c r="BI205" s="6">
        <f t="shared" si="667"/>
        <v>-112.0</v>
      </c>
      <c r="BJ205" s="1">
        <f>VLOOKUP(C205,MOQ,3,FALSE())</f>
        <v>504.0</v>
      </c>
      <c r="BK205" s="53" t="s">
        <v>0</v>
      </c>
      <c r="BL205" s="8" t="s">
        <v>68</v>
      </c>
      <c r="BM205" s="1">
        <f t="shared" si="668"/>
        <v>0.0</v>
      </c>
      <c r="BN205" s="1">
        <f t="shared" si="669"/>
        <v>13.8666666666667</v>
      </c>
      <c r="BP205" s="45">
        <f t="shared" si="670"/>
        <v>-13.8666666666667</v>
      </c>
      <c r="BR205" s="1">
        <f t="shared" si="672"/>
        <v>17.3333333333333</v>
      </c>
      <c r="BS205" s="1">
        <f t="shared" si="673"/>
      </c>
      <c r="BT205" s="45">
        <f t="shared" si="674"/>
        <v>-31.2</v>
      </c>
      <c r="BU205" s="5"/>
      <c r="BV205" s="1">
        <f t="shared" si="676"/>
        <v>18.6666666666667</v>
      </c>
      <c r="BW205" s="1">
        <f t="shared" si="677"/>
      </c>
      <c r="BX205" s="45">
        <f t="shared" si="678"/>
        <v>-49.8666666666667</v>
      </c>
      <c r="BY205" s="5"/>
      <c r="BZ205" s="1">
        <f t="shared" si="680"/>
        <v>25.8666666666667</v>
      </c>
      <c r="CB205" s="45">
        <f t="shared" si="681"/>
        <v>-75.7333333333334</v>
      </c>
      <c r="CC205" s="5"/>
      <c r="CD205" s="1">
        <f t="shared" si="683"/>
        <v>12.2666666666667</v>
      </c>
      <c r="CF205" s="45">
        <f t="shared" si="684"/>
        <v>-88.0000000000001</v>
      </c>
      <c r="CG205" s="5"/>
      <c r="CH205" s="1">
        <f t="shared" si="686"/>
        <v>24.0</v>
      </c>
      <c r="CJ205" s="45">
        <f t="shared" si="687"/>
        <v>-112.0</v>
      </c>
      <c r="CK205" s="5"/>
    </row>
    <row r="206" ht="17.0">
      <c r="A206" s="41" t="s">
        <v>30</v>
      </c>
      <c r="B206" s="10" t="s">
        <v>401</v>
      </c>
      <c r="C206" s="41" t="s">
        <v>446</v>
      </c>
      <c r="D206" s="71" t="s">
        <v>447</v>
      </c>
      <c r="E206" s="41">
        <v>4.0</v>
      </c>
      <c r="F206" s="41">
        <v>8.0</v>
      </c>
      <c r="G206" s="41">
        <v>4.0</v>
      </c>
      <c r="H206" s="41">
        <v>4.0</v>
      </c>
      <c r="I206" s="41">
        <v>16.0</v>
      </c>
      <c r="J206" s="41">
        <v>48.0</v>
      </c>
      <c r="K206" s="41">
        <v>12.0</v>
      </c>
      <c r="L206" s="41">
        <v>16.0</v>
      </c>
      <c r="M206" s="41">
        <v>8.0</v>
      </c>
      <c r="N206" s="41">
        <v>9.0</v>
      </c>
      <c r="O206" s="41">
        <v>20.0</v>
      </c>
      <c r="P206" s="41">
        <v>12.0</v>
      </c>
      <c r="Q206" s="41">
        <v>16.0</v>
      </c>
      <c r="R206" s="41">
        <v>36.0</v>
      </c>
      <c r="S206" s="41">
        <v>4.0</v>
      </c>
      <c r="T206" s="41">
        <v>4.0</v>
      </c>
      <c r="U206" s="41">
        <v>8.0</v>
      </c>
      <c r="V206" s="41">
        <v>12.0</v>
      </c>
      <c r="W206" s="41">
        <v>12.0</v>
      </c>
      <c r="X206" s="41">
        <v>5.0</v>
      </c>
      <c r="Y206" s="41">
        <v>8.0</v>
      </c>
      <c r="Z206" s="41">
        <v>8.0</v>
      </c>
      <c r="AA206" s="41">
        <v>16.0</v>
      </c>
      <c r="AB206" s="41">
        <v>12.0</v>
      </c>
      <c r="AC206" s="41">
        <v>8.0</v>
      </c>
      <c r="AD206" s="41">
        <v>8.0</v>
      </c>
      <c r="AE206" s="41">
        <v>8.0</v>
      </c>
      <c r="AF206" s="41">
        <v>0.0</v>
      </c>
      <c r="AG206" s="41">
        <v>8.0</v>
      </c>
      <c r="AH206" s="41">
        <v>8.0</v>
      </c>
      <c r="AI206" s="41">
        <v>0.0</v>
      </c>
      <c r="AJ206" s="41">
        <v>0.0</v>
      </c>
      <c r="AK206" s="41">
        <v>0.0</v>
      </c>
      <c r="AL206" s="41">
        <v>12.0</v>
      </c>
      <c r="AM206" s="43">
        <v>12.0</v>
      </c>
      <c r="AN206" s="43">
        <v>12.0</v>
      </c>
      <c r="AO206" s="43">
        <v>8.0</v>
      </c>
      <c r="AP206" s="43">
        <v>12.0</v>
      </c>
      <c r="AQ206" s="43">
        <v>20.0</v>
      </c>
      <c r="AR206" s="43">
        <v>4.0</v>
      </c>
      <c r="AS206" s="43">
        <v>10.0</v>
      </c>
      <c r="AT206" s="4">
        <f t="shared" si="4"/>
        <v>98.0</v>
      </c>
      <c r="AU206" s="4">
        <f t="shared" si="5"/>
        <v>32.0</v>
      </c>
      <c r="AV206" s="4">
        <f t="shared" si="6"/>
        <v>35.2</v>
      </c>
      <c r="AW206" s="1">
        <f t="shared" ref="AW206:AW207" si="789">AV206*$AW$4/$AV$4+4*$AW$362</f>
        <v>4.32052545155993</v>
      </c>
      <c r="AX206" s="1">
        <f t="shared" ref="AX206:AX207" si="790">AV206*$AX$4/$AV$4+4*$AX$362</f>
        <v>5.40065681444991</v>
      </c>
      <c r="AY206" s="1">
        <f t="shared" ref="AY206:AY207" si="791">AV206*$AY$4/$AV$4+4*$AY$362</f>
        <v>5.81609195402298</v>
      </c>
      <c r="AZ206" s="1">
        <f t="shared" ref="AZ206:AZ207" si="792">AV206*$AZ$4/$AV$4+4*$AZ$362</f>
        <v>8.0594417077176</v>
      </c>
      <c r="BA206" s="1">
        <f t="shared" ref="BA206:BA207" si="793">AV206*$BA$4/$AV$4+4*$BA$362</f>
        <v>19.5047619047619</v>
      </c>
      <c r="BB206" s="1">
        <f t="shared" ref="BB206:BB207" si="794">AV206*$BB$4/$AV$4+4*$BB$362</f>
        <v>30.8571428571429</v>
      </c>
      <c r="BC206" s="4">
        <f t="shared" si="728"/>
        <v>73.9586206896552</v>
      </c>
      <c r="BD206" s="3">
        <f>VLOOKUP(D206,FEB23SOH,2,false)</f>
        <v>248.0</v>
      </c>
      <c r="BE206" s="44">
        <f>VLOOKUP(D206,UNITVALUE,4,false)</f>
        <v>5.2438</v>
      </c>
      <c r="BF206" s="44">
        <f t="shared" si="16"/>
        <v>1300.4624</v>
      </c>
      <c r="BI206" s="6">
        <f t="shared" si="667"/>
        <v>174.041379310344</v>
      </c>
      <c r="BJ206" s="1">
        <f>VLOOKUP(C206,MOQ,3,FALSE())</f>
        <v>1000.0</v>
      </c>
      <c r="BK206" s="53" t="s">
        <v>0</v>
      </c>
      <c r="BM206" s="1">
        <f t="shared" si="668"/>
        <v>248.0</v>
      </c>
      <c r="BN206" s="1">
        <f t="shared" si="669"/>
        <v>4.32052545155993</v>
      </c>
      <c r="BP206" s="45">
        <f t="shared" si="670"/>
        <v>243.67947454844</v>
      </c>
      <c r="BQ206" s="5">
        <f t="shared" ref="BQ206:BQ208" si="795">BP206*BE206</f>
        <v>1277.8064286371</v>
      </c>
      <c r="BR206" s="1">
        <f t="shared" si="672"/>
        <v>5.40065681444991</v>
      </c>
      <c r="BS206" s="1">
        <f t="shared" si="673"/>
      </c>
      <c r="BT206" s="45">
        <f t="shared" si="674"/>
        <v>238.27881773399</v>
      </c>
      <c r="BU206" s="5">
        <f t="shared" ref="BU206:BU208" si="796">BT206*BE206</f>
        <v>1249.4864644335</v>
      </c>
      <c r="BV206" s="1">
        <f t="shared" si="676"/>
        <v>5.81609195402298</v>
      </c>
      <c r="BW206" s="1">
        <f t="shared" si="677"/>
      </c>
      <c r="BX206" s="45">
        <f t="shared" si="678"/>
        <v>232.462725779967</v>
      </c>
      <c r="BY206" s="5">
        <f t="shared" ref="BY206:BY208" si="797">BX206*BE206</f>
        <v>1218.98804144499</v>
      </c>
      <c r="BZ206" s="1">
        <f t="shared" si="680"/>
        <v>8.0594417077176</v>
      </c>
      <c r="CB206" s="45">
        <f t="shared" si="681"/>
        <v>224.403284072249</v>
      </c>
      <c r="CC206" s="5">
        <f t="shared" ref="CC206:CC208" si="798">CB206*BE206</f>
        <v>1176.72594101806</v>
      </c>
      <c r="CD206" s="1">
        <f t="shared" si="683"/>
        <v>19.5047619047619</v>
      </c>
      <c r="CF206" s="45">
        <f t="shared" si="684"/>
        <v>204.898522167487</v>
      </c>
      <c r="CG206" s="5">
        <f t="shared" ref="CG206:CG208" si="799">CF206*BE206</f>
        <v>1074.44687054187</v>
      </c>
      <c r="CH206" s="1">
        <f t="shared" si="686"/>
        <v>30.8571428571429</v>
      </c>
      <c r="CJ206" s="45">
        <f t="shared" si="687"/>
        <v>174.041379310344</v>
      </c>
      <c r="CK206" s="5">
        <f t="shared" ref="CK206:CK208" si="800">CJ206*BE206</f>
        <v>912.638184827582</v>
      </c>
    </row>
    <row r="207" ht="17.0">
      <c r="A207" s="41" t="s">
        <v>30</v>
      </c>
      <c r="B207" s="10" t="s">
        <v>401</v>
      </c>
      <c r="C207" s="41" t="s">
        <v>448</v>
      </c>
      <c r="D207" s="71" t="s">
        <v>449</v>
      </c>
      <c r="E207" s="41">
        <v>8.0</v>
      </c>
      <c r="F207" s="41">
        <v>0.0</v>
      </c>
      <c r="G207" s="41">
        <v>0.0</v>
      </c>
      <c r="H207" s="41">
        <v>4.0</v>
      </c>
      <c r="I207" s="41">
        <v>0.0</v>
      </c>
      <c r="J207" s="41">
        <v>0.0</v>
      </c>
      <c r="K207" s="41">
        <v>0.0</v>
      </c>
      <c r="L207" s="41">
        <v>1.0</v>
      </c>
      <c r="M207" s="41">
        <v>0.0</v>
      </c>
      <c r="N207" s="41">
        <v>8.0</v>
      </c>
      <c r="O207" s="41">
        <v>4.0</v>
      </c>
      <c r="P207" s="41">
        <v>8.0</v>
      </c>
      <c r="Q207" s="41">
        <v>0.0</v>
      </c>
      <c r="R207" s="41">
        <v>4.0</v>
      </c>
      <c r="S207" s="41">
        <v>4.0</v>
      </c>
      <c r="T207" s="41">
        <v>0.0</v>
      </c>
      <c r="U207" s="41">
        <v>4.0</v>
      </c>
      <c r="V207" s="41">
        <v>0.0</v>
      </c>
      <c r="W207" s="41">
        <v>0.0</v>
      </c>
      <c r="X207" s="41">
        <v>0.0</v>
      </c>
      <c r="Y207" s="41">
        <v>0.0</v>
      </c>
      <c r="Z207" s="41">
        <v>1.0</v>
      </c>
      <c r="AA207" s="41">
        <v>0.0</v>
      </c>
      <c r="AB207" s="41">
        <v>0.0</v>
      </c>
      <c r="AC207" s="41">
        <v>0.0</v>
      </c>
      <c r="AD207" s="41">
        <v>0.0</v>
      </c>
      <c r="AE207" s="41">
        <v>0.0</v>
      </c>
      <c r="AF207" s="41">
        <v>0.0</v>
      </c>
      <c r="AG207" s="41">
        <v>0.0</v>
      </c>
      <c r="AH207" s="41">
        <v>0.0</v>
      </c>
      <c r="AI207" s="41">
        <v>0.0</v>
      </c>
      <c r="AJ207" s="41">
        <v>0.0</v>
      </c>
      <c r="AK207" s="41">
        <v>0.0</v>
      </c>
      <c r="AL207" s="41">
        <v>4.0</v>
      </c>
      <c r="AM207" s="43">
        <v>0.0</v>
      </c>
      <c r="AN207" s="43">
        <v>0.0</v>
      </c>
      <c r="AO207" s="43">
        <v>0.0</v>
      </c>
      <c r="AP207" s="43">
        <v>0.0</v>
      </c>
      <c r="AQ207" s="43">
        <v>0.0</v>
      </c>
      <c r="AR207" s="43">
        <v>0.0</v>
      </c>
      <c r="AS207" s="43">
        <v>0.0</v>
      </c>
      <c r="AT207" s="4">
        <f t="shared" si="4"/>
        <v>4.0</v>
      </c>
      <c r="AU207" s="4">
        <f t="shared" si="5"/>
        <v>4.0</v>
      </c>
      <c r="AV207" s="4">
        <f t="shared" si="6"/>
        <v>4.4</v>
      </c>
      <c r="AW207" s="1">
        <f t="shared" si="789"/>
        <v>0.853858784893267</v>
      </c>
      <c r="AX207" s="1">
        <f t="shared" si="790"/>
        <v>1.06732348111658</v>
      </c>
      <c r="AY207" s="1">
        <f t="shared" si="791"/>
        <v>1.14942528735631</v>
      </c>
      <c r="AZ207" s="1">
        <f t="shared" si="792"/>
        <v>1.5927750410509</v>
      </c>
      <c r="BA207" s="1">
        <f t="shared" si="793"/>
        <v>16.4380952380952</v>
      </c>
      <c r="BB207" s="1">
        <f t="shared" si="794"/>
        <v>24.8571428571429</v>
      </c>
      <c r="BC207" s="4">
        <f t="shared" si="728"/>
        <v>45.9586206896551</v>
      </c>
      <c r="BD207" s="3">
        <f>VLOOKUP(D207,FEB23SOH,2,false)</f>
        <v>728.0</v>
      </c>
      <c r="BE207" s="44">
        <f>VLOOKUP(D207,UNITVALUE,4,false)</f>
        <v>4.607</v>
      </c>
      <c r="BF207" s="44">
        <f t="shared" si="16"/>
        <v>3353.896</v>
      </c>
      <c r="BI207" s="6">
        <f t="shared" si="667"/>
        <v>682.041379310345</v>
      </c>
      <c r="BJ207" s="1">
        <f>VLOOKUP(C207,MOQ,3,FALSE())</f>
        <v>1000.0</v>
      </c>
      <c r="BK207" s="53" t="s">
        <v>0</v>
      </c>
      <c r="BM207" s="1">
        <f t="shared" si="668"/>
        <v>728.0</v>
      </c>
      <c r="BN207" s="1">
        <f t="shared" si="669"/>
        <v>0.853858784893267</v>
      </c>
      <c r="BP207" s="45">
        <f t="shared" si="670"/>
        <v>727.146141215107</v>
      </c>
      <c r="BQ207" s="5">
        <f t="shared" si="795"/>
        <v>3349.962272578</v>
      </c>
      <c r="BR207" s="1">
        <f t="shared" si="672"/>
        <v>1.06732348111658</v>
      </c>
      <c r="BS207" s="1">
        <f t="shared" si="673"/>
      </c>
      <c r="BT207" s="45">
        <f t="shared" si="674"/>
        <v>726.07881773399</v>
      </c>
      <c r="BU207" s="5">
        <f t="shared" si="796"/>
        <v>3345.04511330049</v>
      </c>
      <c r="BV207" s="1">
        <f t="shared" si="676"/>
        <v>1.14942528735631</v>
      </c>
      <c r="BW207" s="1">
        <f t="shared" si="677"/>
      </c>
      <c r="BX207" s="45">
        <f t="shared" si="678"/>
        <v>724.929392446633</v>
      </c>
      <c r="BY207" s="5">
        <f t="shared" si="797"/>
        <v>3339.74971100163</v>
      </c>
      <c r="BZ207" s="1">
        <f t="shared" si="680"/>
        <v>1.5927750410509</v>
      </c>
      <c r="CB207" s="45">
        <f t="shared" si="681"/>
        <v>723.336617405582</v>
      </c>
      <c r="CC207" s="5">
        <f t="shared" si="798"/>
        <v>3332.41179638751</v>
      </c>
      <c r="CD207" s="1">
        <f t="shared" si="683"/>
        <v>16.4380952380952</v>
      </c>
      <c r="CF207" s="45">
        <f t="shared" si="684"/>
        <v>706.898522167487</v>
      </c>
      <c r="CG207" s="5">
        <f t="shared" si="799"/>
        <v>3256.68149162561</v>
      </c>
      <c r="CH207" s="1">
        <f t="shared" si="686"/>
        <v>24.8571428571429</v>
      </c>
      <c r="CJ207" s="45">
        <f t="shared" si="687"/>
        <v>682.041379310344</v>
      </c>
      <c r="CK207" s="5">
        <f t="shared" si="800"/>
        <v>3142.16463448276</v>
      </c>
    </row>
    <row r="208" ht="17.0">
      <c r="A208" s="41" t="s">
        <v>30</v>
      </c>
      <c r="B208" s="41" t="s">
        <v>450</v>
      </c>
      <c r="C208" s="41" t="s">
        <v>451</v>
      </c>
      <c r="D208" s="42" t="s">
        <v>452</v>
      </c>
      <c r="E208" s="41">
        <v>358.0</v>
      </c>
      <c r="F208" s="41">
        <v>63.0</v>
      </c>
      <c r="G208" s="41">
        <v>378.0</v>
      </c>
      <c r="H208" s="41">
        <v>69.0</v>
      </c>
      <c r="I208" s="41">
        <v>93.0</v>
      </c>
      <c r="J208" s="41">
        <v>15.0</v>
      </c>
      <c r="K208" s="41">
        <v>120.0</v>
      </c>
      <c r="L208" s="41">
        <v>12.0</v>
      </c>
      <c r="M208" s="41">
        <v>0.0</v>
      </c>
      <c r="N208" s="41">
        <v>138.0</v>
      </c>
      <c r="O208" s="41">
        <v>87.0</v>
      </c>
      <c r="P208" s="41">
        <v>0.0</v>
      </c>
      <c r="Q208" s="41">
        <v>309.0</v>
      </c>
      <c r="R208" s="41">
        <v>285.0</v>
      </c>
      <c r="S208" s="41">
        <v>231.0</v>
      </c>
      <c r="T208" s="41">
        <v>78.0</v>
      </c>
      <c r="U208" s="41">
        <v>24.0</v>
      </c>
      <c r="V208" s="41">
        <v>174.0</v>
      </c>
      <c r="W208" s="41">
        <v>12.0</v>
      </c>
      <c r="X208" s="41">
        <v>288.0</v>
      </c>
      <c r="Y208" s="41">
        <v>51.0</v>
      </c>
      <c r="Z208" s="41">
        <v>78.0</v>
      </c>
      <c r="AA208" s="41">
        <v>207.0</v>
      </c>
      <c r="AB208" s="41">
        <v>75.0</v>
      </c>
      <c r="AC208" s="41">
        <v>405.0</v>
      </c>
      <c r="AD208" s="41">
        <v>120.0</v>
      </c>
      <c r="AE208" s="41">
        <v>285.0</v>
      </c>
      <c r="AF208" s="41">
        <v>74.0</v>
      </c>
      <c r="AG208" s="41">
        <v>33.0</v>
      </c>
      <c r="AH208" s="41">
        <v>3.0</v>
      </c>
      <c r="AI208" s="41">
        <v>21.0</v>
      </c>
      <c r="AJ208" s="41">
        <v>102.0</v>
      </c>
      <c r="AK208" s="41">
        <v>45.0</v>
      </c>
      <c r="AL208" s="41">
        <v>267.0</v>
      </c>
      <c r="AM208" s="43">
        <v>60.0</v>
      </c>
      <c r="AN208" s="43">
        <v>33.0</v>
      </c>
      <c r="AO208" s="43">
        <v>351.0</v>
      </c>
      <c r="AP208" s="43">
        <v>126.0</v>
      </c>
      <c r="AQ208" s="43">
        <v>192.0</v>
      </c>
      <c r="AR208" s="43">
        <v>60.0</v>
      </c>
      <c r="AS208" s="43">
        <v>22.0</v>
      </c>
      <c r="AT208" s="4">
        <f t="shared" si="4"/>
        <v>1282.0</v>
      </c>
      <c r="AU208" s="4">
        <f t="shared" si="5"/>
        <v>498.0</v>
      </c>
      <c r="AV208" s="4">
        <f t="shared" si="6"/>
        <v>547.8</v>
      </c>
      <c r="AW208" s="1">
        <f t="shared" ref="AW208:AW210" si="801">AV208*$AW$4/$AV$4</f>
        <v>61.6571428571429</v>
      </c>
      <c r="AX208" s="1">
        <f t="shared" ref="AX208:AX210" si="802">AV208*$AX$4/$AV$4</f>
        <v>77.0714285714286</v>
      </c>
      <c r="AY208" s="1">
        <f t="shared" ref="AY208:AY210" si="803">AV208*$AY$4/$AV$4</f>
        <v>83.0</v>
      </c>
      <c r="AZ208" s="1">
        <f t="shared" ref="AZ208:AZ210" si="804">AV208*$AZ$4/$AV$4</f>
        <v>115.0142857142</v>
      </c>
      <c r="BA208" s="1">
        <f t="shared" ref="BA208:BA210" si="805">AV208*$BA$4/$AV$4</f>
        <v>54.5428571428571</v>
      </c>
      <c r="BB208" s="1">
        <f t="shared" ref="BB208:BB210" si="806">AV208*$BB$4/$AV$4</f>
        <v>106.71428571429</v>
      </c>
      <c r="BC208" s="4">
        <f t="shared" si="728"/>
        <v>497.999999999919</v>
      </c>
      <c r="BD208" s="3">
        <f>VLOOKUP(D208,FEB23SOH,2,false)</f>
        <v>2281.0</v>
      </c>
      <c r="BE208" s="44">
        <f>VLOOKUP(D208,UNITVALUE,4,false)</f>
        <v>4.3836</v>
      </c>
      <c r="BF208" s="44">
        <f t="shared" si="16"/>
        <v>9998.9916</v>
      </c>
      <c r="BI208" s="6">
        <f t="shared" si="667"/>
        <v>1783.00000000008</v>
      </c>
      <c r="BJ208" s="1">
        <f>VLOOKUP(C208,MOQ,3,FALSE())</f>
        <v>1002.0</v>
      </c>
      <c r="BM208" s="1">
        <f t="shared" si="668"/>
        <v>2281.0</v>
      </c>
      <c r="BN208" s="1">
        <f t="shared" si="669"/>
        <v>61.6571428571429</v>
      </c>
      <c r="BP208" s="45">
        <f t="shared" si="670"/>
        <v>2219.34285714286</v>
      </c>
      <c r="BQ208" s="5">
        <f t="shared" si="795"/>
        <v>9728.71134857144</v>
      </c>
      <c r="BR208" s="1">
        <f t="shared" si="672"/>
        <v>77.0714285714286</v>
      </c>
      <c r="BS208" s="1">
        <f t="shared" si="673"/>
      </c>
      <c r="BT208" s="45">
        <f t="shared" si="674"/>
        <v>2142.27142857143</v>
      </c>
      <c r="BU208" s="5">
        <f t="shared" si="796"/>
        <v>9390.86103428572</v>
      </c>
      <c r="BV208" s="1">
        <f t="shared" si="676"/>
        <v>83.0</v>
      </c>
      <c r="BW208" s="1">
        <f t="shared" si="677"/>
      </c>
      <c r="BX208" s="45">
        <f t="shared" si="678"/>
        <v>2059.27142857143</v>
      </c>
      <c r="BY208" s="5">
        <f t="shared" si="797"/>
        <v>9027.02223428572</v>
      </c>
      <c r="BZ208" s="1">
        <f t="shared" si="680"/>
        <v>115.0142857142</v>
      </c>
      <c r="CB208" s="45">
        <f t="shared" si="681"/>
        <v>1944.25714285723</v>
      </c>
      <c r="CC208" s="5">
        <f t="shared" si="798"/>
        <v>8522.845611429</v>
      </c>
      <c r="CD208" s="1">
        <f t="shared" si="683"/>
        <v>54.5428571428571</v>
      </c>
      <c r="CF208" s="45">
        <f t="shared" si="684"/>
        <v>1889.71428571437</v>
      </c>
      <c r="CG208" s="5">
        <f t="shared" si="799"/>
        <v>8283.75154285751</v>
      </c>
      <c r="CH208" s="1">
        <f t="shared" si="686"/>
        <v>106.71428571429</v>
      </c>
      <c r="CJ208" s="45">
        <f t="shared" si="687"/>
        <v>1783.00000000008</v>
      </c>
      <c r="CK208" s="5">
        <f t="shared" si="800"/>
        <v>7815.95880000035</v>
      </c>
    </row>
    <row r="209" ht="17.0">
      <c r="A209" s="46" t="s">
        <v>30</v>
      </c>
      <c r="B209" s="46" t="s">
        <v>453</v>
      </c>
      <c r="C209" s="46" t="s">
        <v>454</v>
      </c>
      <c r="D209" s="47" t="s">
        <v>455</v>
      </c>
      <c r="E209" s="41">
        <v>0.0</v>
      </c>
      <c r="F209" s="41">
        <v>0.0</v>
      </c>
      <c r="G209" s="41">
        <v>0.0</v>
      </c>
      <c r="H209" s="41">
        <v>0.0</v>
      </c>
      <c r="I209" s="41">
        <v>0.0</v>
      </c>
      <c r="J209" s="41">
        <v>0.0</v>
      </c>
      <c r="K209" s="41">
        <v>0.0</v>
      </c>
      <c r="L209" s="41">
        <v>0.0</v>
      </c>
      <c r="M209" s="41">
        <v>12.0</v>
      </c>
      <c r="N209" s="41">
        <v>13.0</v>
      </c>
      <c r="O209" s="41">
        <v>7.0</v>
      </c>
      <c r="P209" s="41">
        <v>13.0</v>
      </c>
      <c r="Q209" s="41">
        <v>16.0</v>
      </c>
      <c r="R209" s="41">
        <v>4.0</v>
      </c>
      <c r="S209" s="41">
        <v>4.0</v>
      </c>
      <c r="T209" s="41">
        <v>0.0</v>
      </c>
      <c r="U209" s="41">
        <v>0.0</v>
      </c>
      <c r="V209" s="41">
        <v>5.0</v>
      </c>
      <c r="W209" s="41">
        <v>1.0</v>
      </c>
      <c r="X209" s="41">
        <v>0.0</v>
      </c>
      <c r="Y209" s="41">
        <v>2.0</v>
      </c>
      <c r="Z209" s="41">
        <v>3.0</v>
      </c>
      <c r="AA209" s="41">
        <v>3.0</v>
      </c>
      <c r="AB209" s="41">
        <v>1.0</v>
      </c>
      <c r="AC209" s="41">
        <v>0.0</v>
      </c>
      <c r="AD209" s="41">
        <v>1.0</v>
      </c>
      <c r="AE209" s="41">
        <v>0.0</v>
      </c>
      <c r="AF209" s="41">
        <v>1.0</v>
      </c>
      <c r="AG209" s="41">
        <v>3.0</v>
      </c>
      <c r="AH209" s="41">
        <v>0.0</v>
      </c>
      <c r="AI209" s="41">
        <v>1.0</v>
      </c>
      <c r="AJ209" s="41">
        <v>0.0</v>
      </c>
      <c r="AK209" s="41">
        <v>0.0</v>
      </c>
      <c r="AL209" s="1">
        <v>1.0</v>
      </c>
      <c r="AM209" s="43">
        <v>2.0</v>
      </c>
      <c r="AN209" s="43">
        <v>2.0</v>
      </c>
      <c r="AO209" s="43">
        <v>1.0</v>
      </c>
      <c r="AP209" s="43">
        <v>0.0</v>
      </c>
      <c r="AQ209" s="43">
        <v>0.0</v>
      </c>
      <c r="AR209" s="43">
        <v>0.0</v>
      </c>
      <c r="AS209" s="43">
        <v>1.0</v>
      </c>
      <c r="AT209" s="4">
        <f t="shared" si="4"/>
        <v>8.0</v>
      </c>
      <c r="AU209" s="4">
        <f t="shared" si="5"/>
        <v>4.0</v>
      </c>
      <c r="AV209" s="4">
        <f t="shared" si="6"/>
        <v>4.4</v>
      </c>
      <c r="AW209" s="48">
        <f t="shared" si="801"/>
        <v>0.495238095238095</v>
      </c>
      <c r="AX209" s="48">
        <f t="shared" si="802"/>
        <v>0.619047619047619</v>
      </c>
      <c r="AY209" s="48">
        <f t="shared" si="803"/>
        <v>0.666666666666667</v>
      </c>
      <c r="AZ209" s="48">
        <f t="shared" si="804"/>
        <v>0.923809523809523</v>
      </c>
      <c r="BA209" s="48">
        <f t="shared" si="805"/>
        <v>0.438095238095238</v>
      </c>
      <c r="BB209" s="48">
        <f t="shared" si="806"/>
        <v>0.857142857142857</v>
      </c>
      <c r="BC209" s="4">
        <f t="shared" si="728"/>
        <v>4.0</v>
      </c>
      <c r="BD209" s="3">
        <f>VLOOKUP(D209,FEB23SOH,2,false)</f>
        <v>1.0</v>
      </c>
      <c r="BE209" s="44">
        <f>VLOOKUP(D209,UNITVALUE,4,false)</f>
        <v>66.97</v>
      </c>
      <c r="BF209" s="44">
        <f t="shared" si="16"/>
        <v>66.97</v>
      </c>
      <c r="BK209" s="50"/>
      <c r="BP209" s="45"/>
      <c r="BT209" s="45"/>
      <c r="BU209" s="5"/>
      <c r="BX209" s="45"/>
      <c r="BY209" s="5"/>
      <c r="CB209" s="45"/>
      <c r="CC209" s="5"/>
      <c r="CF209" s="45"/>
      <c r="CG209" s="5"/>
      <c r="CJ209" s="45"/>
      <c r="CK209" s="5"/>
      <c r="CL209" s="69"/>
      <c r="CM209" s="69"/>
      <c r="CN209" s="69"/>
      <c r="CO209" s="69"/>
      <c r="CP209" s="69"/>
      <c r="CQ209" s="69"/>
      <c r="CR209" s="69"/>
      <c r="CS209" s="69"/>
      <c r="CT209" s="69"/>
      <c r="CU209" s="69"/>
      <c r="CV209" s="69"/>
      <c r="CW209" s="69"/>
      <c r="CX209" s="69"/>
      <c r="CY209" s="69"/>
      <c r="CZ209" s="69"/>
      <c r="DA209" s="69"/>
      <c r="DB209" s="69"/>
      <c r="DC209" s="69"/>
      <c r="DD209" s="69"/>
      <c r="DE209" s="69"/>
      <c r="DF209" s="69"/>
      <c r="DG209" s="69"/>
      <c r="DH209" s="69"/>
      <c r="DI209" s="69"/>
      <c r="DJ209" s="69"/>
      <c r="DK209" s="69"/>
    </row>
    <row r="210" ht="17.0">
      <c r="A210" s="46" t="s">
        <v>30</v>
      </c>
      <c r="B210" s="46" t="s">
        <v>453</v>
      </c>
      <c r="C210" s="46" t="s">
        <v>456</v>
      </c>
      <c r="D210" s="47" t="s">
        <v>457</v>
      </c>
      <c r="E210" s="41">
        <v>0.0</v>
      </c>
      <c r="F210" s="41">
        <v>0.0</v>
      </c>
      <c r="G210" s="41">
        <v>0.0</v>
      </c>
      <c r="H210" s="41">
        <v>0.0</v>
      </c>
      <c r="I210" s="41">
        <v>0.0</v>
      </c>
      <c r="J210" s="41">
        <v>0.0</v>
      </c>
      <c r="K210" s="41">
        <v>0.0</v>
      </c>
      <c r="L210" s="41">
        <v>0.0</v>
      </c>
      <c r="M210" s="41">
        <v>0.0</v>
      </c>
      <c r="N210" s="41">
        <v>0.0</v>
      </c>
      <c r="O210" s="41">
        <v>0.0</v>
      </c>
      <c r="P210" s="41">
        <v>0.0</v>
      </c>
      <c r="Q210" s="41">
        <v>0.0</v>
      </c>
      <c r="R210" s="41">
        <v>0.0</v>
      </c>
      <c r="S210" s="41">
        <v>1.0</v>
      </c>
      <c r="T210" s="41">
        <v>0.0</v>
      </c>
      <c r="U210" s="41">
        <v>0.0</v>
      </c>
      <c r="V210" s="41">
        <v>0.0</v>
      </c>
      <c r="W210" s="41">
        <v>1.0</v>
      </c>
      <c r="X210" s="41">
        <v>0.0</v>
      </c>
      <c r="Y210" s="41">
        <v>0.0</v>
      </c>
      <c r="Z210" s="41">
        <v>0.0</v>
      </c>
      <c r="AA210" s="41">
        <v>0.0</v>
      </c>
      <c r="AB210" s="41">
        <v>0.0</v>
      </c>
      <c r="AC210" s="41">
        <v>0.0</v>
      </c>
      <c r="AD210" s="41">
        <v>0.0</v>
      </c>
      <c r="AE210" s="41">
        <v>0.0</v>
      </c>
      <c r="AF210" s="41">
        <v>0.0</v>
      </c>
      <c r="AG210" s="41">
        <v>0.0</v>
      </c>
      <c r="AH210" s="41">
        <v>0.0</v>
      </c>
      <c r="AI210" s="41">
        <v>0.0</v>
      </c>
      <c r="AJ210" s="41">
        <v>0.0</v>
      </c>
      <c r="AK210" s="41">
        <v>0.0</v>
      </c>
      <c r="AL210" s="1">
        <v>0.0</v>
      </c>
      <c r="AM210" s="43">
        <v>0.0</v>
      </c>
      <c r="AN210" s="43">
        <v>0.0</v>
      </c>
      <c r="AO210" s="43">
        <v>0.0</v>
      </c>
      <c r="AP210" s="43">
        <v>1.0</v>
      </c>
      <c r="AQ210" s="43">
        <v>0.0</v>
      </c>
      <c r="AR210" s="43">
        <v>0.0</v>
      </c>
      <c r="AS210" s="43">
        <v>0.0</v>
      </c>
      <c r="AT210" s="4">
        <f t="shared" si="4"/>
        <v>1.0</v>
      </c>
      <c r="AU210" s="4">
        <f t="shared" si="5"/>
        <v>0.0</v>
      </c>
      <c r="AV210" s="4">
        <f t="shared" si="6"/>
        <v>0.0</v>
      </c>
      <c r="AW210" s="48">
        <f t="shared" si="801"/>
        <v>0.0</v>
      </c>
      <c r="AX210" s="48">
        <f t="shared" si="802"/>
        <v>0.0</v>
      </c>
      <c r="AY210" s="48">
        <f t="shared" si="803"/>
        <v>0.0</v>
      </c>
      <c r="AZ210" s="48">
        <f t="shared" si="804"/>
        <v>0.0</v>
      </c>
      <c r="BA210" s="48">
        <f t="shared" si="805"/>
        <v>0.0</v>
      </c>
      <c r="BB210" s="48">
        <f t="shared" si="806"/>
        <v>0.0</v>
      </c>
      <c r="BC210" s="4">
        <f t="shared" si="728"/>
        <v>0.0</v>
      </c>
      <c r="BD210" s="3">
        <f>VLOOKUP(D210,FEB23SOH,2,false)</f>
        <v>1.0</v>
      </c>
      <c r="BE210" s="44">
        <f>VLOOKUP(D210,UNITVALUE,4,false)</f>
        <v>32.21</v>
      </c>
      <c r="BF210" s="44">
        <f t="shared" si="16"/>
        <v>32.21</v>
      </c>
      <c r="BK210" s="50"/>
      <c r="BP210" s="45"/>
      <c r="BT210" s="45"/>
      <c r="BU210" s="5"/>
      <c r="BX210" s="45"/>
      <c r="BY210" s="5"/>
      <c r="CB210" s="45"/>
      <c r="CC210" s="5"/>
      <c r="CF210" s="45"/>
      <c r="CG210" s="5"/>
      <c r="CJ210" s="45"/>
      <c r="CK210" s="5"/>
      <c r="CL210" s="69"/>
      <c r="CM210" s="69"/>
      <c r="CN210" s="69"/>
      <c r="CO210" s="69"/>
      <c r="CP210" s="69"/>
      <c r="CQ210" s="69"/>
      <c r="CR210" s="69"/>
      <c r="CS210" s="69"/>
      <c r="CT210" s="69"/>
      <c r="CU210" s="69"/>
      <c r="CV210" s="69"/>
      <c r="CW210" s="69"/>
      <c r="CX210" s="69"/>
      <c r="CY210" s="69"/>
      <c r="CZ210" s="69"/>
      <c r="DA210" s="69"/>
      <c r="DB210" s="69"/>
      <c r="DC210" s="69"/>
      <c r="DD210" s="69"/>
      <c r="DE210" s="69"/>
      <c r="DF210" s="69"/>
      <c r="DG210" s="69"/>
      <c r="DH210" s="69"/>
      <c r="DI210" s="69"/>
      <c r="DJ210" s="69"/>
      <c r="DK210" s="69"/>
    </row>
    <row r="211" ht="17.0">
      <c r="A211" s="41" t="s">
        <v>30</v>
      </c>
      <c r="B211" s="41" t="s">
        <v>453</v>
      </c>
      <c r="C211" s="41" t="s">
        <v>458</v>
      </c>
      <c r="D211" s="55" t="s">
        <v>459</v>
      </c>
      <c r="E211" s="41">
        <v>0.0</v>
      </c>
      <c r="F211" s="41">
        <v>0.0</v>
      </c>
      <c r="G211" s="41">
        <v>0.0</v>
      </c>
      <c r="H211" s="41">
        <v>0.0</v>
      </c>
      <c r="I211" s="41">
        <v>0.0</v>
      </c>
      <c r="J211" s="41">
        <v>0.0</v>
      </c>
      <c r="K211" s="41">
        <v>0.0</v>
      </c>
      <c r="L211" s="41">
        <v>9.0</v>
      </c>
      <c r="M211" s="41">
        <v>112.0</v>
      </c>
      <c r="N211" s="41">
        <v>132.0</v>
      </c>
      <c r="O211" s="41">
        <v>110.0</v>
      </c>
      <c r="P211" s="41">
        <v>57.0</v>
      </c>
      <c r="Q211" s="41">
        <v>0.0</v>
      </c>
      <c r="R211" s="41">
        <v>12.0</v>
      </c>
      <c r="S211" s="41">
        <v>122.0</v>
      </c>
      <c r="T211" s="41">
        <v>88.0</v>
      </c>
      <c r="U211" s="41">
        <v>96.0</v>
      </c>
      <c r="V211" s="41">
        <v>152.0</v>
      </c>
      <c r="W211" s="41">
        <v>116.0</v>
      </c>
      <c r="X211" s="41">
        <v>92.0</v>
      </c>
      <c r="Y211" s="41">
        <v>64.0</v>
      </c>
      <c r="Z211" s="41">
        <v>87.0</v>
      </c>
      <c r="AA211" s="41">
        <v>67.0</v>
      </c>
      <c r="AB211" s="41">
        <v>59.0</v>
      </c>
      <c r="AC211" s="41">
        <v>79.0</v>
      </c>
      <c r="AD211" s="41">
        <v>93.0</v>
      </c>
      <c r="AE211" s="41">
        <v>81.0</v>
      </c>
      <c r="AF211" s="41">
        <v>84.0</v>
      </c>
      <c r="AG211" s="41">
        <v>69.0</v>
      </c>
      <c r="AH211" s="41">
        <v>45.0</v>
      </c>
      <c r="AI211" s="41">
        <v>57.0</v>
      </c>
      <c r="AJ211" s="41">
        <v>45.0</v>
      </c>
      <c r="AK211" s="41">
        <v>42.0</v>
      </c>
      <c r="AL211" s="41">
        <v>27.0</v>
      </c>
      <c r="AM211" s="43">
        <v>51.0</v>
      </c>
      <c r="AN211" s="43">
        <v>66.0</v>
      </c>
      <c r="AO211" s="43">
        <v>78.0</v>
      </c>
      <c r="AP211" s="43">
        <v>120.0</v>
      </c>
      <c r="AQ211" s="43">
        <v>51.0</v>
      </c>
      <c r="AR211" s="43">
        <v>15.0</v>
      </c>
      <c r="AS211" s="43">
        <v>4.0</v>
      </c>
      <c r="AT211" s="4">
        <f t="shared" si="4"/>
        <v>601.0</v>
      </c>
      <c r="AU211" s="4">
        <f t="shared" si="5"/>
        <v>267.0</v>
      </c>
      <c r="AV211" s="4">
        <f t="shared" si="6"/>
        <v>293.7</v>
      </c>
      <c r="AW211" s="1">
        <f t="shared" ref="AW211:AW218" si="807">AV211*$AW$4/$AV$4+2*$AW$209</f>
        <v>34.047619047619</v>
      </c>
      <c r="AX211" s="1">
        <f t="shared" ref="AX211:AX218" si="808">AV211*$AX$4/$AV$4+2*$AX$209</f>
        <v>42.5595238095238</v>
      </c>
      <c r="AY211" s="1">
        <f t="shared" ref="AY211:AY218" si="809">AV211*$AY$4/$AV$4+2*$AY$209</f>
        <v>45.8333333333333</v>
      </c>
      <c r="AZ211" s="1">
        <f t="shared" ref="AZ211:AZ218" si="810">AV211*$AZ$4/$AV$4+2*$AZ$209</f>
        <v>63.5119047619047</v>
      </c>
      <c r="BA211" s="1">
        <f t="shared" ref="BA211:BA218" si="811">AV211*$BA$4/$AV$4+2*$BA$209</f>
        <v>30.1190476190476</v>
      </c>
      <c r="BB211" s="1">
        <f t="shared" ref="BB211:BB218" si="812">AV211*$BB$4/$AV$4+2*$BB$209</f>
        <v>58.9285714285714</v>
      </c>
      <c r="BC211" s="4">
        <f t="shared" si="728"/>
        <v>275.0</v>
      </c>
      <c r="BD211" s="3">
        <f>VLOOKUP(D211,FEB23SOH,2,false)</f>
        <v>0.0</v>
      </c>
      <c r="BE211" s="44">
        <f>VLOOKUP(D211,UNITVALUE,4,false)</f>
      </c>
      <c r="BF211" s="44">
        <f t="shared" si="16"/>
        <v>0.0</v>
      </c>
      <c r="BG211" s="1">
        <f>VLOOKUP(D211,ETAMAR7,2,false)</f>
        <v>504.0</v>
      </c>
      <c r="BI211" s="6">
        <f t="shared" ref="BI211:BI224" si="814">BD211+BG211+BH211-BC211</f>
        <v>229.0</v>
      </c>
      <c r="BJ211" s="1">
        <f>VLOOKUP(C211,MOQ,3,FALSE())</f>
        <v>501.0</v>
      </c>
      <c r="BM211" s="1">
        <f t="shared" ref="BM211:BM224" si="816">BD211</f>
        <v>0.0</v>
      </c>
      <c r="BN211" s="1">
        <f t="shared" ref="BN211:BN224" si="817">AW211</f>
        <v>34.047619047619</v>
      </c>
      <c r="BP211" s="45">
        <f t="shared" ref="BP211:BP224" si="818">BM211+BO211-BN211</f>
        <v>-34.047619047619</v>
      </c>
      <c r="BQ211" s="5">
        <f>BP211*BE211</f>
        <v>0.0</v>
      </c>
      <c r="BR211" s="1">
        <f t="shared" ref="BR211:BR224" si="820">AX211</f>
        <v>42.5595238095238</v>
      </c>
      <c r="BS211" s="1">
        <f t="shared" ref="BS211:BS224" si="821">BG211</f>
        <v>504.0</v>
      </c>
      <c r="BT211" s="45">
        <f t="shared" ref="BT211:BT224" si="822">BP211+BS211-BR211</f>
        <v>427.392857142857</v>
      </c>
      <c r="BU211" s="5"/>
      <c r="BV211" s="1">
        <f t="shared" ref="BV211:BV224" si="823">AY211</f>
        <v>45.8333333333333</v>
      </c>
      <c r="BW211" s="1">
        <f t="shared" ref="BW211:BW224" si="824">BG211</f>
        <v>504.0</v>
      </c>
      <c r="BX211" s="45">
        <f t="shared" ref="BX211:BX224" si="825">BT211+BW211-BV211</f>
        <v>885.559523809523</v>
      </c>
      <c r="BY211" s="5"/>
      <c r="BZ211" s="1">
        <f t="shared" ref="BZ211:BZ224" si="826">AZ211</f>
        <v>63.5119047619047</v>
      </c>
      <c r="CB211" s="45">
        <f t="shared" ref="CB211:CB224" si="827">BX211+CA211-BZ211</f>
        <v>822.047619047618</v>
      </c>
      <c r="CC211" s="5"/>
      <c r="CD211" s="1">
        <f t="shared" ref="CD211:CD224" si="828">BA211</f>
        <v>30.1190476190476</v>
      </c>
      <c r="CF211" s="45">
        <f t="shared" ref="CF211:CF224" si="829">CB211+CE211-CD211</f>
        <v>791.92857142857</v>
      </c>
      <c r="CG211" s="5"/>
      <c r="CH211" s="1">
        <f t="shared" ref="CH211:CH224" si="830">BB211</f>
        <v>58.9285714285714</v>
      </c>
      <c r="CJ211" s="45">
        <f t="shared" ref="CJ211:CJ224" si="831">CF211+CI211-CH211</f>
        <v>732.999999999999</v>
      </c>
      <c r="CK211" s="5"/>
    </row>
    <row r="212" ht="17.0">
      <c r="A212" s="41" t="s">
        <v>30</v>
      </c>
      <c r="B212" s="10" t="s">
        <v>453</v>
      </c>
      <c r="C212" s="41" t="s">
        <v>460</v>
      </c>
      <c r="D212" s="55" t="s">
        <v>461</v>
      </c>
      <c r="E212" s="41">
        <v>0.0</v>
      </c>
      <c r="F212" s="41">
        <v>0.0</v>
      </c>
      <c r="G212" s="41">
        <v>0.0</v>
      </c>
      <c r="H212" s="41">
        <v>0.0</v>
      </c>
      <c r="I212" s="41">
        <v>0.0</v>
      </c>
      <c r="J212" s="41">
        <v>0.0</v>
      </c>
      <c r="K212" s="41">
        <v>0.0</v>
      </c>
      <c r="L212" s="41">
        <v>9.0</v>
      </c>
      <c r="M212" s="41">
        <v>108.0</v>
      </c>
      <c r="N212" s="41">
        <v>104.0</v>
      </c>
      <c r="O212" s="41">
        <v>89.0</v>
      </c>
      <c r="P212" s="41">
        <v>104.0</v>
      </c>
      <c r="Q212" s="41">
        <v>1.0</v>
      </c>
      <c r="R212" s="41">
        <v>8.0</v>
      </c>
      <c r="S212" s="41">
        <v>70.0</v>
      </c>
      <c r="T212" s="41">
        <v>36.0</v>
      </c>
      <c r="U212" s="41">
        <v>24.0</v>
      </c>
      <c r="V212" s="41">
        <v>48.0</v>
      </c>
      <c r="W212" s="41">
        <v>76.0</v>
      </c>
      <c r="X212" s="41">
        <v>36.0</v>
      </c>
      <c r="Y212" s="41">
        <v>40.0</v>
      </c>
      <c r="Z212" s="41">
        <v>35.0</v>
      </c>
      <c r="AA212" s="41">
        <v>40.0</v>
      </c>
      <c r="AB212" s="41">
        <v>24.0</v>
      </c>
      <c r="AC212" s="41">
        <v>34.0</v>
      </c>
      <c r="AD212" s="41">
        <v>64.0</v>
      </c>
      <c r="AE212" s="41">
        <v>52.0</v>
      </c>
      <c r="AF212" s="41">
        <v>84.0</v>
      </c>
      <c r="AG212" s="41">
        <v>20.0</v>
      </c>
      <c r="AH212" s="41">
        <v>20.0</v>
      </c>
      <c r="AI212" s="41">
        <v>28.0</v>
      </c>
      <c r="AJ212" s="41">
        <v>28.0</v>
      </c>
      <c r="AK212" s="41">
        <v>24.0</v>
      </c>
      <c r="AL212" s="41">
        <v>12.0</v>
      </c>
      <c r="AM212" s="43">
        <v>34.0</v>
      </c>
      <c r="AN212" s="43">
        <v>14.0</v>
      </c>
      <c r="AO212" s="43">
        <v>48.0</v>
      </c>
      <c r="AP212" s="43">
        <v>40.0</v>
      </c>
      <c r="AQ212" s="43">
        <v>8.0</v>
      </c>
      <c r="AR212" s="43">
        <v>0.0</v>
      </c>
      <c r="AS212" s="43">
        <v>0.0</v>
      </c>
      <c r="AT212" s="4">
        <f t="shared" si="4"/>
        <v>256.0</v>
      </c>
      <c r="AU212" s="4">
        <f t="shared" si="5"/>
        <v>146.0</v>
      </c>
      <c r="AV212" s="4">
        <f t="shared" si="6"/>
        <v>160.6</v>
      </c>
      <c r="AW212" s="1">
        <f t="shared" si="807"/>
        <v>19.0666666666666</v>
      </c>
      <c r="AX212" s="1">
        <f t="shared" si="808"/>
        <v>23.8333333333332</v>
      </c>
      <c r="AY212" s="1">
        <f t="shared" si="809"/>
        <v>25.6666666666666</v>
      </c>
      <c r="AZ212" s="1">
        <f t="shared" si="810"/>
        <v>35.5666666666666</v>
      </c>
      <c r="BA212" s="1">
        <f t="shared" si="811"/>
        <v>16.8666666666666</v>
      </c>
      <c r="BB212" s="1">
        <f t="shared" si="812"/>
        <v>32.9999999999999</v>
      </c>
      <c r="BC212" s="4">
        <f t="shared" si="728"/>
        <v>154.0</v>
      </c>
      <c r="BD212" s="3">
        <f>VLOOKUP(D212,FEB23SOH,2,false)</f>
        <v>4.0</v>
      </c>
      <c r="BE212" s="44">
        <f>VLOOKUP(D212,UNITVALUE,4,false)</f>
        <v>3.905</v>
      </c>
      <c r="BF212" s="44">
        <f t="shared" si="16"/>
        <v>15.62</v>
      </c>
      <c r="BI212" s="6">
        <f t="shared" si="814"/>
        <v>-150.0</v>
      </c>
      <c r="BJ212" s="1">
        <f>VLOOKUP(C212,MOQ,3,FALSE())</f>
        <v>501.0</v>
      </c>
      <c r="BK212" s="53" t="s">
        <v>0</v>
      </c>
      <c r="BL212" s="8" t="s">
        <v>5</v>
      </c>
      <c r="BM212" s="1">
        <f t="shared" si="816"/>
        <v>4.0</v>
      </c>
      <c r="BN212" s="1">
        <f t="shared" si="817"/>
        <v>19.0666666666666</v>
      </c>
      <c r="BP212" s="45">
        <f t="shared" si="818"/>
        <v>-15.0666666666664</v>
      </c>
      <c r="BR212" s="1">
        <f t="shared" si="820"/>
        <v>23.8333333333332</v>
      </c>
      <c r="BS212" s="1">
        <f t="shared" si="821"/>
      </c>
      <c r="BT212" s="45">
        <f t="shared" si="822"/>
        <v>-38.8999999999996</v>
      </c>
      <c r="BU212" s="5"/>
      <c r="BV212" s="1">
        <f t="shared" si="823"/>
        <v>25.6666666666666</v>
      </c>
      <c r="BW212" s="1">
        <f t="shared" si="824"/>
      </c>
      <c r="BX212" s="45">
        <f t="shared" si="825"/>
        <v>-64.5666666666662</v>
      </c>
      <c r="BY212" s="5"/>
      <c r="BZ212" s="1">
        <f t="shared" si="826"/>
        <v>35.5666666666666</v>
      </c>
      <c r="CB212" s="45">
        <f t="shared" si="827"/>
        <v>-100.133333333332</v>
      </c>
      <c r="CC212" s="5"/>
      <c r="CD212" s="1">
        <f t="shared" si="828"/>
        <v>16.8666666666666</v>
      </c>
      <c r="CF212" s="45">
        <f t="shared" si="829"/>
        <v>-116.999999999997</v>
      </c>
      <c r="CG212" s="5"/>
      <c r="CH212" s="1">
        <f t="shared" si="830"/>
        <v>32.9999999999999</v>
      </c>
      <c r="CJ212" s="45">
        <f t="shared" si="831"/>
        <v>-149.999999999995</v>
      </c>
      <c r="CK212" s="5"/>
    </row>
    <row r="213" ht="17.0">
      <c r="A213" s="41" t="s">
        <v>30</v>
      </c>
      <c r="B213" s="10" t="s">
        <v>453</v>
      </c>
      <c r="C213" s="41" t="s">
        <v>462</v>
      </c>
      <c r="D213" s="55" t="s">
        <v>463</v>
      </c>
      <c r="E213" s="41">
        <v>0.0</v>
      </c>
      <c r="F213" s="41">
        <v>0.0</v>
      </c>
      <c r="G213" s="41">
        <v>0.0</v>
      </c>
      <c r="H213" s="41">
        <v>0.0</v>
      </c>
      <c r="I213" s="41">
        <v>0.0</v>
      </c>
      <c r="J213" s="41">
        <v>0.0</v>
      </c>
      <c r="K213" s="41">
        <v>0.0</v>
      </c>
      <c r="L213" s="41">
        <v>5.0</v>
      </c>
      <c r="M213" s="41">
        <v>56.0</v>
      </c>
      <c r="N213" s="41">
        <v>36.0</v>
      </c>
      <c r="O213" s="41">
        <v>17.0</v>
      </c>
      <c r="P213" s="41">
        <v>42.0</v>
      </c>
      <c r="Q213" s="41">
        <v>64.0</v>
      </c>
      <c r="R213" s="41">
        <v>50.0</v>
      </c>
      <c r="S213" s="41">
        <v>24.0</v>
      </c>
      <c r="T213" s="41">
        <v>27.0</v>
      </c>
      <c r="U213" s="41">
        <v>36.0</v>
      </c>
      <c r="V213" s="41">
        <v>60.0</v>
      </c>
      <c r="W213" s="41">
        <v>24.0</v>
      </c>
      <c r="X213" s="41">
        <v>24.0</v>
      </c>
      <c r="Y213" s="41">
        <v>8.0</v>
      </c>
      <c r="Z213" s="41">
        <v>35.0</v>
      </c>
      <c r="AA213" s="41">
        <v>8.0</v>
      </c>
      <c r="AB213" s="41">
        <v>7.0</v>
      </c>
      <c r="AC213" s="41">
        <v>8.0</v>
      </c>
      <c r="AD213" s="41">
        <v>16.0</v>
      </c>
      <c r="AE213" s="41">
        <v>8.0</v>
      </c>
      <c r="AF213" s="41">
        <v>16.0</v>
      </c>
      <c r="AG213" s="41">
        <v>8.0</v>
      </c>
      <c r="AH213" s="41">
        <v>12.0</v>
      </c>
      <c r="AI213" s="41">
        <v>24.0</v>
      </c>
      <c r="AJ213" s="41">
        <v>4.0</v>
      </c>
      <c r="AK213" s="41">
        <v>0.0</v>
      </c>
      <c r="AL213" s="41">
        <v>8.0</v>
      </c>
      <c r="AM213" s="43">
        <v>10.0</v>
      </c>
      <c r="AN213" s="43">
        <v>6.0</v>
      </c>
      <c r="AO213" s="43">
        <v>4.0</v>
      </c>
      <c r="AP213" s="43">
        <v>12.0</v>
      </c>
      <c r="AQ213" s="43">
        <v>8.0</v>
      </c>
      <c r="AR213" s="43">
        <v>4.0</v>
      </c>
      <c r="AS213" s="43">
        <v>12.0</v>
      </c>
      <c r="AT213" s="4">
        <f t="shared" si="4"/>
        <v>104.0</v>
      </c>
      <c r="AU213" s="4">
        <f t="shared" si="5"/>
        <v>58.0</v>
      </c>
      <c r="AV213" s="4">
        <f t="shared" si="6"/>
        <v>63.8</v>
      </c>
      <c r="AW213" s="1">
        <f t="shared" si="807"/>
        <v>8.17142857142857</v>
      </c>
      <c r="AX213" s="1">
        <f t="shared" si="808"/>
        <v>10.2142857142857</v>
      </c>
      <c r="AY213" s="1">
        <f t="shared" si="809"/>
        <v>11.0</v>
      </c>
      <c r="AZ213" s="1">
        <f t="shared" si="810"/>
        <v>15.242857142857</v>
      </c>
      <c r="BA213" s="1">
        <f t="shared" si="811"/>
        <v>7.22857142857142</v>
      </c>
      <c r="BB213" s="1">
        <f t="shared" si="812"/>
        <v>14.1428571428571</v>
      </c>
      <c r="BC213" s="4">
        <f t="shared" si="728"/>
        <v>65.9999999999998</v>
      </c>
      <c r="BD213" s="3">
        <f>VLOOKUP(D213,FEB23SOH,2,false)</f>
        <v>113.0</v>
      </c>
      <c r="BE213" s="44">
        <f>VLOOKUP(D213,UNITVALUE,4,false)</f>
        <v>3.9067</v>
      </c>
      <c r="BF213" s="44">
        <f t="shared" si="16"/>
        <v>441.4571</v>
      </c>
      <c r="BI213" s="6">
        <f t="shared" si="814"/>
        <v>47.0000000000002</v>
      </c>
      <c r="BJ213" s="1">
        <f>VLOOKUP(C213,MOQ,3,FALSE())</f>
        <v>501.0</v>
      </c>
      <c r="BK213" s="53" t="s">
        <v>0</v>
      </c>
      <c r="BM213" s="1">
        <f t="shared" si="816"/>
        <v>113.0</v>
      </c>
      <c r="BN213" s="1">
        <f t="shared" si="817"/>
        <v>8.17142857142857</v>
      </c>
      <c r="BP213" s="45">
        <f t="shared" si="818"/>
        <v>104.828571428571</v>
      </c>
      <c r="BQ213" s="5">
        <f t="shared" ref="BQ213:BQ224" si="832">BP213*BE213</f>
        <v>409.533779999998</v>
      </c>
      <c r="BR213" s="1">
        <f t="shared" si="820"/>
        <v>10.2142857142857</v>
      </c>
      <c r="BS213" s="1">
        <f t="shared" si="821"/>
      </c>
      <c r="BT213" s="45">
        <f t="shared" si="822"/>
        <v>94.6142857142853</v>
      </c>
      <c r="BU213" s="5">
        <f t="shared" ref="BU213:BU224" si="833">BT213*BE213</f>
        <v>369.629629999998</v>
      </c>
      <c r="BV213" s="1">
        <f t="shared" si="823"/>
        <v>11.0</v>
      </c>
      <c r="BW213" s="1">
        <f t="shared" si="824"/>
      </c>
      <c r="BX213" s="45">
        <f t="shared" si="825"/>
        <v>83.6142857142853</v>
      </c>
      <c r="BY213" s="5">
        <f t="shared" ref="BY213:BY224" si="834">BX213*BE213</f>
        <v>326.655929999998</v>
      </c>
      <c r="BZ213" s="1">
        <f t="shared" si="826"/>
        <v>15.242857142857</v>
      </c>
      <c r="CB213" s="45">
        <f t="shared" si="827"/>
        <v>68.3714285714283</v>
      </c>
      <c r="CC213" s="5">
        <f t="shared" ref="CC213:CC218" si="835">CB213*BE213</f>
        <v>267.106659999999</v>
      </c>
      <c r="CD213" s="1">
        <f t="shared" si="828"/>
        <v>7.22857142857142</v>
      </c>
      <c r="CF213" s="45">
        <f t="shared" si="829"/>
        <v>61.1428571428569</v>
      </c>
      <c r="CG213" s="5">
        <f t="shared" ref="CG213:CG218" si="836">CF213*BE213</f>
        <v>238.866799999999</v>
      </c>
      <c r="CH213" s="1">
        <f t="shared" si="830"/>
        <v>14.1428571428571</v>
      </c>
      <c r="CJ213" s="45">
        <f t="shared" si="831"/>
        <v>46.9999999999998</v>
      </c>
      <c r="CK213" s="5">
        <f t="shared" ref="CK213:CK218" si="837">CJ213*BE213</f>
        <v>183.614899999999</v>
      </c>
    </row>
    <row r="214" ht="17.0">
      <c r="A214" s="41" t="s">
        <v>30</v>
      </c>
      <c r="B214" s="10" t="s">
        <v>453</v>
      </c>
      <c r="C214" s="41" t="s">
        <v>464</v>
      </c>
      <c r="D214" s="42" t="s">
        <v>465</v>
      </c>
      <c r="E214" s="41">
        <v>0.0</v>
      </c>
      <c r="F214" s="41">
        <v>0.0</v>
      </c>
      <c r="G214" s="41">
        <v>0.0</v>
      </c>
      <c r="H214" s="41">
        <v>0.0</v>
      </c>
      <c r="I214" s="41">
        <v>0.0</v>
      </c>
      <c r="J214" s="41">
        <v>0.0</v>
      </c>
      <c r="K214" s="41">
        <v>0.0</v>
      </c>
      <c r="L214" s="41">
        <v>1.0</v>
      </c>
      <c r="M214" s="41">
        <v>48.0</v>
      </c>
      <c r="N214" s="41">
        <v>68.0</v>
      </c>
      <c r="O214" s="41">
        <v>49.0</v>
      </c>
      <c r="P214" s="41">
        <v>58.0</v>
      </c>
      <c r="Q214" s="41">
        <v>73.0</v>
      </c>
      <c r="R214" s="41">
        <v>44.0</v>
      </c>
      <c r="S214" s="41">
        <v>18.0</v>
      </c>
      <c r="T214" s="41">
        <v>12.0</v>
      </c>
      <c r="U214" s="41">
        <v>32.0</v>
      </c>
      <c r="V214" s="41">
        <v>60.0</v>
      </c>
      <c r="W214" s="41">
        <v>20.0</v>
      </c>
      <c r="X214" s="41">
        <v>16.0</v>
      </c>
      <c r="Y214" s="41">
        <v>8.0</v>
      </c>
      <c r="Z214" s="41">
        <v>11.0</v>
      </c>
      <c r="AA214" s="41">
        <v>20.0</v>
      </c>
      <c r="AB214" s="41">
        <v>27.0</v>
      </c>
      <c r="AC214" s="41">
        <v>34.0</v>
      </c>
      <c r="AD214" s="41">
        <v>32.0</v>
      </c>
      <c r="AE214" s="41">
        <v>24.0</v>
      </c>
      <c r="AF214" s="41">
        <v>12.0</v>
      </c>
      <c r="AG214" s="41">
        <v>44.0</v>
      </c>
      <c r="AH214" s="41">
        <v>20.0</v>
      </c>
      <c r="AI214" s="41">
        <v>12.0</v>
      </c>
      <c r="AJ214" s="41">
        <v>20.0</v>
      </c>
      <c r="AK214" s="41">
        <v>8.0</v>
      </c>
      <c r="AL214" s="41">
        <v>18.0</v>
      </c>
      <c r="AM214" s="43">
        <v>27.0</v>
      </c>
      <c r="AN214" s="43">
        <v>27.0</v>
      </c>
      <c r="AO214" s="43">
        <v>28.0</v>
      </c>
      <c r="AP214" s="43">
        <v>36.0</v>
      </c>
      <c r="AQ214" s="43">
        <v>30.0</v>
      </c>
      <c r="AR214" s="43">
        <v>15.0</v>
      </c>
      <c r="AS214" s="43">
        <v>11.0</v>
      </c>
      <c r="AT214" s="4">
        <f t="shared" si="4"/>
        <v>252.0</v>
      </c>
      <c r="AU214" s="4">
        <f t="shared" si="5"/>
        <v>105.0</v>
      </c>
      <c r="AV214" s="4">
        <f t="shared" si="6"/>
        <v>115.5</v>
      </c>
      <c r="AW214" s="1">
        <f t="shared" si="807"/>
        <v>13.9904761904761</v>
      </c>
      <c r="AX214" s="1">
        <f t="shared" si="808"/>
        <v>17.4880952380952</v>
      </c>
      <c r="AY214" s="1">
        <f t="shared" si="809"/>
        <v>18.8333333333333</v>
      </c>
      <c r="AZ214" s="1">
        <f t="shared" si="810"/>
        <v>26.097619047619</v>
      </c>
      <c r="BA214" s="1">
        <f t="shared" si="811"/>
        <v>12.3761904761904</v>
      </c>
      <c r="BB214" s="1">
        <f t="shared" si="812"/>
        <v>24.2142857142857</v>
      </c>
      <c r="BC214" s="4">
        <f t="shared" si="728"/>
        <v>113.0</v>
      </c>
      <c r="BD214" s="3">
        <f>VLOOKUP(D214,FEB23SOH,2,false)</f>
        <v>361.0</v>
      </c>
      <c r="BE214" s="44">
        <f>VLOOKUP(D214,UNITVALUE,4,false)</f>
        <v>4.2781</v>
      </c>
      <c r="BF214" s="44">
        <f t="shared" si="16"/>
        <v>1544.3941</v>
      </c>
      <c r="BI214" s="6">
        <f t="shared" si="814"/>
        <v>248.0</v>
      </c>
      <c r="BJ214" s="1">
        <f>VLOOKUP(C214,MOQ,3,FALSE())</f>
        <v>501.0</v>
      </c>
      <c r="BK214" s="53" t="s">
        <v>0</v>
      </c>
      <c r="BM214" s="1">
        <f t="shared" si="816"/>
        <v>361.0</v>
      </c>
      <c r="BN214" s="1">
        <f t="shared" si="817"/>
        <v>13.9904761904761</v>
      </c>
      <c r="BP214" s="45">
        <f t="shared" si="818"/>
        <v>347.009523809523</v>
      </c>
      <c r="BQ214" s="5">
        <f t="shared" si="832"/>
        <v>1484.54144380952</v>
      </c>
      <c r="BR214" s="1">
        <f t="shared" si="820"/>
        <v>17.4880952380952</v>
      </c>
      <c r="BS214" s="1">
        <f t="shared" si="821"/>
      </c>
      <c r="BT214" s="45">
        <f t="shared" si="822"/>
        <v>329.52142857142</v>
      </c>
      <c r="BU214" s="5">
        <f t="shared" si="833"/>
        <v>1409.72562357139</v>
      </c>
      <c r="BV214" s="1">
        <f t="shared" si="823"/>
        <v>18.8333333333333</v>
      </c>
      <c r="BW214" s="1">
        <f t="shared" si="824"/>
      </c>
      <c r="BX214" s="45">
        <f t="shared" si="825"/>
        <v>310.68809523809</v>
      </c>
      <c r="BY214" s="5">
        <f t="shared" si="834"/>
        <v>1329.15474023807</v>
      </c>
      <c r="BZ214" s="1">
        <f t="shared" si="826"/>
        <v>26.097619047619</v>
      </c>
      <c r="CB214" s="45">
        <f t="shared" si="827"/>
        <v>284.590476190471</v>
      </c>
      <c r="CC214" s="5">
        <f t="shared" si="835"/>
        <v>1217.50651619045</v>
      </c>
      <c r="CD214" s="1">
        <f t="shared" si="828"/>
        <v>12.3761904761904</v>
      </c>
      <c r="CF214" s="45">
        <f t="shared" si="829"/>
        <v>272.21428571428</v>
      </c>
      <c r="CG214" s="5">
        <f t="shared" si="836"/>
        <v>1164.55993571426</v>
      </c>
      <c r="CH214" s="1">
        <f t="shared" si="830"/>
        <v>24.2142857142857</v>
      </c>
      <c r="CJ214" s="45">
        <f t="shared" si="831"/>
        <v>247.999999999994</v>
      </c>
      <c r="CK214" s="5">
        <f t="shared" si="837"/>
        <v>1060.96879999997</v>
      </c>
    </row>
    <row r="215" ht="17.0">
      <c r="A215" s="41" t="s">
        <v>30</v>
      </c>
      <c r="B215" s="10" t="s">
        <v>453</v>
      </c>
      <c r="C215" s="41" t="s">
        <v>466</v>
      </c>
      <c r="D215" s="55" t="s">
        <v>467</v>
      </c>
      <c r="E215" s="41">
        <v>0.0</v>
      </c>
      <c r="F215" s="41">
        <v>0.0</v>
      </c>
      <c r="G215" s="41">
        <v>0.0</v>
      </c>
      <c r="H215" s="41">
        <v>0.0</v>
      </c>
      <c r="I215" s="41">
        <v>0.0</v>
      </c>
      <c r="J215" s="41">
        <v>0.0</v>
      </c>
      <c r="K215" s="41">
        <v>0.0</v>
      </c>
      <c r="L215" s="41">
        <v>5.0</v>
      </c>
      <c r="M215" s="41">
        <v>96.0</v>
      </c>
      <c r="N215" s="41">
        <v>40.0</v>
      </c>
      <c r="O215" s="41">
        <v>49.0</v>
      </c>
      <c r="P215" s="41">
        <v>50.0</v>
      </c>
      <c r="Q215" s="41">
        <v>68.0</v>
      </c>
      <c r="R215" s="41">
        <v>58.0</v>
      </c>
      <c r="S215" s="41">
        <v>28.0</v>
      </c>
      <c r="T215" s="41">
        <v>28.0</v>
      </c>
      <c r="U215" s="41">
        <v>28.0</v>
      </c>
      <c r="V215" s="41">
        <v>40.0</v>
      </c>
      <c r="W215" s="41">
        <v>32.0</v>
      </c>
      <c r="X215" s="41">
        <v>9.0</v>
      </c>
      <c r="Y215" s="41">
        <v>24.0</v>
      </c>
      <c r="Z215" s="41">
        <v>19.0</v>
      </c>
      <c r="AA215" s="41">
        <v>20.0</v>
      </c>
      <c r="AB215" s="41">
        <v>24.0</v>
      </c>
      <c r="AC215" s="41">
        <v>24.0</v>
      </c>
      <c r="AD215" s="41">
        <v>12.0</v>
      </c>
      <c r="AE215" s="41">
        <v>4.0</v>
      </c>
      <c r="AF215" s="41">
        <v>16.0</v>
      </c>
      <c r="AG215" s="41">
        <v>20.0</v>
      </c>
      <c r="AH215" s="41">
        <v>0.0</v>
      </c>
      <c r="AI215" s="41">
        <v>24.0</v>
      </c>
      <c r="AJ215" s="41">
        <v>12.0</v>
      </c>
      <c r="AK215" s="41">
        <v>8.0</v>
      </c>
      <c r="AL215" s="41">
        <v>11.0</v>
      </c>
      <c r="AM215" s="43">
        <v>15.0</v>
      </c>
      <c r="AN215" s="43">
        <v>8.0</v>
      </c>
      <c r="AO215" s="43">
        <v>16.0</v>
      </c>
      <c r="AP215" s="43">
        <v>9.0</v>
      </c>
      <c r="AQ215" s="43">
        <v>6.0</v>
      </c>
      <c r="AR215" s="43">
        <v>6.0</v>
      </c>
      <c r="AS215" s="43">
        <v>23.0</v>
      </c>
      <c r="AT215" s="4">
        <f t="shared" si="4"/>
        <v>138.0</v>
      </c>
      <c r="AU215" s="4">
        <f t="shared" si="5"/>
        <v>70.0</v>
      </c>
      <c r="AV215" s="4">
        <f t="shared" si="6"/>
        <v>77.0</v>
      </c>
      <c r="AW215" s="1">
        <f t="shared" si="807"/>
        <v>9.65714285714289</v>
      </c>
      <c r="AX215" s="1">
        <f t="shared" si="808"/>
        <v>12.0714285714285</v>
      </c>
      <c r="AY215" s="1">
        <f t="shared" si="809"/>
        <v>13.0</v>
      </c>
      <c r="AZ215" s="1">
        <f t="shared" si="810"/>
        <v>18.0142857142857</v>
      </c>
      <c r="BA215" s="1">
        <f t="shared" si="811"/>
        <v>8.54285714285714</v>
      </c>
      <c r="BB215" s="1">
        <f t="shared" si="812"/>
        <v>16.7142857142857</v>
      </c>
      <c r="BC215" s="4">
        <f t="shared" si="728"/>
        <v>77.9999999999999</v>
      </c>
      <c r="BD215" s="3">
        <f>VLOOKUP(D215,FEB23SOH,2,false)</f>
        <v>474.0</v>
      </c>
      <c r="BE215" s="44">
        <f>VLOOKUP(D215,UNITVALUE,4,false)</f>
        <v>4.8092</v>
      </c>
      <c r="BF215" s="44">
        <f t="shared" si="16"/>
        <v>2279.5608</v>
      </c>
      <c r="BI215" s="6">
        <f t="shared" si="814"/>
        <v>396.0</v>
      </c>
      <c r="BJ215" s="1">
        <f>VLOOKUP(C215,MOQ,3,FALSE())</f>
        <v>501.0</v>
      </c>
      <c r="BK215" s="53" t="s">
        <v>0</v>
      </c>
      <c r="BM215" s="1">
        <f t="shared" si="816"/>
        <v>474.0</v>
      </c>
      <c r="BN215" s="1">
        <f t="shared" si="817"/>
        <v>9.65714285714289</v>
      </c>
      <c r="BP215" s="45">
        <f t="shared" si="818"/>
        <v>464.342857142857</v>
      </c>
      <c r="BQ215" s="5">
        <f t="shared" si="832"/>
        <v>2233.11766857142</v>
      </c>
      <c r="BR215" s="1">
        <f t="shared" si="820"/>
        <v>12.0714285714285</v>
      </c>
      <c r="BS215" s="1">
        <f t="shared" si="821"/>
      </c>
      <c r="BT215" s="45">
        <f t="shared" si="822"/>
        <v>452.271428571429</v>
      </c>
      <c r="BU215" s="5">
        <f t="shared" si="833"/>
        <v>2175.06375428571</v>
      </c>
      <c r="BV215" s="1">
        <f t="shared" si="823"/>
        <v>13.0</v>
      </c>
      <c r="BW215" s="1">
        <f t="shared" si="824"/>
      </c>
      <c r="BX215" s="45">
        <f t="shared" si="825"/>
        <v>439.271428571429</v>
      </c>
      <c r="BY215" s="5">
        <f t="shared" si="834"/>
        <v>2112.54415428571</v>
      </c>
      <c r="BZ215" s="1">
        <f t="shared" si="826"/>
        <v>18.0142857142857</v>
      </c>
      <c r="CB215" s="45">
        <f t="shared" si="827"/>
        <v>421.257142857143</v>
      </c>
      <c r="CC215" s="5">
        <f t="shared" si="835"/>
        <v>2025.90985142857</v>
      </c>
      <c r="CD215" s="1">
        <f t="shared" si="828"/>
        <v>8.54285714285714</v>
      </c>
      <c r="CF215" s="45">
        <f t="shared" si="829"/>
        <v>412.714285714286</v>
      </c>
      <c r="CG215" s="5">
        <f t="shared" si="836"/>
        <v>1984.82554285714</v>
      </c>
      <c r="CH215" s="1">
        <f t="shared" si="830"/>
        <v>16.7142857142857</v>
      </c>
      <c r="CJ215" s="45">
        <f t="shared" si="831"/>
        <v>396.0</v>
      </c>
      <c r="CK215" s="5">
        <f t="shared" si="837"/>
        <v>1904.4432</v>
      </c>
    </row>
    <row r="216" ht="17.0">
      <c r="A216" s="41" t="s">
        <v>30</v>
      </c>
      <c r="B216" s="10" t="s">
        <v>453</v>
      </c>
      <c r="C216" s="41" t="s">
        <v>468</v>
      </c>
      <c r="D216" s="42" t="s">
        <v>469</v>
      </c>
      <c r="E216" s="41">
        <v>0.0</v>
      </c>
      <c r="F216" s="41">
        <v>0.0</v>
      </c>
      <c r="G216" s="41">
        <v>0.0</v>
      </c>
      <c r="H216" s="41">
        <v>0.0</v>
      </c>
      <c r="I216" s="41">
        <v>0.0</v>
      </c>
      <c r="J216" s="41">
        <v>0.0</v>
      </c>
      <c r="K216" s="41">
        <v>0.0</v>
      </c>
      <c r="L216" s="41">
        <v>5.0</v>
      </c>
      <c r="M216" s="41">
        <v>36.0</v>
      </c>
      <c r="N216" s="41">
        <v>24.0</v>
      </c>
      <c r="O216" s="41">
        <v>29.0</v>
      </c>
      <c r="P216" s="41">
        <v>30.0</v>
      </c>
      <c r="Q216" s="41">
        <v>40.0</v>
      </c>
      <c r="R216" s="41">
        <v>46.0</v>
      </c>
      <c r="S216" s="41">
        <v>2.0</v>
      </c>
      <c r="T216" s="41">
        <v>2.0</v>
      </c>
      <c r="U216" s="41">
        <v>12.0</v>
      </c>
      <c r="V216" s="41">
        <v>7.0</v>
      </c>
      <c r="W216" s="41">
        <v>8.0</v>
      </c>
      <c r="X216" s="41">
        <v>8.0</v>
      </c>
      <c r="Y216" s="41">
        <v>4.0</v>
      </c>
      <c r="Z216" s="41">
        <v>7.0</v>
      </c>
      <c r="AA216" s="41">
        <v>4.0</v>
      </c>
      <c r="AB216" s="41">
        <v>4.0</v>
      </c>
      <c r="AC216" s="41">
        <v>8.0</v>
      </c>
      <c r="AD216" s="41">
        <v>20.0</v>
      </c>
      <c r="AE216" s="41">
        <v>8.0</v>
      </c>
      <c r="AF216" s="41">
        <v>4.0</v>
      </c>
      <c r="AG216" s="41">
        <v>12.0</v>
      </c>
      <c r="AH216" s="41">
        <v>16.0</v>
      </c>
      <c r="AI216" s="41">
        <v>9.0</v>
      </c>
      <c r="AJ216" s="41">
        <v>21.0</v>
      </c>
      <c r="AK216" s="41">
        <v>0.0</v>
      </c>
      <c r="AL216" s="41">
        <v>8.0</v>
      </c>
      <c r="AM216" s="43">
        <v>0.0</v>
      </c>
      <c r="AN216" s="43">
        <v>37.0</v>
      </c>
      <c r="AO216" s="43">
        <v>8.0</v>
      </c>
      <c r="AP216" s="43">
        <v>12.0</v>
      </c>
      <c r="AQ216" s="43">
        <v>8.0</v>
      </c>
      <c r="AR216" s="43">
        <v>8.0</v>
      </c>
      <c r="AS216" s="43">
        <v>10.0</v>
      </c>
      <c r="AT216" s="4">
        <f t="shared" si="4"/>
        <v>137.0</v>
      </c>
      <c r="AU216" s="4">
        <f t="shared" si="5"/>
        <v>54.0</v>
      </c>
      <c r="AV216" s="4">
        <f t="shared" si="6"/>
        <v>59.4</v>
      </c>
      <c r="AW216" s="1">
        <f t="shared" si="807"/>
        <v>7.6761904761903</v>
      </c>
      <c r="AX216" s="1">
        <f t="shared" si="808"/>
        <v>9.59523809523813</v>
      </c>
      <c r="AY216" s="1">
        <f t="shared" si="809"/>
        <v>10.3333333333333</v>
      </c>
      <c r="AZ216" s="1">
        <f t="shared" si="810"/>
        <v>14.3190476190476</v>
      </c>
      <c r="BA216" s="1">
        <f t="shared" si="811"/>
        <v>6.7904761904761</v>
      </c>
      <c r="BB216" s="1">
        <f t="shared" si="812"/>
        <v>13.2857142857143</v>
      </c>
      <c r="BC216" s="4">
        <f t="shared" si="728"/>
        <v>61.9999999999997</v>
      </c>
      <c r="BD216" s="3">
        <f>VLOOKUP(D216,FEB23SOH,2,false)</f>
        <v>356.0</v>
      </c>
      <c r="BE216" s="44">
        <f>VLOOKUP(D216,UNITVALUE,4,false)</f>
        <v>3.9055</v>
      </c>
      <c r="BF216" s="44">
        <f t="shared" si="16"/>
        <v>1390.358</v>
      </c>
      <c r="BI216" s="6">
        <f t="shared" si="814"/>
        <v>294.0</v>
      </c>
      <c r="BJ216" s="1">
        <f>VLOOKUP(C216,MOQ,3,FALSE())</f>
        <v>501.0</v>
      </c>
      <c r="BK216" s="53" t="s">
        <v>0</v>
      </c>
      <c r="BM216" s="1">
        <f t="shared" si="816"/>
        <v>356.0</v>
      </c>
      <c r="BN216" s="1">
        <f t="shared" si="817"/>
        <v>7.6761904761903</v>
      </c>
      <c r="BP216" s="45">
        <f t="shared" si="818"/>
        <v>348.32380952381</v>
      </c>
      <c r="BQ216" s="5">
        <f t="shared" si="832"/>
        <v>1360.37863809524</v>
      </c>
      <c r="BR216" s="1">
        <f t="shared" si="820"/>
        <v>9.59523809523813</v>
      </c>
      <c r="BS216" s="1">
        <f t="shared" si="821"/>
      </c>
      <c r="BT216" s="45">
        <f t="shared" si="822"/>
        <v>338.728571428571</v>
      </c>
      <c r="BU216" s="5">
        <f t="shared" si="833"/>
        <v>1322.90443571428</v>
      </c>
      <c r="BV216" s="1">
        <f t="shared" si="823"/>
        <v>10.3333333333333</v>
      </c>
      <c r="BW216" s="1">
        <f t="shared" si="824"/>
      </c>
      <c r="BX216" s="45">
        <f t="shared" si="825"/>
        <v>328.395238095238</v>
      </c>
      <c r="BY216" s="5">
        <f t="shared" si="834"/>
        <v>1282.54760238095</v>
      </c>
      <c r="BZ216" s="1">
        <f t="shared" si="826"/>
        <v>14.3190476190476</v>
      </c>
      <c r="CB216" s="45">
        <f t="shared" si="827"/>
        <v>314.07619047619</v>
      </c>
      <c r="CC216" s="5">
        <f t="shared" si="835"/>
        <v>1226.62456190476</v>
      </c>
      <c r="CD216" s="1">
        <f t="shared" si="828"/>
        <v>6.7904761904761</v>
      </c>
      <c r="CF216" s="45">
        <f t="shared" si="829"/>
        <v>307.285714285713</v>
      </c>
      <c r="CG216" s="5">
        <f t="shared" si="836"/>
        <v>1200.10435714285</v>
      </c>
      <c r="CH216" s="1">
        <f t="shared" si="830"/>
        <v>13.2857142857143</v>
      </c>
      <c r="CJ216" s="45">
        <f t="shared" si="831"/>
        <v>294.0</v>
      </c>
      <c r="CK216" s="5">
        <f t="shared" si="837"/>
        <v>1148.217</v>
      </c>
    </row>
    <row r="217" ht="17.0">
      <c r="A217" s="41" t="s">
        <v>30</v>
      </c>
      <c r="B217" s="10" t="s">
        <v>453</v>
      </c>
      <c r="C217" s="41" t="s">
        <v>470</v>
      </c>
      <c r="D217" s="55" t="s">
        <v>471</v>
      </c>
      <c r="E217" s="41">
        <v>0.0</v>
      </c>
      <c r="F217" s="41">
        <v>0.0</v>
      </c>
      <c r="G217" s="41">
        <v>0.0</v>
      </c>
      <c r="H217" s="41">
        <v>0.0</v>
      </c>
      <c r="I217" s="41">
        <v>0.0</v>
      </c>
      <c r="J217" s="41">
        <v>0.0</v>
      </c>
      <c r="K217" s="41">
        <v>0.0</v>
      </c>
      <c r="L217" s="41">
        <v>1.0</v>
      </c>
      <c r="M217" s="41">
        <v>40.0</v>
      </c>
      <c r="N217" s="41">
        <v>28.0</v>
      </c>
      <c r="O217" s="41">
        <v>37.0</v>
      </c>
      <c r="P217" s="41">
        <v>10.0</v>
      </c>
      <c r="Q217" s="41">
        <v>24.0</v>
      </c>
      <c r="R217" s="41">
        <v>14.0</v>
      </c>
      <c r="S217" s="41">
        <v>20.0</v>
      </c>
      <c r="T217" s="41">
        <v>6.0</v>
      </c>
      <c r="U217" s="41">
        <v>16.0</v>
      </c>
      <c r="V217" s="41">
        <v>68.0</v>
      </c>
      <c r="W217" s="41">
        <v>4.0</v>
      </c>
      <c r="X217" s="41">
        <v>20.0</v>
      </c>
      <c r="Y217" s="41">
        <v>4.0</v>
      </c>
      <c r="Z217" s="41">
        <v>11.0</v>
      </c>
      <c r="AA217" s="41">
        <v>0.0</v>
      </c>
      <c r="AB217" s="41">
        <v>0.0</v>
      </c>
      <c r="AC217" s="41">
        <v>4.0</v>
      </c>
      <c r="AD217" s="41">
        <v>4.0</v>
      </c>
      <c r="AE217" s="41">
        <v>0.0</v>
      </c>
      <c r="AF217" s="41">
        <v>20.0</v>
      </c>
      <c r="AG217" s="41">
        <v>20.0</v>
      </c>
      <c r="AH217" s="41">
        <v>4.0</v>
      </c>
      <c r="AI217" s="41">
        <v>4.0</v>
      </c>
      <c r="AJ217" s="41">
        <v>4.0</v>
      </c>
      <c r="AK217" s="41">
        <v>0.0</v>
      </c>
      <c r="AL217" s="41">
        <v>8.0</v>
      </c>
      <c r="AM217" s="43">
        <v>4.0</v>
      </c>
      <c r="AN217" s="43">
        <v>6.0</v>
      </c>
      <c r="AO217" s="43">
        <v>4.0</v>
      </c>
      <c r="AP217" s="43">
        <v>8.0</v>
      </c>
      <c r="AQ217" s="43">
        <v>16.0</v>
      </c>
      <c r="AR217" s="43">
        <v>0.0</v>
      </c>
      <c r="AS217" s="43">
        <v>-2.0</v>
      </c>
      <c r="AT217" s="4">
        <f t="shared" si="4"/>
        <v>56.0</v>
      </c>
      <c r="AU217" s="4">
        <f t="shared" si="5"/>
        <v>24.0</v>
      </c>
      <c r="AV217" s="4">
        <f t="shared" si="6"/>
        <v>26.4</v>
      </c>
      <c r="AW217" s="1">
        <f t="shared" si="807"/>
        <v>3.96190476190476</v>
      </c>
      <c r="AX217" s="1">
        <f t="shared" si="808"/>
        <v>4.95238095238094</v>
      </c>
      <c r="AY217" s="1">
        <f t="shared" si="809"/>
        <v>5.33333333333333</v>
      </c>
      <c r="AZ217" s="1">
        <f t="shared" si="810"/>
        <v>7.39047619047618</v>
      </c>
      <c r="BA217" s="1">
        <f t="shared" si="811"/>
        <v>3.5047619047619</v>
      </c>
      <c r="BB217" s="1">
        <f t="shared" si="812"/>
        <v>6.85714285714285</v>
      </c>
      <c r="BC217" s="4">
        <f t="shared" si="728"/>
        <v>32.0</v>
      </c>
      <c r="BD217" s="3">
        <f>VLOOKUP(D217,FEB23SOH,2,false)</f>
        <v>391.0</v>
      </c>
      <c r="BE217" s="44">
        <f>VLOOKUP(D217,UNITVALUE,4,false)</f>
        <v>3.9055</v>
      </c>
      <c r="BF217" s="44">
        <f t="shared" si="16"/>
        <v>1527.0505</v>
      </c>
      <c r="BI217" s="6">
        <f t="shared" si="814"/>
        <v>359.0</v>
      </c>
      <c r="BJ217" s="1">
        <f>VLOOKUP(C217,MOQ,3,FALSE())</f>
        <v>501.0</v>
      </c>
      <c r="BK217" s="53" t="s">
        <v>0</v>
      </c>
      <c r="BM217" s="1">
        <f t="shared" si="816"/>
        <v>391.0</v>
      </c>
      <c r="BN217" s="1">
        <f t="shared" si="817"/>
        <v>3.96190476190476</v>
      </c>
      <c r="BP217" s="45">
        <f t="shared" si="818"/>
        <v>387.038095238095</v>
      </c>
      <c r="BQ217" s="5">
        <f t="shared" si="832"/>
        <v>1511.57728095238</v>
      </c>
      <c r="BR217" s="1">
        <f t="shared" si="820"/>
        <v>4.95238095238094</v>
      </c>
      <c r="BS217" s="1">
        <f t="shared" si="821"/>
      </c>
      <c r="BT217" s="45">
        <f t="shared" si="822"/>
        <v>382.085714285714</v>
      </c>
      <c r="BU217" s="5">
        <f t="shared" si="833"/>
        <v>1492.23575714286</v>
      </c>
      <c r="BV217" s="1">
        <f t="shared" si="823"/>
        <v>5.33333333333333</v>
      </c>
      <c r="BW217" s="1">
        <f t="shared" si="824"/>
      </c>
      <c r="BX217" s="45">
        <f t="shared" si="825"/>
        <v>376.75238095238</v>
      </c>
      <c r="BY217" s="5">
        <f t="shared" si="834"/>
        <v>1471.40642380952</v>
      </c>
      <c r="BZ217" s="1">
        <f t="shared" si="826"/>
        <v>7.39047619047618</v>
      </c>
      <c r="CB217" s="45">
        <f t="shared" si="827"/>
        <v>369.361904761903</v>
      </c>
      <c r="CC217" s="5">
        <f t="shared" si="835"/>
        <v>1442.54291904761</v>
      </c>
      <c r="CD217" s="1">
        <f t="shared" si="828"/>
        <v>3.5047619047619</v>
      </c>
      <c r="CF217" s="45">
        <f t="shared" si="829"/>
        <v>365.857142857141</v>
      </c>
      <c r="CG217" s="5">
        <f t="shared" si="836"/>
        <v>1428.85507142856</v>
      </c>
      <c r="CH217" s="1">
        <f t="shared" si="830"/>
        <v>6.85714285714285</v>
      </c>
      <c r="CJ217" s="45">
        <f t="shared" si="831"/>
        <v>358.999999999998</v>
      </c>
      <c r="CK217" s="5">
        <f t="shared" si="837"/>
        <v>1402.07449999999</v>
      </c>
    </row>
    <row r="218" ht="17.0">
      <c r="A218" s="41" t="s">
        <v>30</v>
      </c>
      <c r="B218" s="10" t="s">
        <v>453</v>
      </c>
      <c r="C218" s="41" t="s">
        <v>472</v>
      </c>
      <c r="D218" s="55" t="s">
        <v>473</v>
      </c>
      <c r="E218" s="41">
        <v>0.0</v>
      </c>
      <c r="F218" s="41">
        <v>0.0</v>
      </c>
      <c r="G218" s="41">
        <v>0.0</v>
      </c>
      <c r="H218" s="41">
        <v>0.0</v>
      </c>
      <c r="I218" s="41">
        <v>0.0</v>
      </c>
      <c r="J218" s="41">
        <v>0.0</v>
      </c>
      <c r="K218" s="41">
        <v>0.0</v>
      </c>
      <c r="L218" s="41">
        <v>0.0</v>
      </c>
      <c r="M218" s="41">
        <v>0.0</v>
      </c>
      <c r="N218" s="41">
        <v>0.0</v>
      </c>
      <c r="O218" s="41">
        <v>0.0</v>
      </c>
      <c r="P218" s="41">
        <v>0.0</v>
      </c>
      <c r="Q218" s="41">
        <v>0.0</v>
      </c>
      <c r="R218" s="41">
        <v>8.0</v>
      </c>
      <c r="S218" s="41">
        <v>82.0</v>
      </c>
      <c r="T218" s="41">
        <v>48.0</v>
      </c>
      <c r="U218" s="41">
        <v>76.0</v>
      </c>
      <c r="V218" s="41">
        <v>136.0</v>
      </c>
      <c r="W218" s="41">
        <v>66.0</v>
      </c>
      <c r="X218" s="41">
        <v>57.0</v>
      </c>
      <c r="Y218" s="41">
        <v>12.0</v>
      </c>
      <c r="Z218" s="41">
        <v>48.0</v>
      </c>
      <c r="AA218" s="41">
        <v>12.0</v>
      </c>
      <c r="AB218" s="41">
        <v>55.0</v>
      </c>
      <c r="AC218" s="41">
        <v>63.0</v>
      </c>
      <c r="AD218" s="41">
        <v>48.0</v>
      </c>
      <c r="AE218" s="41">
        <v>36.0</v>
      </c>
      <c r="AF218" s="41">
        <v>48.0</v>
      </c>
      <c r="AG218" s="41">
        <v>27.0</v>
      </c>
      <c r="AH218" s="41">
        <v>27.0</v>
      </c>
      <c r="AI218" s="41">
        <v>54.0</v>
      </c>
      <c r="AJ218" s="41">
        <v>21.0</v>
      </c>
      <c r="AK218" s="41">
        <v>30.0</v>
      </c>
      <c r="AL218" s="41">
        <v>0.0</v>
      </c>
      <c r="AM218" s="43">
        <v>33.0</v>
      </c>
      <c r="AN218" s="43">
        <v>17.0</v>
      </c>
      <c r="AO218" s="43">
        <v>21.0</v>
      </c>
      <c r="AP218" s="43">
        <v>24.0</v>
      </c>
      <c r="AQ218" s="43">
        <v>60.0</v>
      </c>
      <c r="AR218" s="43">
        <v>30.0</v>
      </c>
      <c r="AS218" s="43">
        <v>40.0</v>
      </c>
      <c r="AT218" s="4">
        <f t="shared" si="4"/>
        <v>357.0</v>
      </c>
      <c r="AU218" s="4">
        <f t="shared" si="5"/>
        <v>165.0</v>
      </c>
      <c r="AV218" s="4">
        <f t="shared" si="6"/>
        <v>181.5</v>
      </c>
      <c r="AW218" s="1">
        <f t="shared" si="807"/>
        <v>21.4190476190476</v>
      </c>
      <c r="AX218" s="1">
        <f t="shared" si="808"/>
        <v>26.7738095238094</v>
      </c>
      <c r="AY218" s="1">
        <f t="shared" si="809"/>
        <v>28.8333333333333</v>
      </c>
      <c r="AZ218" s="1">
        <f t="shared" si="810"/>
        <v>39.9547619047619</v>
      </c>
      <c r="BA218" s="1">
        <f t="shared" si="811"/>
        <v>18.9476190476194</v>
      </c>
      <c r="BB218" s="1">
        <f t="shared" si="812"/>
        <v>37.0714285714286</v>
      </c>
      <c r="BC218" s="4">
        <f t="shared" si="728"/>
        <v>173.0</v>
      </c>
      <c r="BD218" s="3">
        <f>VLOOKUP(D218,FEB23SOH,2,false)</f>
        <v>301.0</v>
      </c>
      <c r="BE218" s="44">
        <f>VLOOKUP(D218,UNITVALUE,4,false)</f>
        <v>4.3859</v>
      </c>
      <c r="BF218" s="44">
        <f t="shared" si="16"/>
        <v>1320.1559</v>
      </c>
      <c r="BI218" s="6">
        <f t="shared" si="814"/>
        <v>128.0</v>
      </c>
      <c r="BJ218" s="1">
        <f>VLOOKUP(C218,MOQ,3,FALSE())</f>
        <v>501.0</v>
      </c>
      <c r="BK218" s="53" t="s">
        <v>0</v>
      </c>
      <c r="BM218" s="1">
        <f t="shared" si="816"/>
        <v>301.0</v>
      </c>
      <c r="BN218" s="1">
        <f t="shared" si="817"/>
        <v>21.4190476190476</v>
      </c>
      <c r="BP218" s="45">
        <f t="shared" si="818"/>
        <v>279.580952380952</v>
      </c>
      <c r="BQ218" s="5">
        <f t="shared" si="832"/>
        <v>1226.21409904761</v>
      </c>
      <c r="BR218" s="1">
        <f t="shared" si="820"/>
        <v>26.7738095238094</v>
      </c>
      <c r="BS218" s="1">
        <f t="shared" si="821"/>
      </c>
      <c r="BT218" s="45">
        <f t="shared" si="822"/>
        <v>252.807142857142</v>
      </c>
      <c r="BU218" s="5">
        <f t="shared" si="833"/>
        <v>1108.78684785713</v>
      </c>
      <c r="BV218" s="1">
        <f t="shared" si="823"/>
        <v>28.8333333333333</v>
      </c>
      <c r="BW218" s="1">
        <f t="shared" si="824"/>
      </c>
      <c r="BX218" s="45">
        <f t="shared" si="825"/>
        <v>223.973809523809</v>
      </c>
      <c r="BY218" s="5">
        <f t="shared" si="834"/>
        <v>982.326731190474</v>
      </c>
      <c r="BZ218" s="1">
        <f t="shared" si="826"/>
        <v>39.9547619047619</v>
      </c>
      <c r="CB218" s="45">
        <f t="shared" si="827"/>
        <v>184.019047619047</v>
      </c>
      <c r="CC218" s="5">
        <f t="shared" si="835"/>
        <v>807.089140952378</v>
      </c>
      <c r="CD218" s="1">
        <f t="shared" si="828"/>
        <v>18.9476190476194</v>
      </c>
      <c r="CF218" s="45">
        <f t="shared" si="829"/>
        <v>165.071428571428</v>
      </c>
      <c r="CG218" s="5">
        <f t="shared" si="836"/>
        <v>723.986778571426</v>
      </c>
      <c r="CH218" s="1">
        <f t="shared" si="830"/>
        <v>37.0714285714286</v>
      </c>
      <c r="CJ218" s="45">
        <f t="shared" si="831"/>
        <v>127.999999999999</v>
      </c>
      <c r="CK218" s="5">
        <f t="shared" si="837"/>
        <v>561.3952</v>
      </c>
    </row>
    <row r="219" ht="17.0">
      <c r="A219" s="41" t="s">
        <v>30</v>
      </c>
      <c r="B219" s="10" t="s">
        <v>453</v>
      </c>
      <c r="C219" s="41" t="s">
        <v>474</v>
      </c>
      <c r="D219" s="42" t="s">
        <v>475</v>
      </c>
      <c r="E219" s="41">
        <v>0.0</v>
      </c>
      <c r="F219" s="41">
        <v>0.0</v>
      </c>
      <c r="G219" s="41">
        <v>0.0</v>
      </c>
      <c r="H219" s="41">
        <v>0.0</v>
      </c>
      <c r="I219" s="41">
        <v>0.0</v>
      </c>
      <c r="J219" s="41">
        <v>0.0</v>
      </c>
      <c r="K219" s="41">
        <v>0.0</v>
      </c>
      <c r="L219" s="41">
        <v>0.0</v>
      </c>
      <c r="M219" s="41">
        <v>0.0</v>
      </c>
      <c r="N219" s="41">
        <v>0.0</v>
      </c>
      <c r="O219" s="41">
        <v>0.0</v>
      </c>
      <c r="P219" s="41">
        <v>0.0</v>
      </c>
      <c r="Q219" s="41">
        <v>0.0</v>
      </c>
      <c r="R219" s="41">
        <v>0.0</v>
      </c>
      <c r="S219" s="41">
        <v>0.0</v>
      </c>
      <c r="T219" s="41">
        <v>0.0</v>
      </c>
      <c r="U219" s="41">
        <v>0.0</v>
      </c>
      <c r="V219" s="41">
        <v>0.0</v>
      </c>
      <c r="W219" s="41">
        <v>0.0</v>
      </c>
      <c r="X219" s="41">
        <v>0.0</v>
      </c>
      <c r="Y219" s="41">
        <v>0.0</v>
      </c>
      <c r="Z219" s="41">
        <v>52.0</v>
      </c>
      <c r="AA219" s="41">
        <v>45.0</v>
      </c>
      <c r="AB219" s="41">
        <v>60.0</v>
      </c>
      <c r="AC219" s="41">
        <v>71.0</v>
      </c>
      <c r="AD219" s="41">
        <v>90.0</v>
      </c>
      <c r="AE219" s="41">
        <v>39.0</v>
      </c>
      <c r="AF219" s="41">
        <v>66.0</v>
      </c>
      <c r="AG219" s="41">
        <v>39.0</v>
      </c>
      <c r="AH219" s="41">
        <v>36.0</v>
      </c>
      <c r="AI219" s="41">
        <v>57.0</v>
      </c>
      <c r="AJ219" s="41">
        <v>58.0</v>
      </c>
      <c r="AK219" s="41">
        <v>21.0</v>
      </c>
      <c r="AL219" s="41">
        <v>12.0</v>
      </c>
      <c r="AM219" s="43">
        <v>48.0</v>
      </c>
      <c r="AN219" s="43">
        <v>26.0</v>
      </c>
      <c r="AO219" s="43">
        <v>57.0</v>
      </c>
      <c r="AP219" s="43">
        <v>75.0</v>
      </c>
      <c r="AQ219" s="43">
        <v>75.0</v>
      </c>
      <c r="AR219" s="43">
        <v>30.0</v>
      </c>
      <c r="AS219" s="43">
        <v>50.0</v>
      </c>
      <c r="AT219" s="4">
        <f t="shared" si="4"/>
        <v>545.0</v>
      </c>
      <c r="AU219" s="4">
        <f t="shared" si="5"/>
        <v>232.0</v>
      </c>
      <c r="AV219" s="4">
        <f t="shared" si="6"/>
        <v>255.2</v>
      </c>
      <c r="AW219" s="1">
        <f t="shared" ref="AW219:AW220" si="838">AV219*$AW$4/$AV$4</f>
        <v>28.7238095238095</v>
      </c>
      <c r="AX219" s="1">
        <f t="shared" ref="AX219:AX220" si="839">AV219*$AX$4/$AV$4</f>
        <v>35.9047619047619</v>
      </c>
      <c r="AY219" s="1">
        <f t="shared" ref="AY219:AY220" si="840">AV219*$AY$4/$AV$4</f>
        <v>38.6666666666667</v>
      </c>
      <c r="AZ219" s="1">
        <f t="shared" ref="AZ219:AZ220" si="841">AV219*$AZ$4/$AV$4</f>
        <v>53.5809523809523</v>
      </c>
      <c r="BA219" s="1">
        <f t="shared" ref="BA219:BA220" si="842">AV219*$BA$4/$AV$4</f>
        <v>25.4095238095238</v>
      </c>
      <c r="BB219" s="1">
        <f t="shared" ref="BB219:BB220" si="843">AV219*$BB$4/$AV$4</f>
        <v>49.7142857142857</v>
      </c>
      <c r="BC219" s="4">
        <f t="shared" si="728"/>
        <v>232.0</v>
      </c>
      <c r="BD219" s="3">
        <f>VLOOKUP(D219,FEB23SOH,2,false)</f>
        <v>5.0</v>
      </c>
      <c r="BE219" s="44">
        <f>VLOOKUP(D219,UNITVALUE,4,false)</f>
        <v>4.81</v>
      </c>
      <c r="BF219" s="44">
        <f t="shared" si="16"/>
        <v>24.05</v>
      </c>
      <c r="BI219" s="6">
        <f t="shared" si="814"/>
        <v>-227.0</v>
      </c>
      <c r="BJ219" s="1">
        <v>501.0</v>
      </c>
      <c r="BK219" s="53" t="s">
        <v>0</v>
      </c>
      <c r="BL219" s="8" t="s">
        <v>5</v>
      </c>
      <c r="BM219" s="1">
        <f t="shared" si="816"/>
        <v>5.0</v>
      </c>
      <c r="BN219" s="1">
        <f t="shared" si="817"/>
        <v>28.7238095238095</v>
      </c>
      <c r="BP219" s="45">
        <f t="shared" si="818"/>
        <v>-23.7238095238095</v>
      </c>
      <c r="BQ219" s="5">
        <f t="shared" si="832"/>
        <v>-114.111523809523</v>
      </c>
      <c r="BR219" s="1">
        <f t="shared" si="820"/>
        <v>35.9047619047619</v>
      </c>
      <c r="BS219" s="1">
        <f t="shared" si="821"/>
      </c>
      <c r="BT219" s="45">
        <f t="shared" si="822"/>
        <v>-59.6285714285714</v>
      </c>
      <c r="BU219" s="5">
        <f t="shared" si="833"/>
        <v>-286.813428571428</v>
      </c>
      <c r="BV219" s="1">
        <f t="shared" si="823"/>
        <v>38.6666666666667</v>
      </c>
      <c r="BW219" s="1">
        <f t="shared" si="824"/>
      </c>
      <c r="BX219" s="45">
        <f t="shared" si="825"/>
        <v>-98.295238095238</v>
      </c>
      <c r="BY219" s="5">
        <f t="shared" si="834"/>
        <v>-472.800095238094</v>
      </c>
      <c r="BZ219" s="1">
        <f t="shared" si="826"/>
        <v>53.5809523809523</v>
      </c>
      <c r="CB219" s="45">
        <f t="shared" si="827"/>
        <v>-151.87619047619</v>
      </c>
      <c r="CC219" s="5"/>
      <c r="CD219" s="1">
        <f t="shared" si="828"/>
        <v>25.4095238095238</v>
      </c>
      <c r="CF219" s="45">
        <f t="shared" si="829"/>
        <v>-177.285714285713</v>
      </c>
      <c r="CG219" s="5"/>
      <c r="CH219" s="1">
        <f t="shared" si="830"/>
        <v>49.7142857142857</v>
      </c>
      <c r="CJ219" s="45">
        <f t="shared" si="831"/>
        <v>-226.99999999998</v>
      </c>
      <c r="CK219" s="5"/>
    </row>
    <row r="220" ht="17.0">
      <c r="A220" s="41" t="s">
        <v>30</v>
      </c>
      <c r="B220" s="10" t="s">
        <v>453</v>
      </c>
      <c r="C220" s="41" t="s">
        <v>476</v>
      </c>
      <c r="D220" s="42" t="s">
        <v>477</v>
      </c>
      <c r="E220" s="41">
        <v>0.0</v>
      </c>
      <c r="F220" s="41">
        <v>0.0</v>
      </c>
      <c r="G220" s="41">
        <v>0.0</v>
      </c>
      <c r="H220" s="41">
        <v>0.0</v>
      </c>
      <c r="I220" s="41">
        <v>0.0</v>
      </c>
      <c r="J220" s="41">
        <v>0.0</v>
      </c>
      <c r="K220" s="41">
        <v>0.0</v>
      </c>
      <c r="L220" s="41">
        <v>0.0</v>
      </c>
      <c r="M220" s="41">
        <v>0.0</v>
      </c>
      <c r="N220" s="41">
        <v>0.0</v>
      </c>
      <c r="O220" s="41">
        <v>0.0</v>
      </c>
      <c r="P220" s="41">
        <v>0.0</v>
      </c>
      <c r="Q220" s="41">
        <v>0.0</v>
      </c>
      <c r="R220" s="41">
        <v>0.0</v>
      </c>
      <c r="S220" s="41">
        <v>0.0</v>
      </c>
      <c r="T220" s="41">
        <v>0.0</v>
      </c>
      <c r="U220" s="41">
        <v>0.0</v>
      </c>
      <c r="V220" s="41">
        <v>0.0</v>
      </c>
      <c r="W220" s="41">
        <v>0.0</v>
      </c>
      <c r="X220" s="41">
        <v>0.0</v>
      </c>
      <c r="Y220" s="41">
        <v>0.0</v>
      </c>
      <c r="Z220" s="41">
        <v>48.0</v>
      </c>
      <c r="AA220" s="41">
        <v>45.0</v>
      </c>
      <c r="AB220" s="41">
        <v>42.0</v>
      </c>
      <c r="AC220" s="41">
        <v>65.0</v>
      </c>
      <c r="AD220" s="41">
        <v>72.0</v>
      </c>
      <c r="AE220" s="41">
        <v>51.0</v>
      </c>
      <c r="AF220" s="41">
        <v>72.0</v>
      </c>
      <c r="AG220" s="41">
        <v>39.0</v>
      </c>
      <c r="AH220" s="41">
        <v>33.0</v>
      </c>
      <c r="AI220" s="41">
        <v>36.0</v>
      </c>
      <c r="AJ220" s="41">
        <v>21.0</v>
      </c>
      <c r="AK220" s="41">
        <v>24.0</v>
      </c>
      <c r="AL220" s="41">
        <v>24.0</v>
      </c>
      <c r="AM220" s="43">
        <v>57.0</v>
      </c>
      <c r="AN220" s="43">
        <v>35.0</v>
      </c>
      <c r="AO220" s="43">
        <v>45.0</v>
      </c>
      <c r="AP220" s="43">
        <v>63.0</v>
      </c>
      <c r="AQ220" s="43">
        <v>63.0</v>
      </c>
      <c r="AR220" s="43">
        <v>33.0</v>
      </c>
      <c r="AS220" s="43">
        <v>47.0</v>
      </c>
      <c r="AT220" s="4">
        <f t="shared" si="4"/>
        <v>481.0</v>
      </c>
      <c r="AU220" s="4">
        <f t="shared" si="5"/>
        <v>195.0</v>
      </c>
      <c r="AV220" s="4">
        <f t="shared" si="6"/>
        <v>214.5</v>
      </c>
      <c r="AW220" s="1">
        <f t="shared" si="838"/>
        <v>24.1428571428571</v>
      </c>
      <c r="AX220" s="1">
        <f t="shared" si="839"/>
        <v>30.1785714285714</v>
      </c>
      <c r="AY220" s="1">
        <f t="shared" si="840"/>
        <v>32.5</v>
      </c>
      <c r="AZ220" s="1">
        <f t="shared" si="841"/>
        <v>45.0357142857142</v>
      </c>
      <c r="BA220" s="1">
        <f t="shared" si="842"/>
        <v>21.3571428571429</v>
      </c>
      <c r="BB220" s="1">
        <f t="shared" si="843"/>
        <v>41.7857142857142</v>
      </c>
      <c r="BC220" s="4">
        <f t="shared" si="728"/>
        <v>195.0</v>
      </c>
      <c r="BD220" s="3">
        <f>VLOOKUP(D220,FEB23SOH,2,false)</f>
        <v>104.0</v>
      </c>
      <c r="BE220" s="44">
        <f>VLOOKUP(D220,UNITVALUE,4,false)</f>
        <v>4.2734</v>
      </c>
      <c r="BF220" s="44">
        <f t="shared" si="16"/>
        <v>444.4336</v>
      </c>
      <c r="BI220" s="6">
        <f t="shared" si="814"/>
        <v>-91.0</v>
      </c>
      <c r="BJ220" s="1">
        <v>501.0</v>
      </c>
      <c r="BK220" s="53" t="s">
        <v>0</v>
      </c>
      <c r="BL220" s="8" t="s">
        <v>8</v>
      </c>
      <c r="BM220" s="1">
        <f t="shared" si="816"/>
        <v>104.0</v>
      </c>
      <c r="BN220" s="1">
        <f t="shared" si="817"/>
        <v>24.1428571428571</v>
      </c>
      <c r="BP220" s="45">
        <f t="shared" si="818"/>
        <v>79.8571428571429</v>
      </c>
      <c r="BQ220" s="5">
        <f t="shared" si="832"/>
        <v>341.261514285714</v>
      </c>
      <c r="BR220" s="1">
        <f t="shared" si="820"/>
        <v>30.1785714285714</v>
      </c>
      <c r="BS220" s="1">
        <f t="shared" si="821"/>
      </c>
      <c r="BT220" s="45">
        <f t="shared" si="822"/>
        <v>49.6785714285715</v>
      </c>
      <c r="BU220" s="5">
        <f t="shared" si="833"/>
        <v>212.296407142857</v>
      </c>
      <c r="BV220" s="1">
        <f t="shared" si="823"/>
        <v>32.5</v>
      </c>
      <c r="BW220" s="1">
        <f t="shared" si="824"/>
      </c>
      <c r="BX220" s="45">
        <f t="shared" si="825"/>
        <v>17.1785714285715</v>
      </c>
      <c r="BY220" s="5">
        <f t="shared" si="834"/>
        <v>73.4109071428574</v>
      </c>
      <c r="BZ220" s="1">
        <f t="shared" si="826"/>
        <v>45.0357142857142</v>
      </c>
      <c r="CB220" s="45">
        <f t="shared" si="827"/>
        <v>-27.8571428571425</v>
      </c>
      <c r="CC220" s="5">
        <f t="shared" ref="CC220:CC224" si="844">CB220*BE220</f>
        <v>-119.044714285712</v>
      </c>
      <c r="CD220" s="1">
        <f t="shared" si="828"/>
        <v>21.3571428571429</v>
      </c>
      <c r="CF220" s="45">
        <f t="shared" si="829"/>
        <v>-49.2142857142853</v>
      </c>
      <c r="CG220" s="5">
        <f t="shared" ref="CG220:CG224" si="845">CF220*BE220</f>
        <v>-210.312328571425</v>
      </c>
      <c r="CH220" s="1">
        <f t="shared" si="830"/>
        <v>41.7857142857142</v>
      </c>
      <c r="CJ220" s="45">
        <f t="shared" si="831"/>
        <v>-90.9999999999995</v>
      </c>
      <c r="CK220" s="5">
        <f t="shared" ref="CK220:CK224" si="846">CJ220*BE220</f>
        <v>-388.879399999996</v>
      </c>
    </row>
    <row r="221" ht="17.0">
      <c r="A221" s="41" t="s">
        <v>30</v>
      </c>
      <c r="B221" s="10" t="s">
        <v>453</v>
      </c>
      <c r="C221" s="41" t="s">
        <v>478</v>
      </c>
      <c r="D221" s="57" t="s">
        <v>479</v>
      </c>
      <c r="E221" s="41">
        <v>0.0</v>
      </c>
      <c r="F221" s="41">
        <v>0.0</v>
      </c>
      <c r="G221" s="41">
        <v>0.0</v>
      </c>
      <c r="H221" s="41">
        <v>0.0</v>
      </c>
      <c r="I221" s="41">
        <v>0.0</v>
      </c>
      <c r="J221" s="41">
        <v>0.0</v>
      </c>
      <c r="K221" s="41">
        <v>0.0</v>
      </c>
      <c r="L221" s="41">
        <v>0.0</v>
      </c>
      <c r="M221" s="41">
        <v>0.0</v>
      </c>
      <c r="N221" s="41">
        <v>0.0</v>
      </c>
      <c r="O221" s="41">
        <v>0.0</v>
      </c>
      <c r="P221" s="41">
        <v>0.0</v>
      </c>
      <c r="Q221" s="41">
        <v>0.0</v>
      </c>
      <c r="R221" s="41">
        <v>0.0</v>
      </c>
      <c r="S221" s="41">
        <v>0.0</v>
      </c>
      <c r="T221" s="41">
        <v>0.0</v>
      </c>
      <c r="U221" s="41">
        <v>0.0</v>
      </c>
      <c r="V221" s="41">
        <v>0.0</v>
      </c>
      <c r="W221" s="41">
        <v>0.0</v>
      </c>
      <c r="X221" s="41">
        <v>0.0</v>
      </c>
      <c r="Y221" s="41">
        <v>0.0</v>
      </c>
      <c r="Z221" s="41">
        <v>3.0</v>
      </c>
      <c r="AA221" s="41">
        <v>9.0</v>
      </c>
      <c r="AB221" s="41">
        <v>6.0</v>
      </c>
      <c r="AC221" s="41">
        <v>9.0</v>
      </c>
      <c r="AD221" s="41">
        <v>9.0</v>
      </c>
      <c r="AE221" s="41">
        <v>3.0</v>
      </c>
      <c r="AF221" s="41">
        <v>12.0</v>
      </c>
      <c r="AG221" s="41">
        <v>12.0</v>
      </c>
      <c r="AH221" s="41">
        <v>3.0</v>
      </c>
      <c r="AI221" s="41">
        <v>3.0</v>
      </c>
      <c r="AJ221" s="41">
        <v>6.0</v>
      </c>
      <c r="AK221" s="41">
        <v>6.0</v>
      </c>
      <c r="AL221" s="41">
        <v>6.0</v>
      </c>
      <c r="AM221" s="43">
        <v>15.0</v>
      </c>
      <c r="AN221" s="43">
        <v>0.0</v>
      </c>
      <c r="AO221" s="43">
        <v>6.0</v>
      </c>
      <c r="AP221" s="43">
        <v>15.0</v>
      </c>
      <c r="AQ221" s="43">
        <v>15.0</v>
      </c>
      <c r="AR221" s="43">
        <v>3.0</v>
      </c>
      <c r="AS221" s="43">
        <v>26.0</v>
      </c>
      <c r="AT221" s="4">
        <f t="shared" si="4"/>
        <v>104.0</v>
      </c>
      <c r="AU221" s="4">
        <f t="shared" si="5"/>
        <v>39.0</v>
      </c>
      <c r="AV221" s="4">
        <f t="shared" si="6"/>
        <v>42.9</v>
      </c>
      <c r="AW221" s="1">
        <f t="shared" ref="AW221:AW224" si="847">AV221*$AW$4/$AV$4+3*$AW$375</f>
        <v>7.07857142857142</v>
      </c>
      <c r="AX221" s="1">
        <f t="shared" ref="AX221:AX224" si="848">AV221*$AX$4/$AV$4+3*$AX$375</f>
        <v>8.28571428571429</v>
      </c>
      <c r="AY221" s="1">
        <f t="shared" ref="AY221:AY224" si="849">AV221*$AY$4/$AV$4+3*$AY$375</f>
        <v>8.75</v>
      </c>
      <c r="AZ221" s="1">
        <f t="shared" ref="AZ221:AZ224" si="850">AV221*$AZ$4/$AV$4+3*$AZ$375</f>
        <v>11.257142857142</v>
      </c>
      <c r="BA221" s="1">
        <f t="shared" ref="BA221:BA224" si="851">AV221*$BA$4/$AV$4+3*$BA$375</f>
        <v>6.52142857142857</v>
      </c>
      <c r="BB221" s="1">
        <f t="shared" ref="BB221:BB224" si="852">AV221*$BB$4/$AV$4+3*$BB$375</f>
        <v>10.6071428571429</v>
      </c>
      <c r="BC221" s="4">
        <f t="shared" si="728"/>
        <v>52.4999999999991</v>
      </c>
      <c r="BD221" s="3">
        <f>VLOOKUP(D221,FEB23SOH,2,false)</f>
        <v>333.0</v>
      </c>
      <c r="BE221" s="44">
        <f>VLOOKUP(D221,UNITVALUE,4,false)</f>
        <v>4.1781</v>
      </c>
      <c r="BF221" s="44">
        <f t="shared" si="16"/>
        <v>1391.3073</v>
      </c>
      <c r="BI221" s="6">
        <f t="shared" si="814"/>
        <v>280.5</v>
      </c>
      <c r="BJ221" s="1">
        <v>501.0</v>
      </c>
      <c r="BK221" s="53" t="s">
        <v>0</v>
      </c>
      <c r="BM221" s="1">
        <f t="shared" si="816"/>
        <v>333.0</v>
      </c>
      <c r="BN221" s="1">
        <f t="shared" si="817"/>
        <v>7.07857142857142</v>
      </c>
      <c r="BP221" s="45">
        <f t="shared" si="818"/>
        <v>325.92142857142</v>
      </c>
      <c r="BQ221" s="5">
        <f t="shared" si="832"/>
        <v>1361.73232071424</v>
      </c>
      <c r="BR221" s="1">
        <f t="shared" si="820"/>
        <v>8.28571428571429</v>
      </c>
      <c r="BS221" s="1">
        <f t="shared" si="821"/>
      </c>
      <c r="BT221" s="45">
        <f t="shared" si="822"/>
        <v>317.635714285706</v>
      </c>
      <c r="BU221" s="5">
        <f t="shared" si="833"/>
        <v>1327.1137778571</v>
      </c>
      <c r="BV221" s="1">
        <f t="shared" si="823"/>
        <v>8.75</v>
      </c>
      <c r="BW221" s="1">
        <f t="shared" si="824"/>
      </c>
      <c r="BX221" s="45">
        <f t="shared" si="825"/>
        <v>308.885714285706</v>
      </c>
      <c r="BY221" s="5">
        <f t="shared" si="834"/>
        <v>1290.5554028571</v>
      </c>
      <c r="BZ221" s="1">
        <f t="shared" si="826"/>
        <v>11.257142857142</v>
      </c>
      <c r="CB221" s="45">
        <f t="shared" si="827"/>
        <v>297.628571428564</v>
      </c>
      <c r="CC221" s="5">
        <f t="shared" si="844"/>
        <v>1243.52193428568</v>
      </c>
      <c r="CD221" s="1">
        <f t="shared" si="828"/>
        <v>6.52142857142857</v>
      </c>
      <c r="CF221" s="45">
        <f t="shared" si="829"/>
        <v>291.107142857135</v>
      </c>
      <c r="CG221" s="5">
        <f t="shared" si="845"/>
        <v>1216.2747535714</v>
      </c>
      <c r="CH221" s="1">
        <f t="shared" si="830"/>
        <v>10.6071428571429</v>
      </c>
      <c r="CJ221" s="45">
        <f t="shared" si="831"/>
        <v>280.499999999992</v>
      </c>
      <c r="CK221" s="5">
        <f t="shared" si="846"/>
        <v>1171.95704999997</v>
      </c>
    </row>
    <row r="222" ht="17.0">
      <c r="A222" s="41" t="s">
        <v>30</v>
      </c>
      <c r="B222" s="10" t="s">
        <v>453</v>
      </c>
      <c r="C222" s="41" t="s">
        <v>480</v>
      </c>
      <c r="D222" s="57" t="s">
        <v>481</v>
      </c>
      <c r="E222" s="41">
        <v>0.0</v>
      </c>
      <c r="F222" s="41">
        <v>0.0</v>
      </c>
      <c r="G222" s="41">
        <v>0.0</v>
      </c>
      <c r="H222" s="41">
        <v>0.0</v>
      </c>
      <c r="I222" s="41">
        <v>0.0</v>
      </c>
      <c r="J222" s="41">
        <v>0.0</v>
      </c>
      <c r="K222" s="41">
        <v>0.0</v>
      </c>
      <c r="L222" s="41">
        <v>0.0</v>
      </c>
      <c r="M222" s="41">
        <v>0.0</v>
      </c>
      <c r="N222" s="41">
        <v>0.0</v>
      </c>
      <c r="O222" s="41">
        <v>0.0</v>
      </c>
      <c r="P222" s="41">
        <v>0.0</v>
      </c>
      <c r="Q222" s="41">
        <v>0.0</v>
      </c>
      <c r="R222" s="41">
        <v>0.0</v>
      </c>
      <c r="S222" s="41">
        <v>0.0</v>
      </c>
      <c r="T222" s="41">
        <v>0.0</v>
      </c>
      <c r="U222" s="41">
        <v>0.0</v>
      </c>
      <c r="V222" s="41">
        <v>0.0</v>
      </c>
      <c r="W222" s="41">
        <v>0.0</v>
      </c>
      <c r="X222" s="41">
        <v>0.0</v>
      </c>
      <c r="Y222" s="41">
        <v>0.0</v>
      </c>
      <c r="Z222" s="41">
        <v>30.0</v>
      </c>
      <c r="AA222" s="41">
        <v>21.0</v>
      </c>
      <c r="AB222" s="41">
        <v>15.0</v>
      </c>
      <c r="AC222" s="41">
        <v>41.0</v>
      </c>
      <c r="AD222" s="41">
        <v>18.0</v>
      </c>
      <c r="AE222" s="41">
        <v>12.0</v>
      </c>
      <c r="AF222" s="41">
        <v>12.0</v>
      </c>
      <c r="AG222" s="41">
        <v>15.0</v>
      </c>
      <c r="AH222" s="41">
        <v>6.0</v>
      </c>
      <c r="AI222" s="41">
        <v>3.0</v>
      </c>
      <c r="AJ222" s="41">
        <v>9.0</v>
      </c>
      <c r="AK222" s="41">
        <v>9.0</v>
      </c>
      <c r="AL222" s="41">
        <v>0.0</v>
      </c>
      <c r="AM222" s="43">
        <v>6.0</v>
      </c>
      <c r="AN222" s="43">
        <v>0.0</v>
      </c>
      <c r="AO222" s="43">
        <v>3.0</v>
      </c>
      <c r="AP222" s="43">
        <v>3.0</v>
      </c>
      <c r="AQ222" s="43">
        <v>18.0</v>
      </c>
      <c r="AR222" s="43">
        <v>3.0</v>
      </c>
      <c r="AS222" s="43">
        <v>18.0</v>
      </c>
      <c r="AT222" s="4">
        <f t="shared" si="4"/>
        <v>78.0</v>
      </c>
      <c r="AU222" s="4">
        <f t="shared" si="5"/>
        <v>33.0</v>
      </c>
      <c r="AV222" s="4">
        <f t="shared" si="6"/>
        <v>36.3</v>
      </c>
      <c r="AW222" s="1">
        <f t="shared" si="847"/>
        <v>6.33571428571429</v>
      </c>
      <c r="AX222" s="1">
        <f t="shared" si="848"/>
        <v>7.3571428571429</v>
      </c>
      <c r="AY222" s="1">
        <f t="shared" si="849"/>
        <v>7.75</v>
      </c>
      <c r="AZ222" s="1">
        <f t="shared" si="850"/>
        <v>9.87142857142857</v>
      </c>
      <c r="BA222" s="1">
        <f t="shared" si="851"/>
        <v>5.86428571428571</v>
      </c>
      <c r="BB222" s="1">
        <f t="shared" si="852"/>
        <v>9.32142857142857</v>
      </c>
      <c r="BC222" s="4">
        <f t="shared" si="728"/>
        <v>46.5</v>
      </c>
      <c r="BD222" s="3">
        <f>VLOOKUP(D222,FEB23SOH,2,false)</f>
        <v>250.0</v>
      </c>
      <c r="BE222" s="44">
        <f>VLOOKUP(D222,UNITVALUE,4,false)</f>
        <v>4.1783</v>
      </c>
      <c r="BF222" s="44">
        <f t="shared" si="16"/>
        <v>1044.575</v>
      </c>
      <c r="BI222" s="6">
        <f t="shared" si="814"/>
        <v>203.5</v>
      </c>
      <c r="BJ222" s="1">
        <v>501.0</v>
      </c>
      <c r="BK222" s="53" t="s">
        <v>0</v>
      </c>
      <c r="BM222" s="1">
        <f t="shared" si="816"/>
        <v>250.0</v>
      </c>
      <c r="BN222" s="1">
        <f t="shared" si="817"/>
        <v>6.33571428571429</v>
      </c>
      <c r="BP222" s="45">
        <f t="shared" si="818"/>
        <v>243.664285714286</v>
      </c>
      <c r="BQ222" s="5">
        <f t="shared" si="832"/>
        <v>1018.102485</v>
      </c>
      <c r="BR222" s="1">
        <f t="shared" si="820"/>
        <v>7.3571428571429</v>
      </c>
      <c r="BS222" s="1">
        <f t="shared" si="821"/>
      </c>
      <c r="BT222" s="45">
        <f t="shared" si="822"/>
        <v>236.307142857143</v>
      </c>
      <c r="BU222" s="5">
        <f t="shared" si="833"/>
        <v>987.362135</v>
      </c>
      <c r="BV222" s="1">
        <f t="shared" si="823"/>
        <v>7.75</v>
      </c>
      <c r="BW222" s="1">
        <f t="shared" si="824"/>
      </c>
      <c r="BX222" s="45">
        <f t="shared" si="825"/>
        <v>228.557142857143</v>
      </c>
      <c r="BY222" s="5">
        <f t="shared" si="834"/>
        <v>954.98031</v>
      </c>
      <c r="BZ222" s="1">
        <f t="shared" si="826"/>
        <v>9.87142857142857</v>
      </c>
      <c r="CB222" s="45">
        <f t="shared" si="827"/>
        <v>218.685714285714</v>
      </c>
      <c r="CC222" s="5">
        <f t="shared" si="844"/>
        <v>913.73452</v>
      </c>
      <c r="CD222" s="1">
        <f t="shared" si="828"/>
        <v>5.86428571428571</v>
      </c>
      <c r="CF222" s="45">
        <f t="shared" si="829"/>
        <v>212.821428571428</v>
      </c>
      <c r="CG222" s="5">
        <f t="shared" si="845"/>
        <v>889.231774999998</v>
      </c>
      <c r="CH222" s="1">
        <f t="shared" si="830"/>
        <v>9.32142857142857</v>
      </c>
      <c r="CJ222" s="45">
        <f t="shared" si="831"/>
        <v>203.499999999999</v>
      </c>
      <c r="CK222" s="5">
        <f t="shared" si="846"/>
        <v>850.284049999996</v>
      </c>
    </row>
    <row r="223" ht="17.0">
      <c r="A223" s="41" t="s">
        <v>30</v>
      </c>
      <c r="B223" s="10" t="s">
        <v>453</v>
      </c>
      <c r="C223" s="41" t="s">
        <v>482</v>
      </c>
      <c r="D223" s="57" t="s">
        <v>483</v>
      </c>
      <c r="E223" s="41">
        <v>0.0</v>
      </c>
      <c r="F223" s="41">
        <v>0.0</v>
      </c>
      <c r="G223" s="41">
        <v>0.0</v>
      </c>
      <c r="H223" s="41">
        <v>0.0</v>
      </c>
      <c r="I223" s="41">
        <v>0.0</v>
      </c>
      <c r="J223" s="41">
        <v>0.0</v>
      </c>
      <c r="K223" s="41">
        <v>0.0</v>
      </c>
      <c r="L223" s="41">
        <v>0.0</v>
      </c>
      <c r="M223" s="41">
        <v>0.0</v>
      </c>
      <c r="N223" s="41">
        <v>0.0</v>
      </c>
      <c r="O223" s="41">
        <v>0.0</v>
      </c>
      <c r="P223" s="41">
        <v>0.0</v>
      </c>
      <c r="Q223" s="41">
        <v>0.0</v>
      </c>
      <c r="R223" s="41">
        <v>0.0</v>
      </c>
      <c r="S223" s="41">
        <v>0.0</v>
      </c>
      <c r="T223" s="41">
        <v>0.0</v>
      </c>
      <c r="U223" s="41">
        <v>0.0</v>
      </c>
      <c r="V223" s="41">
        <v>0.0</v>
      </c>
      <c r="W223" s="41">
        <v>0.0</v>
      </c>
      <c r="X223" s="41">
        <v>0.0</v>
      </c>
      <c r="Y223" s="41">
        <v>0.0</v>
      </c>
      <c r="Z223" s="41">
        <v>3.0</v>
      </c>
      <c r="AA223" s="41">
        <v>9.0</v>
      </c>
      <c r="AB223" s="41">
        <v>3.0</v>
      </c>
      <c r="AC223" s="41">
        <v>9.0</v>
      </c>
      <c r="AD223" s="41">
        <v>9.0</v>
      </c>
      <c r="AE223" s="41">
        <v>0.0</v>
      </c>
      <c r="AF223" s="41">
        <v>15.0</v>
      </c>
      <c r="AG223" s="41">
        <v>12.0</v>
      </c>
      <c r="AH223" s="41">
        <v>0.0</v>
      </c>
      <c r="AI223" s="41">
        <v>3.0</v>
      </c>
      <c r="AJ223" s="41">
        <v>9.0</v>
      </c>
      <c r="AK223" s="41">
        <v>0.0</v>
      </c>
      <c r="AL223" s="41">
        <v>3.0</v>
      </c>
      <c r="AM223" s="43">
        <v>9.0</v>
      </c>
      <c r="AN223" s="43">
        <v>0.0</v>
      </c>
      <c r="AO223" s="43">
        <v>3.0</v>
      </c>
      <c r="AP223" s="43">
        <v>3.0</v>
      </c>
      <c r="AQ223" s="43">
        <v>12.0</v>
      </c>
      <c r="AR223" s="43">
        <v>6.0</v>
      </c>
      <c r="AS223" s="43">
        <v>7.0</v>
      </c>
      <c r="AT223" s="4">
        <f t="shared" si="4"/>
        <v>55.0</v>
      </c>
      <c r="AU223" s="4">
        <f t="shared" si="5"/>
        <v>24.0</v>
      </c>
      <c r="AV223" s="4">
        <f t="shared" si="6"/>
        <v>26.4</v>
      </c>
      <c r="AW223" s="1">
        <f t="shared" si="847"/>
        <v>5.22142857142857</v>
      </c>
      <c r="AX223" s="1">
        <f t="shared" si="848"/>
        <v>5.96428571428571</v>
      </c>
      <c r="AY223" s="1">
        <f t="shared" si="849"/>
        <v>6.25</v>
      </c>
      <c r="AZ223" s="1">
        <f t="shared" si="850"/>
        <v>7.79285714285714</v>
      </c>
      <c r="BA223" s="1">
        <f t="shared" si="851"/>
        <v>4.87857142857142</v>
      </c>
      <c r="BB223" s="1">
        <f t="shared" si="852"/>
        <v>7.39285714285714</v>
      </c>
      <c r="BC223" s="4">
        <f t="shared" si="728"/>
        <v>37.5</v>
      </c>
      <c r="BD223" s="3">
        <f>VLOOKUP(D223,FEB23SOH,2,false)</f>
        <v>375.0</v>
      </c>
      <c r="BE223" s="44">
        <f>VLOOKUP(D223,UNITVALUE,4,false)</f>
        <v>4.178</v>
      </c>
      <c r="BF223" s="44">
        <f t="shared" si="16"/>
        <v>1566.75</v>
      </c>
      <c r="BI223" s="6">
        <f t="shared" si="814"/>
        <v>337.5</v>
      </c>
      <c r="BJ223" s="1">
        <v>501.0</v>
      </c>
      <c r="BK223" s="53" t="s">
        <v>0</v>
      </c>
      <c r="BM223" s="1">
        <f t="shared" si="816"/>
        <v>375.0</v>
      </c>
      <c r="BN223" s="1">
        <f t="shared" si="817"/>
        <v>5.22142857142857</v>
      </c>
      <c r="BP223" s="45">
        <f t="shared" si="818"/>
        <v>369.778571428571</v>
      </c>
      <c r="BQ223" s="5">
        <f t="shared" si="832"/>
        <v>1544.93487142857</v>
      </c>
      <c r="BR223" s="1">
        <f t="shared" si="820"/>
        <v>5.96428571428571</v>
      </c>
      <c r="BS223" s="1">
        <f t="shared" si="821"/>
      </c>
      <c r="BT223" s="45">
        <f t="shared" si="822"/>
        <v>363.814285714285</v>
      </c>
      <c r="BU223" s="5">
        <f t="shared" si="833"/>
        <v>1520.01608571428</v>
      </c>
      <c r="BV223" s="1">
        <f t="shared" si="823"/>
        <v>6.25</v>
      </c>
      <c r="BW223" s="1">
        <f t="shared" si="824"/>
      </c>
      <c r="BX223" s="45">
        <f t="shared" si="825"/>
        <v>357.564285714285</v>
      </c>
      <c r="BY223" s="5">
        <f t="shared" si="834"/>
        <v>1493.90358571428</v>
      </c>
      <c r="BZ223" s="1">
        <f t="shared" si="826"/>
        <v>7.79285714285714</v>
      </c>
      <c r="CB223" s="45">
        <f t="shared" si="827"/>
        <v>349.77142857142</v>
      </c>
      <c r="CC223" s="5">
        <f t="shared" si="844"/>
        <v>1461.34502857139</v>
      </c>
      <c r="CD223" s="1">
        <f t="shared" si="828"/>
        <v>4.87857142857142</v>
      </c>
      <c r="CF223" s="45">
        <f t="shared" si="829"/>
        <v>344.89285714284</v>
      </c>
      <c r="CG223" s="5">
        <f t="shared" si="845"/>
        <v>1440.96235714279</v>
      </c>
      <c r="CH223" s="1">
        <f t="shared" si="830"/>
        <v>7.39285714285714</v>
      </c>
      <c r="CJ223" s="45">
        <f t="shared" si="831"/>
        <v>337.499999999982</v>
      </c>
      <c r="CK223" s="5">
        <f t="shared" si="846"/>
        <v>1410.07499999992</v>
      </c>
    </row>
    <row r="224" ht="17.0">
      <c r="A224" s="41" t="s">
        <v>30</v>
      </c>
      <c r="B224" s="10" t="s">
        <v>453</v>
      </c>
      <c r="C224" s="41" t="s">
        <v>484</v>
      </c>
      <c r="D224" s="57" t="s">
        <v>485</v>
      </c>
      <c r="E224" s="41">
        <v>0.0</v>
      </c>
      <c r="F224" s="41">
        <v>0.0</v>
      </c>
      <c r="G224" s="41">
        <v>0.0</v>
      </c>
      <c r="H224" s="41">
        <v>0.0</v>
      </c>
      <c r="I224" s="41">
        <v>0.0</v>
      </c>
      <c r="J224" s="41">
        <v>0.0</v>
      </c>
      <c r="K224" s="41">
        <v>0.0</v>
      </c>
      <c r="L224" s="41">
        <v>0.0</v>
      </c>
      <c r="M224" s="41">
        <v>0.0</v>
      </c>
      <c r="N224" s="41">
        <v>0.0</v>
      </c>
      <c r="O224" s="41">
        <v>0.0</v>
      </c>
      <c r="P224" s="41">
        <v>0.0</v>
      </c>
      <c r="Q224" s="41">
        <v>0.0</v>
      </c>
      <c r="R224" s="41">
        <v>0.0</v>
      </c>
      <c r="S224" s="41">
        <v>0.0</v>
      </c>
      <c r="T224" s="41">
        <v>0.0</v>
      </c>
      <c r="U224" s="41">
        <v>0.0</v>
      </c>
      <c r="V224" s="41">
        <v>0.0</v>
      </c>
      <c r="W224" s="41">
        <v>0.0</v>
      </c>
      <c r="X224" s="41">
        <v>0.0</v>
      </c>
      <c r="Y224" s="41">
        <v>0.0</v>
      </c>
      <c r="Z224" s="41">
        <v>6.0</v>
      </c>
      <c r="AA224" s="41">
        <v>21.0</v>
      </c>
      <c r="AB224" s="41">
        <v>18.0</v>
      </c>
      <c r="AC224" s="41">
        <v>50.0</v>
      </c>
      <c r="AD224" s="41">
        <v>6.0</v>
      </c>
      <c r="AE224" s="41">
        <v>18.0</v>
      </c>
      <c r="AF224" s="41">
        <v>21.0</v>
      </c>
      <c r="AG224" s="41">
        <v>12.0</v>
      </c>
      <c r="AH224" s="41">
        <v>0.0</v>
      </c>
      <c r="AI224" s="41">
        <v>3.0</v>
      </c>
      <c r="AJ224" s="41">
        <v>12.0</v>
      </c>
      <c r="AK224" s="41">
        <v>9.0</v>
      </c>
      <c r="AL224" s="41">
        <v>3.0</v>
      </c>
      <c r="AM224" s="43">
        <v>12.0</v>
      </c>
      <c r="AN224" s="43">
        <v>6.0</v>
      </c>
      <c r="AO224" s="43">
        <v>9.0</v>
      </c>
      <c r="AP224" s="43">
        <v>12.0</v>
      </c>
      <c r="AQ224" s="43">
        <v>15.0</v>
      </c>
      <c r="AR224" s="43">
        <v>6.0</v>
      </c>
      <c r="AS224" s="43">
        <v>15.0</v>
      </c>
      <c r="AT224" s="4">
        <f t="shared" si="4"/>
        <v>102.0</v>
      </c>
      <c r="AU224" s="4">
        <f t="shared" si="5"/>
        <v>39.0</v>
      </c>
      <c r="AV224" s="4">
        <f t="shared" si="6"/>
        <v>42.9</v>
      </c>
      <c r="AW224" s="1">
        <f t="shared" si="847"/>
        <v>7.07857142857142</v>
      </c>
      <c r="AX224" s="1">
        <f t="shared" si="848"/>
        <v>8.28571428571429</v>
      </c>
      <c r="AY224" s="1">
        <f t="shared" si="849"/>
        <v>8.75</v>
      </c>
      <c r="AZ224" s="1">
        <f t="shared" si="850"/>
        <v>11.257142857142</v>
      </c>
      <c r="BA224" s="1">
        <f t="shared" si="851"/>
        <v>6.52142857142857</v>
      </c>
      <c r="BB224" s="1">
        <f t="shared" si="852"/>
        <v>10.6071428571429</v>
      </c>
      <c r="BC224" s="4">
        <f t="shared" si="728"/>
        <v>52.4999999999991</v>
      </c>
      <c r="BD224" s="3">
        <f>VLOOKUP(D224,FEB23SOH,2,false)</f>
        <v>241.0</v>
      </c>
      <c r="BE224" s="44">
        <f>VLOOKUP(D224,UNITVALUE,4,false)</f>
        <v>4.1784</v>
      </c>
      <c r="BF224" s="44">
        <f t="shared" si="16"/>
        <v>1006.9944</v>
      </c>
      <c r="BI224" s="6">
        <f t="shared" si="814"/>
        <v>188.5</v>
      </c>
      <c r="BJ224" s="1">
        <v>501.0</v>
      </c>
      <c r="BK224" s="53" t="s">
        <v>0</v>
      </c>
      <c r="BM224" s="1">
        <f t="shared" si="816"/>
        <v>241.0</v>
      </c>
      <c r="BN224" s="1">
        <f t="shared" si="817"/>
        <v>7.07857142857142</v>
      </c>
      <c r="BP224" s="45">
        <f t="shared" si="818"/>
        <v>233.921428571429</v>
      </c>
      <c r="BQ224" s="5">
        <f t="shared" si="832"/>
        <v>977.417297142859</v>
      </c>
      <c r="BR224" s="1">
        <f t="shared" si="820"/>
        <v>8.28571428571429</v>
      </c>
      <c r="BS224" s="1">
        <f t="shared" si="821"/>
      </c>
      <c r="BT224" s="45">
        <f t="shared" si="822"/>
        <v>225.635714285714</v>
      </c>
      <c r="BU224" s="5">
        <f t="shared" si="833"/>
        <v>942.796268571427</v>
      </c>
      <c r="BV224" s="1">
        <f t="shared" si="823"/>
        <v>8.75</v>
      </c>
      <c r="BW224" s="1">
        <f t="shared" si="824"/>
      </c>
      <c r="BX224" s="45">
        <f t="shared" si="825"/>
        <v>216.885714285714</v>
      </c>
      <c r="BY224" s="5">
        <f t="shared" si="834"/>
        <v>906.235268571427</v>
      </c>
      <c r="BZ224" s="1">
        <f t="shared" si="826"/>
        <v>11.257142857142</v>
      </c>
      <c r="CB224" s="45">
        <f t="shared" si="827"/>
        <v>205.628571428572</v>
      </c>
      <c r="CC224" s="5">
        <f t="shared" si="844"/>
        <v>859.198422857145</v>
      </c>
      <c r="CD224" s="1">
        <f t="shared" si="828"/>
        <v>6.52142857142857</v>
      </c>
      <c r="CF224" s="45">
        <f t="shared" si="829"/>
        <v>199.107142857143</v>
      </c>
      <c r="CG224" s="5">
        <f t="shared" si="845"/>
        <v>831.949285714286</v>
      </c>
      <c r="CH224" s="1">
        <f t="shared" si="830"/>
        <v>10.6071428571429</v>
      </c>
      <c r="CJ224" s="45">
        <f t="shared" si="831"/>
        <v>188.5</v>
      </c>
      <c r="CK224" s="5">
        <f t="shared" si="846"/>
        <v>787.6284</v>
      </c>
    </row>
    <row r="225" ht="17.0">
      <c r="A225" s="46" t="s">
        <v>30</v>
      </c>
      <c r="B225" s="46" t="s">
        <v>453</v>
      </c>
      <c r="C225" s="46" t="s">
        <v>486</v>
      </c>
      <c r="D225" s="47" t="s">
        <v>487</v>
      </c>
      <c r="E225" s="41">
        <v>0.0</v>
      </c>
      <c r="F225" s="41">
        <v>0.0</v>
      </c>
      <c r="G225" s="41">
        <v>0.0</v>
      </c>
      <c r="H225" s="41">
        <v>0.0</v>
      </c>
      <c r="I225" s="41">
        <v>0.0</v>
      </c>
      <c r="J225" s="41">
        <v>0.0</v>
      </c>
      <c r="K225" s="41">
        <v>0.0</v>
      </c>
      <c r="L225" s="41">
        <v>0.0</v>
      </c>
      <c r="M225" s="41">
        <v>0.0</v>
      </c>
      <c r="N225" s="41">
        <v>0.0</v>
      </c>
      <c r="O225" s="41">
        <v>0.0</v>
      </c>
      <c r="P225" s="41">
        <v>0.0</v>
      </c>
      <c r="Q225" s="41">
        <v>0.0</v>
      </c>
      <c r="R225" s="41">
        <v>0.0</v>
      </c>
      <c r="S225" s="41">
        <v>0.0</v>
      </c>
      <c r="T225" s="41">
        <v>0.0</v>
      </c>
      <c r="U225" s="41">
        <v>0.0</v>
      </c>
      <c r="V225" s="41">
        <v>0.0</v>
      </c>
      <c r="W225" s="41">
        <v>0.0</v>
      </c>
      <c r="X225" s="41">
        <v>0.0</v>
      </c>
      <c r="Y225" s="41">
        <v>0.0</v>
      </c>
      <c r="Z225" s="41">
        <v>0.0</v>
      </c>
      <c r="AA225" s="41">
        <v>2.0</v>
      </c>
      <c r="AB225" s="41">
        <v>4.0</v>
      </c>
      <c r="AC225" s="41">
        <v>6.0</v>
      </c>
      <c r="AD225" s="41">
        <v>0.0</v>
      </c>
      <c r="AE225" s="41">
        <v>0.0</v>
      </c>
      <c r="AF225" s="41">
        <v>0.0</v>
      </c>
      <c r="AG225" s="41">
        <v>2.0</v>
      </c>
      <c r="AH225" s="41">
        <v>2.0</v>
      </c>
      <c r="AI225" s="41">
        <v>2.0</v>
      </c>
      <c r="AJ225" s="41">
        <v>0.0</v>
      </c>
      <c r="AK225" s="41">
        <v>0.0</v>
      </c>
      <c r="AL225" s="41">
        <v>0.0</v>
      </c>
      <c r="AM225" s="43">
        <v>2.0</v>
      </c>
      <c r="AN225" s="43">
        <v>5.0</v>
      </c>
      <c r="AO225" s="43">
        <v>1.0</v>
      </c>
      <c r="AP225" s="43">
        <v>1.0</v>
      </c>
      <c r="AQ225" s="43">
        <v>0.0</v>
      </c>
      <c r="AR225" s="43">
        <v>0.0</v>
      </c>
      <c r="AS225" s="43">
        <v>0.0</v>
      </c>
      <c r="AT225" s="4">
        <f t="shared" si="4"/>
        <v>13.0</v>
      </c>
      <c r="AU225" s="4">
        <f t="shared" si="5"/>
        <v>6.0</v>
      </c>
      <c r="AV225" s="4">
        <f t="shared" si="6"/>
        <v>6.6</v>
      </c>
      <c r="AW225" s="48">
        <f>AV225*$AW$4/$AV$4</f>
        <v>0.742857142857142</v>
      </c>
      <c r="AX225" s="48">
        <f>AV225*$AX$4/$AV$4</f>
        <v>0.928571428571429</v>
      </c>
      <c r="AY225" s="48">
        <f>AV225*$AY$4/$AV$4</f>
        <v>1.0</v>
      </c>
      <c r="AZ225" s="48">
        <f>AV225*$AZ$4/$AV$4</f>
        <v>1.38571428571429</v>
      </c>
      <c r="BA225" s="48">
        <f>AV225*$BA$4/$AV$4</f>
        <v>0.657142857142857</v>
      </c>
      <c r="BB225" s="48">
        <f>AV225*$BB$4/$AV$4</f>
        <v>1.28571428571429</v>
      </c>
      <c r="BC225" s="4">
        <f t="shared" si="728"/>
        <v>6.0</v>
      </c>
      <c r="BD225" s="3">
        <f>VLOOKUP(D225,FEB23SOH,2,false)</f>
        <v>3.0</v>
      </c>
      <c r="BE225" s="44">
        <f>VLOOKUP(D225,UNITVALUE,4,false)</f>
        <v>61.92</v>
      </c>
      <c r="BF225" s="44">
        <f t="shared" si="16"/>
        <v>185.76</v>
      </c>
      <c r="BK225" s="50"/>
      <c r="BP225" s="45"/>
      <c r="BT225" s="45"/>
      <c r="BU225" s="5"/>
      <c r="BX225" s="45"/>
      <c r="BY225" s="5"/>
      <c r="CB225" s="45"/>
      <c r="CC225" s="5"/>
      <c r="CF225" s="45"/>
      <c r="CG225" s="5"/>
      <c r="CJ225" s="45"/>
      <c r="CK225" s="5"/>
      <c r="CL225" s="69"/>
      <c r="CM225" s="69"/>
      <c r="CN225" s="69"/>
      <c r="CO225" s="69"/>
      <c r="CP225" s="69"/>
      <c r="CQ225" s="69"/>
      <c r="CR225" s="69"/>
      <c r="CS225" s="69"/>
      <c r="CT225" s="69"/>
      <c r="CU225" s="69"/>
      <c r="CV225" s="69"/>
      <c r="CW225" s="69"/>
      <c r="CX225" s="69"/>
      <c r="CY225" s="69"/>
      <c r="CZ225" s="69"/>
      <c r="DA225" s="69"/>
      <c r="DB225" s="69"/>
      <c r="DC225" s="69"/>
      <c r="DD225" s="69"/>
      <c r="DE225" s="69"/>
      <c r="DF225" s="69"/>
      <c r="DG225" s="69"/>
      <c r="DH225" s="69"/>
      <c r="DI225" s="69"/>
      <c r="DJ225" s="69"/>
      <c r="DK225" s="69"/>
    </row>
    <row r="226" ht="17.0">
      <c r="A226" s="41" t="s">
        <v>30</v>
      </c>
      <c r="B226" s="41" t="s">
        <v>453</v>
      </c>
      <c r="C226" s="41" t="s">
        <v>488</v>
      </c>
      <c r="D226" s="42" t="s">
        <v>489</v>
      </c>
      <c r="E226" s="41">
        <v>0.0</v>
      </c>
      <c r="F226" s="41">
        <v>0.0</v>
      </c>
      <c r="G226" s="41">
        <v>0.0</v>
      </c>
      <c r="H226" s="41">
        <v>0.0</v>
      </c>
      <c r="I226" s="41">
        <v>0.0</v>
      </c>
      <c r="J226" s="41">
        <v>0.0</v>
      </c>
      <c r="K226" s="41">
        <v>0.0</v>
      </c>
      <c r="L226" s="41">
        <v>0.0</v>
      </c>
      <c r="M226" s="41">
        <v>0.0</v>
      </c>
      <c r="N226" s="41">
        <v>0.0</v>
      </c>
      <c r="O226" s="41">
        <v>0.0</v>
      </c>
      <c r="P226" s="41">
        <v>0.0</v>
      </c>
      <c r="Q226" s="41">
        <v>0.0</v>
      </c>
      <c r="R226" s="41">
        <v>0.0</v>
      </c>
      <c r="S226" s="41">
        <v>0.0</v>
      </c>
      <c r="T226" s="41">
        <v>0.0</v>
      </c>
      <c r="U226" s="41">
        <v>0.0</v>
      </c>
      <c r="V226" s="41">
        <v>0.0</v>
      </c>
      <c r="W226" s="41">
        <v>0.0</v>
      </c>
      <c r="X226" s="41">
        <v>0.0</v>
      </c>
      <c r="Y226" s="41">
        <v>0.0</v>
      </c>
      <c r="Z226" s="41">
        <v>34.0</v>
      </c>
      <c r="AA226" s="41">
        <v>108.0</v>
      </c>
      <c r="AB226" s="41">
        <v>144.0</v>
      </c>
      <c r="AC226" s="41">
        <v>139.0</v>
      </c>
      <c r="AD226" s="41">
        <v>39.0</v>
      </c>
      <c r="AE226" s="41">
        <v>3.0</v>
      </c>
      <c r="AF226" s="41">
        <v>3.0</v>
      </c>
      <c r="AG226" s="41">
        <v>87.0</v>
      </c>
      <c r="AH226" s="41">
        <v>78.0</v>
      </c>
      <c r="AI226" s="41">
        <v>48.0</v>
      </c>
      <c r="AJ226" s="41">
        <v>60.0</v>
      </c>
      <c r="AK226" s="41">
        <v>30.0</v>
      </c>
      <c r="AL226" s="41">
        <v>48.0</v>
      </c>
      <c r="AM226" s="43">
        <v>57.0</v>
      </c>
      <c r="AN226" s="43">
        <v>78.0</v>
      </c>
      <c r="AO226" s="43">
        <v>60.0</v>
      </c>
      <c r="AP226" s="43">
        <v>57.0</v>
      </c>
      <c r="AQ226" s="43">
        <v>36.0</v>
      </c>
      <c r="AR226" s="43">
        <v>33.0</v>
      </c>
      <c r="AS226" s="43">
        <v>6.0</v>
      </c>
      <c r="AT226" s="4">
        <f t="shared" si="4"/>
        <v>591.0</v>
      </c>
      <c r="AU226" s="4">
        <f t="shared" si="5"/>
        <v>321.0</v>
      </c>
      <c r="AV226" s="4">
        <f t="shared" si="6"/>
        <v>353.1</v>
      </c>
      <c r="AW226" s="1">
        <f t="shared" ref="AW226:AW232" si="859">AV226*$AW$4/$AV$4+3*$AW$225</f>
        <v>41.9714285714285</v>
      </c>
      <c r="AX226" s="1">
        <f t="shared" ref="AX226:AX232" si="860">AV226*$AX$4/$AV$4+3*$AX$225</f>
        <v>52.4642857142857</v>
      </c>
      <c r="AY226" s="1">
        <f t="shared" ref="AY226:AY232" si="861">AV226*$AY$4/$AV$4+3*$AY$225</f>
        <v>56.5</v>
      </c>
      <c r="AZ226" s="1">
        <f t="shared" ref="AZ226:AZ232" si="862">AV226*$AZ$4/$AV$4+3*$AZ$225</f>
        <v>78.292857142857</v>
      </c>
      <c r="BA226" s="1">
        <f t="shared" ref="BA226:BA232" si="863">AV226*$BA$4/$AV$4+3*$BA$225</f>
        <v>37.1285714285714</v>
      </c>
      <c r="BB226" s="1">
        <f t="shared" ref="BB226:BB232" si="864">AV226*$BB$4/$AV$4+3*$BB$225</f>
        <v>72.642857142857</v>
      </c>
      <c r="BC226" s="4">
        <f t="shared" si="728"/>
        <v>339.0</v>
      </c>
      <c r="BD226" s="3">
        <f>VLOOKUP(D226,FEB23SOH,2,false)</f>
        <v>0.0</v>
      </c>
      <c r="BE226" s="44">
        <f>VLOOKUP(D226,UNITVALUE,4,false)</f>
      </c>
      <c r="BF226" s="44">
        <f t="shared" si="16"/>
        <v>0.0</v>
      </c>
      <c r="BG226" s="1">
        <f>VLOOKUP(D226,ETAMAR7,2,false)</f>
        <v>504.0</v>
      </c>
      <c r="BI226" s="6">
        <f t="shared" ref="BI226:BI239" si="866">BD226+BG226+BH226-BC226</f>
        <v>165.0</v>
      </c>
      <c r="BJ226" s="1">
        <v>500.0</v>
      </c>
      <c r="BM226" s="1">
        <f t="shared" ref="BM226:BM239" si="867">BD226</f>
        <v>0.0</v>
      </c>
      <c r="BN226" s="1">
        <f t="shared" ref="BN226:BN239" si="868">AW226</f>
        <v>41.9714285714285</v>
      </c>
      <c r="BP226" s="45">
        <f t="shared" ref="BP226:BP239" si="869">BM226+BO226-BN226</f>
        <v>-41.9714285714285</v>
      </c>
      <c r="BQ226" s="5">
        <f t="shared" ref="BQ226:BQ239" si="870">BP226*BE226</f>
        <v>0.0</v>
      </c>
      <c r="BR226" s="1">
        <f t="shared" ref="BR226:BR239" si="871">AX226</f>
        <v>52.4642857142857</v>
      </c>
      <c r="BS226" s="1">
        <f t="shared" ref="BS226:BS239" si="872">BG226</f>
        <v>504.0</v>
      </c>
      <c r="BT226" s="45">
        <f t="shared" ref="BT226:BT239" si="873">BP226+BS226-BR226</f>
        <v>409.564285714285</v>
      </c>
      <c r="BU226" s="5"/>
      <c r="BV226" s="1">
        <f t="shared" ref="BV226:BV239" si="874">AY226</f>
        <v>56.5</v>
      </c>
      <c r="BW226" s="1">
        <f t="shared" ref="BW226:BW239" si="875">BG226</f>
        <v>504.0</v>
      </c>
      <c r="BX226" s="45">
        <f t="shared" ref="BX226:BX239" si="876">BT226+BW226-BV226</f>
        <v>857.064285714285</v>
      </c>
      <c r="BY226" s="5"/>
      <c r="BZ226" s="1">
        <f t="shared" ref="BZ226:BZ239" si="877">AZ226</f>
        <v>78.292857142857</v>
      </c>
      <c r="CB226" s="45">
        <f t="shared" ref="CB226:CB239" si="878">BX226+CA226-BZ226</f>
        <v>778.771428571428</v>
      </c>
      <c r="CC226" s="5"/>
      <c r="CD226" s="1">
        <f t="shared" ref="CD226:CD239" si="879">BA226</f>
        <v>37.1285714285714</v>
      </c>
      <c r="CF226" s="45">
        <f t="shared" ref="CF226:CF239" si="880">CB226+CE226-CD226</f>
        <v>741.642857142857</v>
      </c>
      <c r="CG226" s="5"/>
      <c r="CH226" s="1">
        <f t="shared" ref="CH226:CH239" si="881">BB226</f>
        <v>72.642857142857</v>
      </c>
      <c r="CJ226" s="45">
        <f t="shared" ref="CJ226:CJ239" si="882">CF226+CI226-CH226</f>
        <v>669.0</v>
      </c>
      <c r="CK226" s="5"/>
    </row>
    <row r="227" ht="17.0">
      <c r="A227" s="41" t="s">
        <v>30</v>
      </c>
      <c r="B227" s="10" t="s">
        <v>453</v>
      </c>
      <c r="C227" s="41" t="s">
        <v>490</v>
      </c>
      <c r="D227" s="42" t="s">
        <v>491</v>
      </c>
      <c r="E227" s="41">
        <v>0.0</v>
      </c>
      <c r="F227" s="41">
        <v>0.0</v>
      </c>
      <c r="G227" s="41">
        <v>0.0</v>
      </c>
      <c r="H227" s="41">
        <v>0.0</v>
      </c>
      <c r="I227" s="41">
        <v>0.0</v>
      </c>
      <c r="J227" s="41">
        <v>0.0</v>
      </c>
      <c r="K227" s="41">
        <v>0.0</v>
      </c>
      <c r="L227" s="41">
        <v>0.0</v>
      </c>
      <c r="M227" s="41">
        <v>0.0</v>
      </c>
      <c r="N227" s="41">
        <v>0.0</v>
      </c>
      <c r="O227" s="41">
        <v>0.0</v>
      </c>
      <c r="P227" s="41">
        <v>0.0</v>
      </c>
      <c r="Q227" s="41">
        <v>0.0</v>
      </c>
      <c r="R227" s="41">
        <v>0.0</v>
      </c>
      <c r="S227" s="41">
        <v>0.0</v>
      </c>
      <c r="T227" s="41">
        <v>0.0</v>
      </c>
      <c r="U227" s="41">
        <v>0.0</v>
      </c>
      <c r="V227" s="41">
        <v>0.0</v>
      </c>
      <c r="W227" s="41">
        <v>0.0</v>
      </c>
      <c r="X227" s="41">
        <v>0.0</v>
      </c>
      <c r="Y227" s="41">
        <v>0.0</v>
      </c>
      <c r="Z227" s="41">
        <v>24.0</v>
      </c>
      <c r="AA227" s="41">
        <v>69.0</v>
      </c>
      <c r="AB227" s="41">
        <v>63.0</v>
      </c>
      <c r="AC227" s="41">
        <v>60.0</v>
      </c>
      <c r="AD227" s="41">
        <v>75.0</v>
      </c>
      <c r="AE227" s="41">
        <v>51.0</v>
      </c>
      <c r="AF227" s="41">
        <v>45.0</v>
      </c>
      <c r="AG227" s="41">
        <v>15.0</v>
      </c>
      <c r="AH227" s="41">
        <v>30.0</v>
      </c>
      <c r="AI227" s="41">
        <v>18.0</v>
      </c>
      <c r="AJ227" s="41">
        <v>18.0</v>
      </c>
      <c r="AK227" s="41">
        <v>9.0</v>
      </c>
      <c r="AL227" s="41">
        <v>9.0</v>
      </c>
      <c r="AM227" s="43">
        <v>33.0</v>
      </c>
      <c r="AN227" s="43">
        <v>27.0</v>
      </c>
      <c r="AO227" s="43">
        <v>18.0</v>
      </c>
      <c r="AP227" s="43">
        <v>24.0</v>
      </c>
      <c r="AQ227" s="43">
        <v>27.0</v>
      </c>
      <c r="AR227" s="43">
        <v>18.0</v>
      </c>
      <c r="AS227" s="43">
        <v>33.0</v>
      </c>
      <c r="AT227" s="4">
        <f t="shared" si="4"/>
        <v>264.0</v>
      </c>
      <c r="AU227" s="4">
        <f t="shared" si="5"/>
        <v>117.0</v>
      </c>
      <c r="AV227" s="4">
        <f t="shared" si="6"/>
        <v>128.7</v>
      </c>
      <c r="AW227" s="1">
        <f t="shared" si="859"/>
        <v>16.7142857142856</v>
      </c>
      <c r="AX227" s="1">
        <f t="shared" si="860"/>
        <v>20.8928571428571</v>
      </c>
      <c r="AY227" s="1">
        <f t="shared" si="861"/>
        <v>22.5</v>
      </c>
      <c r="AZ227" s="1">
        <f t="shared" si="862"/>
        <v>31.1785714285714</v>
      </c>
      <c r="BA227" s="1">
        <f t="shared" si="863"/>
        <v>14.7857142857142</v>
      </c>
      <c r="BB227" s="1">
        <f t="shared" si="864"/>
        <v>28.9285714285719</v>
      </c>
      <c r="BC227" s="4">
        <f t="shared" si="728"/>
        <v>135.0</v>
      </c>
      <c r="BD227" s="3">
        <f>VLOOKUP(D227,FEB23SOH,2,false)</f>
        <v>267.0</v>
      </c>
      <c r="BE227" s="44">
        <f>VLOOKUP(D227,UNITVALUE,4,false)</f>
        <v>2.9548</v>
      </c>
      <c r="BF227" s="44">
        <f t="shared" si="16"/>
        <v>788.9316</v>
      </c>
      <c r="BI227" s="6">
        <f t="shared" si="866"/>
        <v>132.0</v>
      </c>
      <c r="BJ227" s="1">
        <v>500.0</v>
      </c>
      <c r="BK227" s="53" t="s">
        <v>0</v>
      </c>
      <c r="BM227" s="1">
        <f t="shared" si="867"/>
        <v>267.0</v>
      </c>
      <c r="BN227" s="1">
        <f t="shared" si="868"/>
        <v>16.7142857142856</v>
      </c>
      <c r="BP227" s="45">
        <f t="shared" si="869"/>
        <v>250.285714285714</v>
      </c>
      <c r="BQ227" s="5">
        <f t="shared" si="870"/>
        <v>739.544228571428</v>
      </c>
      <c r="BR227" s="1">
        <f t="shared" si="871"/>
        <v>20.8928571428571</v>
      </c>
      <c r="BS227" s="1">
        <f t="shared" si="872"/>
      </c>
      <c r="BT227" s="45">
        <f t="shared" si="873"/>
        <v>229.392857142857</v>
      </c>
      <c r="BU227" s="5">
        <f t="shared" ref="BU227:BU239" si="883">BT227*BE227</f>
        <v>677.810014285713</v>
      </c>
      <c r="BV227" s="1">
        <f t="shared" si="874"/>
        <v>22.5</v>
      </c>
      <c r="BW227" s="1">
        <f t="shared" si="875"/>
      </c>
      <c r="BX227" s="45">
        <f t="shared" si="876"/>
        <v>206.892857142857</v>
      </c>
      <c r="BY227" s="5">
        <f t="shared" ref="BY227:BY230" si="884">BX227*BE227</f>
        <v>611.327014285713</v>
      </c>
      <c r="BZ227" s="1">
        <f t="shared" si="877"/>
        <v>31.1785714285714</v>
      </c>
      <c r="CB227" s="45">
        <f t="shared" si="878"/>
        <v>175.714285714286</v>
      </c>
      <c r="CC227" s="5">
        <f t="shared" ref="CC227:CC230" si="885">CB227*BE227</f>
        <v>519.200571428572</v>
      </c>
      <c r="CD227" s="1">
        <f t="shared" si="879"/>
        <v>14.7857142857142</v>
      </c>
      <c r="CF227" s="45">
        <f t="shared" si="880"/>
        <v>160.928571428571</v>
      </c>
      <c r="CG227" s="5">
        <f t="shared" ref="CG227:CG230" si="886">CF227*BE227</f>
        <v>475.511742857141</v>
      </c>
      <c r="CH227" s="1">
        <f t="shared" si="881"/>
        <v>28.9285714285719</v>
      </c>
      <c r="CJ227" s="45">
        <f t="shared" si="882"/>
        <v>131.999999999999</v>
      </c>
      <c r="CK227" s="5">
        <f t="shared" ref="CK227:CK230" si="887">CJ227*BE227</f>
        <v>390.033599999997</v>
      </c>
    </row>
    <row r="228" ht="17.0">
      <c r="A228" s="41" t="s">
        <v>30</v>
      </c>
      <c r="B228" s="10" t="s">
        <v>453</v>
      </c>
      <c r="C228" s="41" t="s">
        <v>492</v>
      </c>
      <c r="D228" s="42" t="s">
        <v>493</v>
      </c>
      <c r="E228" s="41">
        <v>0.0</v>
      </c>
      <c r="F228" s="41">
        <v>0.0</v>
      </c>
      <c r="G228" s="41">
        <v>0.0</v>
      </c>
      <c r="H228" s="41">
        <v>0.0</v>
      </c>
      <c r="I228" s="41">
        <v>0.0</v>
      </c>
      <c r="J228" s="41">
        <v>0.0</v>
      </c>
      <c r="K228" s="41">
        <v>0.0</v>
      </c>
      <c r="L228" s="41">
        <v>0.0</v>
      </c>
      <c r="M228" s="41">
        <v>0.0</v>
      </c>
      <c r="N228" s="41">
        <v>0.0</v>
      </c>
      <c r="O228" s="41">
        <v>0.0</v>
      </c>
      <c r="P228" s="41">
        <v>0.0</v>
      </c>
      <c r="Q228" s="41">
        <v>0.0</v>
      </c>
      <c r="R228" s="41">
        <v>0.0</v>
      </c>
      <c r="S228" s="41">
        <v>0.0</v>
      </c>
      <c r="T228" s="41">
        <v>0.0</v>
      </c>
      <c r="U228" s="41">
        <v>0.0</v>
      </c>
      <c r="V228" s="41">
        <v>0.0</v>
      </c>
      <c r="W228" s="41">
        <v>0.0</v>
      </c>
      <c r="X228" s="41">
        <v>0.0</v>
      </c>
      <c r="Y228" s="41">
        <v>0.0</v>
      </c>
      <c r="Z228" s="41">
        <v>21.0</v>
      </c>
      <c r="AA228" s="41">
        <v>54.0</v>
      </c>
      <c r="AB228" s="41">
        <v>111.0</v>
      </c>
      <c r="AC228" s="41">
        <v>57.0</v>
      </c>
      <c r="AD228" s="41">
        <v>69.0</v>
      </c>
      <c r="AE228" s="41">
        <v>39.0</v>
      </c>
      <c r="AF228" s="41">
        <v>57.0</v>
      </c>
      <c r="AG228" s="41">
        <v>48.0</v>
      </c>
      <c r="AH228" s="41">
        <v>30.0</v>
      </c>
      <c r="AI228" s="41">
        <v>18.0</v>
      </c>
      <c r="AJ228" s="41">
        <v>22.0</v>
      </c>
      <c r="AK228" s="41">
        <v>9.0</v>
      </c>
      <c r="AL228" s="41">
        <v>6.0</v>
      </c>
      <c r="AM228" s="43">
        <v>21.0</v>
      </c>
      <c r="AN228" s="43">
        <v>30.0</v>
      </c>
      <c r="AO228" s="43">
        <v>15.0</v>
      </c>
      <c r="AP228" s="43">
        <v>30.0</v>
      </c>
      <c r="AQ228" s="43">
        <v>33.0</v>
      </c>
      <c r="AR228" s="43">
        <v>15.0</v>
      </c>
      <c r="AS228" s="43">
        <v>29.0</v>
      </c>
      <c r="AT228" s="4">
        <f t="shared" si="4"/>
        <v>258.0</v>
      </c>
      <c r="AU228" s="4">
        <f t="shared" si="5"/>
        <v>106.0</v>
      </c>
      <c r="AV228" s="4">
        <f t="shared" si="6"/>
        <v>116.6</v>
      </c>
      <c r="AW228" s="1">
        <f t="shared" si="859"/>
        <v>15.3523809523809</v>
      </c>
      <c r="AX228" s="1">
        <f t="shared" si="860"/>
        <v>19.1904761904761</v>
      </c>
      <c r="AY228" s="1">
        <f t="shared" si="861"/>
        <v>20.6666666666667</v>
      </c>
      <c r="AZ228" s="1">
        <f t="shared" si="862"/>
        <v>28.6380952380951</v>
      </c>
      <c r="BA228" s="1">
        <f t="shared" si="863"/>
        <v>13.5809523809523</v>
      </c>
      <c r="BB228" s="1">
        <f t="shared" si="864"/>
        <v>26.571428571429</v>
      </c>
      <c r="BC228" s="4">
        <f t="shared" si="728"/>
        <v>124.0</v>
      </c>
      <c r="BD228" s="3">
        <f>VLOOKUP(D228,FEB23SOH,2,false)</f>
        <v>218.0</v>
      </c>
      <c r="BE228" s="44">
        <f>VLOOKUP(D228,UNITVALUE,4,false)</f>
        <v>2.9552</v>
      </c>
      <c r="BF228" s="44">
        <f t="shared" si="16"/>
        <v>644.2336</v>
      </c>
      <c r="BI228" s="6">
        <f t="shared" si="866"/>
        <v>94.0</v>
      </c>
      <c r="BJ228" s="1">
        <v>500.0</v>
      </c>
      <c r="BK228" s="53" t="s">
        <v>0</v>
      </c>
      <c r="BM228" s="1">
        <f t="shared" si="867"/>
        <v>218.0</v>
      </c>
      <c r="BN228" s="1">
        <f t="shared" si="868"/>
        <v>15.3523809523809</v>
      </c>
      <c r="BP228" s="45">
        <f t="shared" si="869"/>
        <v>202.647619047619</v>
      </c>
      <c r="BQ228" s="5">
        <f t="shared" si="870"/>
        <v>598.864243809523</v>
      </c>
      <c r="BR228" s="1">
        <f t="shared" si="871"/>
        <v>19.1904761904761</v>
      </c>
      <c r="BS228" s="1">
        <f t="shared" si="872"/>
      </c>
      <c r="BT228" s="45">
        <f t="shared" si="873"/>
        <v>183.457142857142</v>
      </c>
      <c r="BU228" s="5">
        <f t="shared" si="883"/>
        <v>542.152548571426</v>
      </c>
      <c r="BV228" s="1">
        <f t="shared" si="874"/>
        <v>20.6666666666667</v>
      </c>
      <c r="BW228" s="1">
        <f t="shared" si="875"/>
      </c>
      <c r="BX228" s="45">
        <f t="shared" si="876"/>
        <v>162.790476190475</v>
      </c>
      <c r="BY228" s="5">
        <f t="shared" si="884"/>
        <v>481.078415238091</v>
      </c>
      <c r="BZ228" s="1">
        <f t="shared" si="877"/>
        <v>28.6380952380951</v>
      </c>
      <c r="CB228" s="45">
        <f t="shared" si="878"/>
        <v>134.15238095238</v>
      </c>
      <c r="CC228" s="5">
        <f t="shared" si="885"/>
        <v>396.447116190473</v>
      </c>
      <c r="CD228" s="1">
        <f t="shared" si="879"/>
        <v>13.5809523809523</v>
      </c>
      <c r="CF228" s="45">
        <f t="shared" si="880"/>
        <v>120.571428571428</v>
      </c>
      <c r="CG228" s="5">
        <f t="shared" si="886"/>
        <v>356.312685714284</v>
      </c>
      <c r="CH228" s="1">
        <f t="shared" si="881"/>
        <v>26.571428571429</v>
      </c>
      <c r="CJ228" s="45">
        <f t="shared" si="882"/>
        <v>93.999999999999</v>
      </c>
      <c r="CK228" s="5">
        <f t="shared" si="887"/>
        <v>277.788799999997</v>
      </c>
    </row>
    <row r="229" ht="17.0">
      <c r="A229" s="41" t="s">
        <v>30</v>
      </c>
      <c r="B229" s="10" t="s">
        <v>453</v>
      </c>
      <c r="C229" s="41" t="s">
        <v>494</v>
      </c>
      <c r="D229" s="42" t="s">
        <v>495</v>
      </c>
      <c r="E229" s="41">
        <v>0.0</v>
      </c>
      <c r="F229" s="41">
        <v>0.0</v>
      </c>
      <c r="G229" s="41">
        <v>0.0</v>
      </c>
      <c r="H229" s="41">
        <v>0.0</v>
      </c>
      <c r="I229" s="41">
        <v>0.0</v>
      </c>
      <c r="J229" s="41">
        <v>0.0</v>
      </c>
      <c r="K229" s="41">
        <v>0.0</v>
      </c>
      <c r="L229" s="41">
        <v>0.0</v>
      </c>
      <c r="M229" s="41">
        <v>0.0</v>
      </c>
      <c r="N229" s="41">
        <v>0.0</v>
      </c>
      <c r="O229" s="41">
        <v>0.0</v>
      </c>
      <c r="P229" s="41">
        <v>0.0</v>
      </c>
      <c r="Q229" s="41">
        <v>0.0</v>
      </c>
      <c r="R229" s="41">
        <v>0.0</v>
      </c>
      <c r="S229" s="41">
        <v>0.0</v>
      </c>
      <c r="T229" s="41">
        <v>0.0</v>
      </c>
      <c r="U229" s="41">
        <v>0.0</v>
      </c>
      <c r="V229" s="41">
        <v>0.0</v>
      </c>
      <c r="W229" s="41">
        <v>0.0</v>
      </c>
      <c r="X229" s="41">
        <v>0.0</v>
      </c>
      <c r="Y229" s="41">
        <v>0.0</v>
      </c>
      <c r="Z229" s="41">
        <v>18.0</v>
      </c>
      <c r="AA229" s="41">
        <v>45.0</v>
      </c>
      <c r="AB229" s="41">
        <v>48.0</v>
      </c>
      <c r="AC229" s="41">
        <v>42.0</v>
      </c>
      <c r="AD229" s="41">
        <v>57.0</v>
      </c>
      <c r="AE229" s="41">
        <v>39.0</v>
      </c>
      <c r="AF229" s="41">
        <v>36.0</v>
      </c>
      <c r="AG229" s="41">
        <v>30.0</v>
      </c>
      <c r="AH229" s="41">
        <v>18.0</v>
      </c>
      <c r="AI229" s="41">
        <v>18.0</v>
      </c>
      <c r="AJ229" s="41">
        <v>15.0</v>
      </c>
      <c r="AK229" s="41">
        <v>6.0</v>
      </c>
      <c r="AL229" s="41">
        <v>3.0</v>
      </c>
      <c r="AM229" s="43">
        <v>15.0</v>
      </c>
      <c r="AN229" s="43">
        <v>12.0</v>
      </c>
      <c r="AO229" s="43">
        <v>18.0</v>
      </c>
      <c r="AP229" s="43">
        <v>18.0</v>
      </c>
      <c r="AQ229" s="43">
        <v>6.0</v>
      </c>
      <c r="AR229" s="43">
        <v>3.0</v>
      </c>
      <c r="AS229" s="43">
        <v>11.0</v>
      </c>
      <c r="AT229" s="4">
        <f t="shared" si="4"/>
        <v>143.0</v>
      </c>
      <c r="AU229" s="4">
        <f t="shared" si="5"/>
        <v>75.0</v>
      </c>
      <c r="AV229" s="4">
        <f t="shared" si="6"/>
        <v>82.5</v>
      </c>
      <c r="AW229" s="1">
        <f t="shared" si="859"/>
        <v>11.5142857142857</v>
      </c>
      <c r="AX229" s="1">
        <f t="shared" si="860"/>
        <v>14.3928571428571</v>
      </c>
      <c r="AY229" s="1">
        <f t="shared" si="861"/>
        <v>15.5</v>
      </c>
      <c r="AZ229" s="1">
        <f t="shared" si="862"/>
        <v>21.4785714285719</v>
      </c>
      <c r="BA229" s="1">
        <f t="shared" si="863"/>
        <v>10.1857142857142</v>
      </c>
      <c r="BB229" s="1">
        <f t="shared" si="864"/>
        <v>19.9285714285719</v>
      </c>
      <c r="BC229" s="4">
        <f t="shared" si="728"/>
        <v>93.0000000000008</v>
      </c>
      <c r="BD229" s="3">
        <f>VLOOKUP(D229,FEB23SOH,2,false)</f>
        <v>462.0</v>
      </c>
      <c r="BE229" s="44">
        <f>VLOOKUP(D229,UNITVALUE,4,false)</f>
        <v>2.9544</v>
      </c>
      <c r="BF229" s="44">
        <f t="shared" si="16"/>
        <v>1364.9328</v>
      </c>
      <c r="BI229" s="6">
        <f t="shared" si="866"/>
        <v>368.999999999999</v>
      </c>
      <c r="BJ229" s="1">
        <v>500.0</v>
      </c>
      <c r="BK229" s="53" t="s">
        <v>0</v>
      </c>
      <c r="BM229" s="1">
        <f t="shared" si="867"/>
        <v>462.0</v>
      </c>
      <c r="BN229" s="1">
        <f t="shared" si="868"/>
        <v>11.5142857142857</v>
      </c>
      <c r="BP229" s="45">
        <f t="shared" si="869"/>
        <v>450.485714285714</v>
      </c>
      <c r="BQ229" s="5">
        <f t="shared" si="870"/>
        <v>1330.91499428571</v>
      </c>
      <c r="BR229" s="1">
        <f t="shared" si="871"/>
        <v>14.3928571428571</v>
      </c>
      <c r="BS229" s="1">
        <f t="shared" si="872"/>
      </c>
      <c r="BT229" s="45">
        <f t="shared" si="873"/>
        <v>436.09285714286</v>
      </c>
      <c r="BU229" s="5">
        <f t="shared" si="883"/>
        <v>1288.39273714287</v>
      </c>
      <c r="BV229" s="1">
        <f t="shared" si="874"/>
        <v>15.5</v>
      </c>
      <c r="BW229" s="1">
        <f t="shared" si="875"/>
      </c>
      <c r="BX229" s="45">
        <f t="shared" si="876"/>
        <v>420.59285714286</v>
      </c>
      <c r="BY229" s="5">
        <f t="shared" si="884"/>
        <v>1242.59953714287</v>
      </c>
      <c r="BZ229" s="1">
        <f t="shared" si="877"/>
        <v>21.4785714285719</v>
      </c>
      <c r="CB229" s="45">
        <f t="shared" si="878"/>
        <v>399.114285714288</v>
      </c>
      <c r="CC229" s="5">
        <f t="shared" si="885"/>
        <v>1179.14324571429</v>
      </c>
      <c r="CD229" s="1">
        <f t="shared" si="879"/>
        <v>10.1857142857142</v>
      </c>
      <c r="CF229" s="45">
        <f t="shared" si="880"/>
        <v>388.928571428573</v>
      </c>
      <c r="CG229" s="5">
        <f t="shared" si="886"/>
        <v>1149.05057142858</v>
      </c>
      <c r="CH229" s="1">
        <f t="shared" si="881"/>
        <v>19.9285714285719</v>
      </c>
      <c r="CJ229" s="45">
        <f t="shared" si="882"/>
        <v>369.000000000001</v>
      </c>
      <c r="CK229" s="5">
        <f t="shared" si="887"/>
        <v>1090.1736</v>
      </c>
    </row>
    <row r="230" ht="17.0">
      <c r="A230" s="41" t="s">
        <v>30</v>
      </c>
      <c r="B230" s="10" t="s">
        <v>453</v>
      </c>
      <c r="C230" s="41" t="s">
        <v>496</v>
      </c>
      <c r="D230" s="42" t="s">
        <v>497</v>
      </c>
      <c r="E230" s="41">
        <v>0.0</v>
      </c>
      <c r="F230" s="41">
        <v>0.0</v>
      </c>
      <c r="G230" s="41">
        <v>0.0</v>
      </c>
      <c r="H230" s="41">
        <v>0.0</v>
      </c>
      <c r="I230" s="41">
        <v>0.0</v>
      </c>
      <c r="J230" s="41">
        <v>0.0</v>
      </c>
      <c r="K230" s="41">
        <v>0.0</v>
      </c>
      <c r="L230" s="41">
        <v>0.0</v>
      </c>
      <c r="M230" s="41">
        <v>0.0</v>
      </c>
      <c r="N230" s="41">
        <v>0.0</v>
      </c>
      <c r="O230" s="41">
        <v>0.0</v>
      </c>
      <c r="P230" s="41">
        <v>0.0</v>
      </c>
      <c r="Q230" s="41">
        <v>0.0</v>
      </c>
      <c r="R230" s="41">
        <v>0.0</v>
      </c>
      <c r="S230" s="41">
        <v>0.0</v>
      </c>
      <c r="T230" s="41">
        <v>0.0</v>
      </c>
      <c r="U230" s="41">
        <v>0.0</v>
      </c>
      <c r="V230" s="41">
        <v>0.0</v>
      </c>
      <c r="W230" s="41">
        <v>0.0</v>
      </c>
      <c r="X230" s="41">
        <v>0.0</v>
      </c>
      <c r="Y230" s="41">
        <v>0.0</v>
      </c>
      <c r="Z230" s="41">
        <v>58.0</v>
      </c>
      <c r="AA230" s="41">
        <v>99.0</v>
      </c>
      <c r="AB230" s="41">
        <v>171.0</v>
      </c>
      <c r="AC230" s="41">
        <v>129.0</v>
      </c>
      <c r="AD230" s="41">
        <v>8.0</v>
      </c>
      <c r="AE230" s="41">
        <v>0.0</v>
      </c>
      <c r="AF230" s="41">
        <v>0.0</v>
      </c>
      <c r="AG230" s="41">
        <v>75.0</v>
      </c>
      <c r="AH230" s="41">
        <v>72.0</v>
      </c>
      <c r="AI230" s="41">
        <v>18.0</v>
      </c>
      <c r="AJ230" s="41">
        <v>30.0</v>
      </c>
      <c r="AK230" s="41">
        <v>24.0</v>
      </c>
      <c r="AL230" s="41">
        <v>18.0</v>
      </c>
      <c r="AM230" s="43">
        <v>27.0</v>
      </c>
      <c r="AN230" s="43">
        <v>33.0</v>
      </c>
      <c r="AO230" s="43">
        <v>45.0</v>
      </c>
      <c r="AP230" s="43">
        <v>51.0</v>
      </c>
      <c r="AQ230" s="43">
        <v>54.0</v>
      </c>
      <c r="AR230" s="43">
        <v>9.0</v>
      </c>
      <c r="AS230" s="43">
        <v>66.0</v>
      </c>
      <c r="AT230" s="4">
        <f t="shared" si="4"/>
        <v>447.0</v>
      </c>
      <c r="AU230" s="4">
        <f t="shared" si="5"/>
        <v>189.0</v>
      </c>
      <c r="AV230" s="4">
        <f t="shared" si="6"/>
        <v>207.9</v>
      </c>
      <c r="AW230" s="1">
        <f t="shared" si="859"/>
        <v>25.6285714285714</v>
      </c>
      <c r="AX230" s="1">
        <f t="shared" si="860"/>
        <v>32.0357142857142</v>
      </c>
      <c r="AY230" s="1">
        <f t="shared" si="861"/>
        <v>34.5</v>
      </c>
      <c r="AZ230" s="1">
        <f t="shared" si="862"/>
        <v>47.8071428571429</v>
      </c>
      <c r="BA230" s="1">
        <f t="shared" si="863"/>
        <v>22.6714285714286</v>
      </c>
      <c r="BB230" s="1">
        <f t="shared" si="864"/>
        <v>44.3571428571429</v>
      </c>
      <c r="BC230" s="4">
        <f t="shared" si="728"/>
        <v>207.0</v>
      </c>
      <c r="BD230" s="3">
        <f>VLOOKUP(D230,FEB23SOH,2,false)</f>
        <v>304.0</v>
      </c>
      <c r="BE230" s="44">
        <f>VLOOKUP(D230,UNITVALUE,4,false)</f>
        <v>2.9554</v>
      </c>
      <c r="BF230" s="44">
        <f t="shared" si="16"/>
        <v>898.4416</v>
      </c>
      <c r="BI230" s="6">
        <f t="shared" si="866"/>
        <v>97.0</v>
      </c>
      <c r="BJ230" s="1">
        <v>500.0</v>
      </c>
      <c r="BK230" s="53" t="s">
        <v>0</v>
      </c>
      <c r="BM230" s="1">
        <f t="shared" si="867"/>
        <v>304.0</v>
      </c>
      <c r="BN230" s="1">
        <f t="shared" si="868"/>
        <v>25.6285714285714</v>
      </c>
      <c r="BP230" s="45">
        <f t="shared" si="869"/>
        <v>278.371428571429</v>
      </c>
      <c r="BQ230" s="5">
        <f t="shared" si="870"/>
        <v>822.698920000001</v>
      </c>
      <c r="BR230" s="1">
        <f t="shared" si="871"/>
        <v>32.0357142857142</v>
      </c>
      <c r="BS230" s="1">
        <f t="shared" si="872"/>
      </c>
      <c r="BT230" s="45">
        <f t="shared" si="873"/>
        <v>246.335714285714</v>
      </c>
      <c r="BU230" s="5">
        <f t="shared" si="883"/>
        <v>728.020569999999</v>
      </c>
      <c r="BV230" s="1">
        <f t="shared" si="874"/>
        <v>34.5</v>
      </c>
      <c r="BW230" s="1">
        <f t="shared" si="875"/>
      </c>
      <c r="BX230" s="45">
        <f t="shared" si="876"/>
        <v>211.835714285714</v>
      </c>
      <c r="BY230" s="5">
        <f t="shared" si="884"/>
        <v>626.059269999999</v>
      </c>
      <c r="BZ230" s="1">
        <f t="shared" si="877"/>
        <v>47.8071428571429</v>
      </c>
      <c r="CB230" s="45">
        <f t="shared" si="878"/>
        <v>164.028571428571</v>
      </c>
      <c r="CC230" s="5">
        <f t="shared" si="885"/>
        <v>484.770039999999</v>
      </c>
      <c r="CD230" s="1">
        <f t="shared" si="879"/>
        <v>22.6714285714286</v>
      </c>
      <c r="CF230" s="45">
        <f t="shared" si="880"/>
        <v>141.357142857142</v>
      </c>
      <c r="CG230" s="5">
        <f t="shared" si="886"/>
        <v>417.7669</v>
      </c>
      <c r="CH230" s="1">
        <f t="shared" si="881"/>
        <v>44.3571428571429</v>
      </c>
      <c r="CJ230" s="45">
        <f t="shared" si="882"/>
        <v>96.9999999999991</v>
      </c>
      <c r="CK230" s="5">
        <f t="shared" si="887"/>
        <v>286.673799999997</v>
      </c>
    </row>
    <row r="231" ht="17.0">
      <c r="A231" s="41" t="s">
        <v>30</v>
      </c>
      <c r="B231" s="10" t="s">
        <v>453</v>
      </c>
      <c r="C231" s="41" t="s">
        <v>498</v>
      </c>
      <c r="D231" s="42" t="s">
        <v>499</v>
      </c>
      <c r="E231" s="41">
        <v>0.0</v>
      </c>
      <c r="F231" s="41">
        <v>0.0</v>
      </c>
      <c r="G231" s="41">
        <v>0.0</v>
      </c>
      <c r="H231" s="41">
        <v>0.0</v>
      </c>
      <c r="I231" s="41">
        <v>0.0</v>
      </c>
      <c r="J231" s="41">
        <v>0.0</v>
      </c>
      <c r="K231" s="41">
        <v>0.0</v>
      </c>
      <c r="L231" s="41">
        <v>0.0</v>
      </c>
      <c r="M231" s="41">
        <v>0.0</v>
      </c>
      <c r="N231" s="41">
        <v>0.0</v>
      </c>
      <c r="O231" s="41">
        <v>0.0</v>
      </c>
      <c r="P231" s="41">
        <v>0.0</v>
      </c>
      <c r="Q231" s="41">
        <v>0.0</v>
      </c>
      <c r="R231" s="41">
        <v>0.0</v>
      </c>
      <c r="S231" s="41">
        <v>0.0</v>
      </c>
      <c r="T231" s="41">
        <v>0.0</v>
      </c>
      <c r="U231" s="41">
        <v>0.0</v>
      </c>
      <c r="V231" s="41">
        <v>0.0</v>
      </c>
      <c r="W231" s="41">
        <v>0.0</v>
      </c>
      <c r="X231" s="41">
        <v>0.0</v>
      </c>
      <c r="Y231" s="41">
        <v>0.0</v>
      </c>
      <c r="Z231" s="41">
        <v>40.0</v>
      </c>
      <c r="AA231" s="41">
        <v>63.0</v>
      </c>
      <c r="AB231" s="41">
        <v>129.0</v>
      </c>
      <c r="AC231" s="41">
        <v>90.0</v>
      </c>
      <c r="AD231" s="41">
        <v>144.0</v>
      </c>
      <c r="AE231" s="41">
        <v>3.0</v>
      </c>
      <c r="AF231" s="41">
        <v>0.0</v>
      </c>
      <c r="AG231" s="41">
        <v>48.0</v>
      </c>
      <c r="AH231" s="41">
        <v>39.0</v>
      </c>
      <c r="AI231" s="41">
        <v>21.0</v>
      </c>
      <c r="AJ231" s="41">
        <v>33.0</v>
      </c>
      <c r="AK231" s="41">
        <v>30.0</v>
      </c>
      <c r="AL231" s="41">
        <v>33.0</v>
      </c>
      <c r="AM231" s="43">
        <v>42.0</v>
      </c>
      <c r="AN231" s="43">
        <v>12.0</v>
      </c>
      <c r="AO231" s="43">
        <v>36.0</v>
      </c>
      <c r="AP231" s="43">
        <v>27.0</v>
      </c>
      <c r="AQ231" s="43">
        <v>54.0</v>
      </c>
      <c r="AR231" s="43">
        <v>24.0</v>
      </c>
      <c r="AS231" s="43">
        <v>40.0</v>
      </c>
      <c r="AT231" s="4">
        <f t="shared" si="4"/>
        <v>391.0</v>
      </c>
      <c r="AU231" s="4">
        <f t="shared" si="5"/>
        <v>198.0</v>
      </c>
      <c r="AV231" s="4">
        <f t="shared" si="6"/>
        <v>217.8</v>
      </c>
      <c r="AW231" s="1">
        <f t="shared" si="859"/>
        <v>26.7428571428571</v>
      </c>
      <c r="AX231" s="1">
        <f t="shared" si="860"/>
        <v>33.4285714285713</v>
      </c>
      <c r="AY231" s="1">
        <f t="shared" si="861"/>
        <v>36.0</v>
      </c>
      <c r="AZ231" s="1">
        <f t="shared" si="862"/>
        <v>49.8857142857142</v>
      </c>
      <c r="BA231" s="1">
        <f t="shared" si="863"/>
        <v>23.657142857142</v>
      </c>
      <c r="BB231" s="1">
        <f t="shared" si="864"/>
        <v>46.2857142857142</v>
      </c>
      <c r="BC231" s="4">
        <f t="shared" si="728"/>
        <v>215.999999999999</v>
      </c>
      <c r="BD231" s="3">
        <f>VLOOKUP(D231,FEB23SOH,2,false)</f>
        <v>30.0</v>
      </c>
      <c r="BE231" s="44">
        <f>VLOOKUP(D231,UNITVALUE,4,false)</f>
        <v>2.9647</v>
      </c>
      <c r="BF231" s="44">
        <f t="shared" si="16"/>
        <v>88.941</v>
      </c>
      <c r="BI231" s="6">
        <f t="shared" si="866"/>
        <v>-185.999999999999</v>
      </c>
      <c r="BJ231" s="1">
        <v>500.0</v>
      </c>
      <c r="BK231" s="53" t="s">
        <v>0</v>
      </c>
      <c r="BL231" s="8" t="s">
        <v>6</v>
      </c>
      <c r="BM231" s="1">
        <f t="shared" si="867"/>
        <v>30.0</v>
      </c>
      <c r="BN231" s="1">
        <f t="shared" si="868"/>
        <v>26.7428571428571</v>
      </c>
      <c r="BP231" s="45">
        <f t="shared" si="869"/>
        <v>3.2571428571429</v>
      </c>
      <c r="BQ231" s="5">
        <f t="shared" si="870"/>
        <v>9.6564514285716</v>
      </c>
      <c r="BR231" s="1">
        <f t="shared" si="871"/>
        <v>33.4285714285713</v>
      </c>
      <c r="BS231" s="1">
        <f t="shared" si="872"/>
      </c>
      <c r="BT231" s="45">
        <f t="shared" si="873"/>
        <v>-30.1714285714284</v>
      </c>
      <c r="BU231" s="5">
        <f t="shared" si="883"/>
        <v>-89.4492342857136</v>
      </c>
      <c r="BV231" s="1">
        <f t="shared" si="874"/>
        <v>36.0</v>
      </c>
      <c r="BW231" s="1">
        <f t="shared" si="875"/>
      </c>
      <c r="BX231" s="45">
        <f t="shared" si="876"/>
        <v>-66.1714285714284</v>
      </c>
      <c r="BY231" s="5"/>
      <c r="BZ231" s="1">
        <f t="shared" si="877"/>
        <v>49.8857142857142</v>
      </c>
      <c r="CB231" s="45">
        <f t="shared" si="878"/>
        <v>-116.057142857142</v>
      </c>
      <c r="CC231" s="5"/>
      <c r="CD231" s="1">
        <f t="shared" si="879"/>
        <v>23.657142857142</v>
      </c>
      <c r="CF231" s="45">
        <f t="shared" si="880"/>
        <v>-139.714285714284</v>
      </c>
      <c r="CG231" s="5"/>
      <c r="CH231" s="1">
        <f t="shared" si="881"/>
        <v>46.2857142857142</v>
      </c>
      <c r="CJ231" s="45">
        <f t="shared" si="882"/>
        <v>-185.999999999998</v>
      </c>
      <c r="CK231" s="5"/>
    </row>
    <row r="232" ht="17.0">
      <c r="A232" s="41" t="s">
        <v>30</v>
      </c>
      <c r="B232" s="10" t="s">
        <v>453</v>
      </c>
      <c r="C232" s="41" t="s">
        <v>500</v>
      </c>
      <c r="D232" s="42" t="s">
        <v>501</v>
      </c>
      <c r="E232" s="41">
        <v>0.0</v>
      </c>
      <c r="F232" s="41">
        <v>0.0</v>
      </c>
      <c r="G232" s="41">
        <v>0.0</v>
      </c>
      <c r="H232" s="41">
        <v>0.0</v>
      </c>
      <c r="I232" s="41">
        <v>0.0</v>
      </c>
      <c r="J232" s="41">
        <v>0.0</v>
      </c>
      <c r="K232" s="41">
        <v>0.0</v>
      </c>
      <c r="L232" s="41">
        <v>0.0</v>
      </c>
      <c r="M232" s="41">
        <v>0.0</v>
      </c>
      <c r="N232" s="41">
        <v>0.0</v>
      </c>
      <c r="O232" s="41">
        <v>0.0</v>
      </c>
      <c r="P232" s="41">
        <v>0.0</v>
      </c>
      <c r="Q232" s="41">
        <v>0.0</v>
      </c>
      <c r="R232" s="41">
        <v>0.0</v>
      </c>
      <c r="S232" s="41">
        <v>0.0</v>
      </c>
      <c r="T232" s="41">
        <v>0.0</v>
      </c>
      <c r="U232" s="41">
        <v>0.0</v>
      </c>
      <c r="V232" s="41">
        <v>0.0</v>
      </c>
      <c r="W232" s="41">
        <v>0.0</v>
      </c>
      <c r="X232" s="41">
        <v>0.0</v>
      </c>
      <c r="Y232" s="41">
        <v>0.0</v>
      </c>
      <c r="Z232" s="41">
        <v>0.0</v>
      </c>
      <c r="AA232" s="41">
        <v>0.0</v>
      </c>
      <c r="AB232" s="41">
        <v>0.0</v>
      </c>
      <c r="AC232" s="41">
        <v>0.0</v>
      </c>
      <c r="AD232" s="41">
        <v>0.0</v>
      </c>
      <c r="AE232" s="41">
        <v>0.0</v>
      </c>
      <c r="AF232" s="41">
        <v>0.0</v>
      </c>
      <c r="AG232" s="41">
        <v>18.0</v>
      </c>
      <c r="AH232" s="41">
        <v>30.0</v>
      </c>
      <c r="AI232" s="41">
        <v>9.0</v>
      </c>
      <c r="AJ232" s="41">
        <v>12.0</v>
      </c>
      <c r="AK232" s="41">
        <v>12.0</v>
      </c>
      <c r="AL232" s="41">
        <v>6.0</v>
      </c>
      <c r="AM232" s="43">
        <v>18.0</v>
      </c>
      <c r="AN232" s="43">
        <v>7.0</v>
      </c>
      <c r="AO232" s="43">
        <v>12.0</v>
      </c>
      <c r="AP232" s="43">
        <v>9.0</v>
      </c>
      <c r="AQ232" s="43">
        <v>15.0</v>
      </c>
      <c r="AR232" s="43">
        <v>6.0</v>
      </c>
      <c r="AS232" s="43">
        <v>22.0</v>
      </c>
      <c r="AT232" s="4">
        <f t="shared" si="4"/>
        <v>158.0</v>
      </c>
      <c r="AU232" s="4">
        <f t="shared" si="5"/>
        <v>87.0</v>
      </c>
      <c r="AV232" s="4">
        <f t="shared" si="6"/>
        <v>95.7</v>
      </c>
      <c r="AW232" s="1">
        <f t="shared" si="859"/>
        <v>13.0000000000004</v>
      </c>
      <c r="AX232" s="1">
        <f t="shared" si="860"/>
        <v>16.25</v>
      </c>
      <c r="AY232" s="1">
        <f t="shared" si="861"/>
        <v>17.5</v>
      </c>
      <c r="AZ232" s="1">
        <f t="shared" si="862"/>
        <v>24.25</v>
      </c>
      <c r="BA232" s="1">
        <f t="shared" si="863"/>
        <v>11.5</v>
      </c>
      <c r="BB232" s="1">
        <f t="shared" si="864"/>
        <v>22.5</v>
      </c>
      <c r="BC232" s="4">
        <f t="shared" si="728"/>
        <v>105.0</v>
      </c>
      <c r="BD232" s="3">
        <f>VLOOKUP(D232,FEB23SOH,2,false)</f>
        <v>281.0</v>
      </c>
      <c r="BE232" s="44">
        <f>VLOOKUP(D232,UNITVALUE,4,false)</f>
        <v>2.9547</v>
      </c>
      <c r="BF232" s="44">
        <f t="shared" si="16"/>
        <v>830.2707</v>
      </c>
      <c r="BI232" s="6">
        <f t="shared" si="866"/>
        <v>176.0</v>
      </c>
      <c r="BJ232" s="1">
        <v>500.0</v>
      </c>
      <c r="BK232" s="53" t="s">
        <v>0</v>
      </c>
      <c r="BM232" s="1">
        <f t="shared" si="867"/>
        <v>281.0</v>
      </c>
      <c r="BN232" s="1">
        <f t="shared" si="868"/>
        <v>13.0000000000004</v>
      </c>
      <c r="BP232" s="45">
        <f t="shared" si="869"/>
        <v>268.0</v>
      </c>
      <c r="BQ232" s="5">
        <f t="shared" si="870"/>
        <v>791.8596</v>
      </c>
      <c r="BR232" s="1">
        <f t="shared" si="871"/>
        <v>16.25</v>
      </c>
      <c r="BS232" s="1">
        <f t="shared" si="872"/>
      </c>
      <c r="BT232" s="45">
        <f t="shared" si="873"/>
        <v>251.75</v>
      </c>
      <c r="BU232" s="5">
        <f t="shared" si="883"/>
        <v>743.845725</v>
      </c>
      <c r="BV232" s="1">
        <f t="shared" si="874"/>
        <v>17.5</v>
      </c>
      <c r="BW232" s="1">
        <f t="shared" si="875"/>
      </c>
      <c r="BX232" s="45">
        <f t="shared" si="876"/>
        <v>234.25</v>
      </c>
      <c r="BY232" s="5">
        <f t="shared" ref="BY232:BY239" si="888">BX232*BE232</f>
        <v>692.138475</v>
      </c>
      <c r="BZ232" s="1">
        <f t="shared" si="877"/>
        <v>24.25</v>
      </c>
      <c r="CB232" s="45">
        <f t="shared" si="878"/>
        <v>210.0</v>
      </c>
      <c r="CC232" s="5">
        <f t="shared" ref="CC232:CC239" si="889">CB232*BE232</f>
        <v>620.487</v>
      </c>
      <c r="CD232" s="1">
        <f t="shared" si="879"/>
        <v>11.5</v>
      </c>
      <c r="CF232" s="45">
        <f t="shared" si="880"/>
        <v>198.5</v>
      </c>
      <c r="CG232" s="5">
        <f t="shared" ref="CG232:CG239" si="890">CF232*BE232</f>
        <v>586.50795</v>
      </c>
      <c r="CH232" s="1">
        <f t="shared" si="881"/>
        <v>22.5</v>
      </c>
      <c r="CJ232" s="45">
        <f t="shared" si="882"/>
        <v>176.0</v>
      </c>
      <c r="CK232" s="5">
        <f t="shared" ref="CK232:CK239" si="891">CJ232*BE232</f>
        <v>520.0272</v>
      </c>
    </row>
    <row r="233" ht="17.0">
      <c r="A233" s="41" t="s">
        <v>30</v>
      </c>
      <c r="B233" s="10" t="s">
        <v>502</v>
      </c>
      <c r="C233" s="41" t="s">
        <v>503</v>
      </c>
      <c r="D233" s="42" t="s">
        <v>504</v>
      </c>
      <c r="E233" s="41">
        <v>0.0</v>
      </c>
      <c r="F233" s="41">
        <v>0.0</v>
      </c>
      <c r="G233" s="41">
        <v>0.0</v>
      </c>
      <c r="H233" s="41">
        <v>0.0</v>
      </c>
      <c r="I233" s="41">
        <v>0.0</v>
      </c>
      <c r="J233" s="41">
        <v>0.0</v>
      </c>
      <c r="K233" s="41">
        <v>0.0</v>
      </c>
      <c r="L233" s="41">
        <v>0.0</v>
      </c>
      <c r="M233" s="41">
        <v>0.0</v>
      </c>
      <c r="N233" s="41">
        <v>0.0</v>
      </c>
      <c r="O233" s="41">
        <v>0.0</v>
      </c>
      <c r="P233" s="41">
        <v>0.0</v>
      </c>
      <c r="Q233" s="41">
        <v>92.0</v>
      </c>
      <c r="R233" s="41">
        <v>20.0</v>
      </c>
      <c r="S233" s="41">
        <v>0.0</v>
      </c>
      <c r="T233" s="41">
        <v>4.0</v>
      </c>
      <c r="U233" s="41">
        <v>4.0</v>
      </c>
      <c r="V233" s="41">
        <v>0.0</v>
      </c>
      <c r="W233" s="41">
        <v>16.0</v>
      </c>
      <c r="X233" s="41">
        <v>0.0</v>
      </c>
      <c r="Y233" s="41">
        <v>0.0</v>
      </c>
      <c r="Z233" s="41">
        <v>4.0</v>
      </c>
      <c r="AA233" s="41">
        <v>4.0</v>
      </c>
      <c r="AB233" s="41">
        <v>12.0</v>
      </c>
      <c r="AC233" s="41">
        <v>4.0</v>
      </c>
      <c r="AD233" s="41">
        <v>12.0</v>
      </c>
      <c r="AE233" s="41">
        <v>0.0</v>
      </c>
      <c r="AF233" s="41">
        <v>0.0</v>
      </c>
      <c r="AG233" s="41">
        <v>4.0</v>
      </c>
      <c r="AH233" s="41">
        <v>8.0</v>
      </c>
      <c r="AI233" s="41">
        <v>0.0</v>
      </c>
      <c r="AJ233" s="41">
        <v>0.0</v>
      </c>
      <c r="AK233" s="41">
        <v>8.0</v>
      </c>
      <c r="AL233" s="41">
        <v>4.0</v>
      </c>
      <c r="AM233" s="43">
        <v>0.0</v>
      </c>
      <c r="AN233" s="43">
        <v>12.0</v>
      </c>
      <c r="AO233" s="43">
        <v>0.0</v>
      </c>
      <c r="AP233" s="43">
        <v>8.0</v>
      </c>
      <c r="AQ233" s="43">
        <v>4.0</v>
      </c>
      <c r="AR233" s="43">
        <v>0.0</v>
      </c>
      <c r="AS233" s="43">
        <v>0.0</v>
      </c>
      <c r="AT233" s="4">
        <f t="shared" si="4"/>
        <v>44.0</v>
      </c>
      <c r="AU233" s="4">
        <f t="shared" si="5"/>
        <v>20.0</v>
      </c>
      <c r="AV233" s="4">
        <f t="shared" si="6"/>
        <v>22.0</v>
      </c>
      <c r="AW233" s="1">
        <f>AV233*$AW$4/$AV$4</f>
        <v>2.4761904761904</v>
      </c>
      <c r="AX233" s="1">
        <f>AV233*$AX$4/$AV$4</f>
        <v>3.0952380952381</v>
      </c>
      <c r="AY233" s="1">
        <f>AV233*$AY$4/$AV$4</f>
        <v>3.33333333333333</v>
      </c>
      <c r="AZ233" s="1">
        <f>AV233*$AZ$4/$AV$4</f>
        <v>4.61904761904761</v>
      </c>
      <c r="BA233" s="1">
        <f>AV233*$BA$4/$AV$4</f>
        <v>2.19047619047619</v>
      </c>
      <c r="BB233" s="1">
        <f>AV233*$BB$4/$AV$4</f>
        <v>4.28571428571429</v>
      </c>
      <c r="BC233" s="4">
        <f t="shared" si="728"/>
        <v>19.9999999999999</v>
      </c>
      <c r="BD233" s="3">
        <f>VLOOKUP(D233,FEB23SOH,2,false)</f>
        <v>280.0</v>
      </c>
      <c r="BE233" s="44">
        <f>VLOOKUP(D233,UNITVALUE,4,false)</f>
        <v>5.6526</v>
      </c>
      <c r="BF233" s="44">
        <f t="shared" si="16"/>
        <v>1582.728</v>
      </c>
      <c r="BI233" s="6">
        <f t="shared" si="866"/>
        <v>260.0</v>
      </c>
      <c r="BJ233" s="1">
        <f>VLOOKUP(C233,MOQ,3,FALSE())</f>
        <v>500.0</v>
      </c>
      <c r="BK233" s="53" t="s">
        <v>0</v>
      </c>
      <c r="BM233" s="1">
        <f t="shared" si="867"/>
        <v>280.0</v>
      </c>
      <c r="BN233" s="1">
        <f t="shared" si="868"/>
        <v>2.4761904761904</v>
      </c>
      <c r="BP233" s="45">
        <f t="shared" si="869"/>
        <v>277.52380952381</v>
      </c>
      <c r="BQ233" s="5">
        <f t="shared" si="870"/>
        <v>1568.73108571429</v>
      </c>
      <c r="BR233" s="1">
        <f t="shared" si="871"/>
        <v>3.0952380952381</v>
      </c>
      <c r="BS233" s="1">
        <f t="shared" si="872"/>
      </c>
      <c r="BT233" s="45">
        <f t="shared" si="873"/>
        <v>274.428571428571</v>
      </c>
      <c r="BU233" s="5">
        <f t="shared" si="883"/>
        <v>1551.23494285714</v>
      </c>
      <c r="BV233" s="1">
        <f t="shared" si="874"/>
        <v>3.33333333333333</v>
      </c>
      <c r="BW233" s="1">
        <f t="shared" si="875"/>
      </c>
      <c r="BX233" s="45">
        <f t="shared" si="876"/>
        <v>271.095238095238</v>
      </c>
      <c r="BY233" s="5">
        <f t="shared" si="888"/>
        <v>1532.39294285714</v>
      </c>
      <c r="BZ233" s="1">
        <f t="shared" si="877"/>
        <v>4.61904761904761</v>
      </c>
      <c r="CB233" s="45">
        <f t="shared" si="878"/>
        <v>266.47619047619</v>
      </c>
      <c r="CC233" s="5">
        <f t="shared" si="889"/>
        <v>1506.28331428571</v>
      </c>
      <c r="CD233" s="1">
        <f t="shared" si="879"/>
        <v>2.19047619047619</v>
      </c>
      <c r="CF233" s="45">
        <f t="shared" si="880"/>
        <v>264.285714285713</v>
      </c>
      <c r="CG233" s="5">
        <f t="shared" si="890"/>
        <v>1493.90142857142</v>
      </c>
      <c r="CH233" s="1">
        <f t="shared" si="881"/>
        <v>4.28571428571429</v>
      </c>
      <c r="CJ233" s="45">
        <f t="shared" si="882"/>
        <v>260.0</v>
      </c>
      <c r="CK233" s="5">
        <f t="shared" si="891"/>
        <v>1469.676</v>
      </c>
    </row>
    <row r="234" ht="17.0">
      <c r="A234" s="41" t="s">
        <v>30</v>
      </c>
      <c r="B234" s="10" t="s">
        <v>502</v>
      </c>
      <c r="C234" s="41" t="s">
        <v>505</v>
      </c>
      <c r="D234" s="55" t="s">
        <v>506</v>
      </c>
      <c r="E234" s="41">
        <v>0.0</v>
      </c>
      <c r="F234" s="41">
        <v>0.0</v>
      </c>
      <c r="G234" s="41">
        <v>0.0</v>
      </c>
      <c r="H234" s="41">
        <v>0.0</v>
      </c>
      <c r="I234" s="41">
        <v>0.0</v>
      </c>
      <c r="J234" s="41">
        <v>0.0</v>
      </c>
      <c r="K234" s="41">
        <v>0.0</v>
      </c>
      <c r="L234" s="41">
        <v>0.0</v>
      </c>
      <c r="M234" s="41">
        <v>0.0</v>
      </c>
      <c r="N234" s="41">
        <v>0.0</v>
      </c>
      <c r="O234" s="41">
        <v>0.0</v>
      </c>
      <c r="P234" s="41">
        <v>0.0</v>
      </c>
      <c r="Q234" s="41">
        <v>36.0</v>
      </c>
      <c r="R234" s="41">
        <v>12.0</v>
      </c>
      <c r="S234" s="41">
        <v>4.0</v>
      </c>
      <c r="T234" s="41">
        <v>20.0</v>
      </c>
      <c r="U234" s="41">
        <v>8.0</v>
      </c>
      <c r="V234" s="41">
        <v>32.0</v>
      </c>
      <c r="W234" s="41">
        <v>36.0</v>
      </c>
      <c r="X234" s="41">
        <v>17.0</v>
      </c>
      <c r="Y234" s="41">
        <v>8.0</v>
      </c>
      <c r="Z234" s="41">
        <v>28.0</v>
      </c>
      <c r="AA234" s="41">
        <v>8.0</v>
      </c>
      <c r="AB234" s="41">
        <v>24.0</v>
      </c>
      <c r="AC234" s="41">
        <v>24.0</v>
      </c>
      <c r="AD234" s="41">
        <v>8.0</v>
      </c>
      <c r="AE234" s="41">
        <v>12.0</v>
      </c>
      <c r="AF234" s="41">
        <v>4.0</v>
      </c>
      <c r="AG234" s="41">
        <v>16.0</v>
      </c>
      <c r="AH234" s="41">
        <v>12.0</v>
      </c>
      <c r="AI234" s="41">
        <v>16.0</v>
      </c>
      <c r="AJ234" s="41">
        <v>0.0</v>
      </c>
      <c r="AK234" s="41">
        <v>4.0</v>
      </c>
      <c r="AL234" s="41"/>
      <c r="AM234" s="43">
        <v>0.0</v>
      </c>
      <c r="AN234" s="43">
        <v>24.0</v>
      </c>
      <c r="AO234" s="43">
        <v>16.0</v>
      </c>
      <c r="AP234" s="43">
        <v>16.0</v>
      </c>
      <c r="AQ234" s="43">
        <v>8.0</v>
      </c>
      <c r="AR234" s="43">
        <v>4.0</v>
      </c>
      <c r="AS234" s="43">
        <v>0.0</v>
      </c>
      <c r="AT234" s="4">
        <f t="shared" si="4"/>
        <v>100.0</v>
      </c>
      <c r="AU234" s="4">
        <f t="shared" si="5"/>
        <v>32.0</v>
      </c>
      <c r="AV234" s="4">
        <f t="shared" si="6"/>
        <v>35.2</v>
      </c>
      <c r="AW234" s="1">
        <f t="shared" ref="AW234:AW239" si="899">AV234*$AW$4/$AV$4+4*$AW$240</f>
        <v>5.44761904761904</v>
      </c>
      <c r="AX234" s="1">
        <f t="shared" ref="AX234:AX239" si="900">AV234*$AX$4/$AV$4+4*$AX$240</f>
        <v>6.80952380952381</v>
      </c>
      <c r="AY234" s="1">
        <f t="shared" ref="AY234:AY239" si="901">AV234*$AY$4/$AV$4+4*$AY$240</f>
        <v>7.33333333333333</v>
      </c>
      <c r="AZ234" s="1">
        <f t="shared" ref="AZ234:AZ239" si="902">AV234*$AZ$4/$AV$4+4*$AZ$240</f>
        <v>10.161904761904</v>
      </c>
      <c r="BA234" s="1">
        <f t="shared" ref="BA234:BA239" si="903">AV234*$BA$4/$AV$4+4*$BA$240</f>
        <v>4.81904761904761</v>
      </c>
      <c r="BB234" s="1">
        <f t="shared" ref="BB234:BB239" si="904">AV234*$BB$4/$AV$4+4*$BB$240</f>
        <v>9.4285714285715</v>
      </c>
      <c r="BC234" s="4">
        <f t="shared" si="728"/>
        <v>43.9999999999992</v>
      </c>
      <c r="BD234" s="3">
        <f>VLOOKUP(D234,FEB23SOH,2,false)</f>
        <v>63.0</v>
      </c>
      <c r="BE234" s="44">
        <f>VLOOKUP(D234,UNITVALUE,4,false)</f>
        <v>5.6532</v>
      </c>
      <c r="BF234" s="44">
        <f t="shared" si="16"/>
        <v>356.1516</v>
      </c>
      <c r="BI234" s="6">
        <f t="shared" si="866"/>
        <v>19.0000000000008</v>
      </c>
      <c r="BJ234" s="1">
        <f>VLOOKUP(C234,MOQ,3,FALSE())</f>
        <v>1000.0</v>
      </c>
      <c r="BK234" s="53" t="s">
        <v>0</v>
      </c>
      <c r="BM234" s="1">
        <f t="shared" si="867"/>
        <v>63.0</v>
      </c>
      <c r="BN234" s="1">
        <f t="shared" si="868"/>
        <v>5.44761904761904</v>
      </c>
      <c r="BP234" s="45">
        <f t="shared" si="869"/>
        <v>57.552380952381</v>
      </c>
      <c r="BQ234" s="5">
        <f t="shared" si="870"/>
        <v>325.35512</v>
      </c>
      <c r="BR234" s="1">
        <f t="shared" si="871"/>
        <v>6.80952380952381</v>
      </c>
      <c r="BS234" s="1">
        <f t="shared" si="872"/>
      </c>
      <c r="BT234" s="45">
        <f t="shared" si="873"/>
        <v>50.7428571428571</v>
      </c>
      <c r="BU234" s="5">
        <f t="shared" si="883"/>
        <v>286.85952</v>
      </c>
      <c r="BV234" s="1">
        <f t="shared" si="874"/>
        <v>7.33333333333333</v>
      </c>
      <c r="BW234" s="1">
        <f t="shared" si="875"/>
      </c>
      <c r="BX234" s="45">
        <f t="shared" si="876"/>
        <v>43.4095238095238</v>
      </c>
      <c r="BY234" s="5">
        <f t="shared" si="888"/>
        <v>245.40272</v>
      </c>
      <c r="BZ234" s="1">
        <f t="shared" si="877"/>
        <v>10.161904761904</v>
      </c>
      <c r="CB234" s="45">
        <f t="shared" si="878"/>
        <v>33.2476190476198</v>
      </c>
      <c r="CC234" s="5">
        <f t="shared" si="889"/>
        <v>187.955440000004</v>
      </c>
      <c r="CD234" s="1">
        <f t="shared" si="879"/>
        <v>4.81904761904761</v>
      </c>
      <c r="CF234" s="45">
        <f t="shared" si="880"/>
        <v>28.4285714285721</v>
      </c>
      <c r="CG234" s="5">
        <f t="shared" si="890"/>
        <v>160.712400000003</v>
      </c>
      <c r="CH234" s="1">
        <f t="shared" si="881"/>
        <v>9.4285714285715</v>
      </c>
      <c r="CJ234" s="45">
        <f t="shared" si="882"/>
        <v>19.0000000000006</v>
      </c>
      <c r="CK234" s="5">
        <f t="shared" si="891"/>
        <v>107.410800000003</v>
      </c>
    </row>
    <row r="235" ht="17.0">
      <c r="A235" s="41" t="s">
        <v>30</v>
      </c>
      <c r="B235" s="10" t="s">
        <v>502</v>
      </c>
      <c r="C235" s="41" t="s">
        <v>507</v>
      </c>
      <c r="D235" s="55" t="s">
        <v>508</v>
      </c>
      <c r="E235" s="41">
        <v>0.0</v>
      </c>
      <c r="F235" s="41">
        <v>0.0</v>
      </c>
      <c r="G235" s="41">
        <v>0.0</v>
      </c>
      <c r="H235" s="41">
        <v>0.0</v>
      </c>
      <c r="I235" s="41">
        <v>0.0</v>
      </c>
      <c r="J235" s="41">
        <v>0.0</v>
      </c>
      <c r="K235" s="41">
        <v>0.0</v>
      </c>
      <c r="L235" s="41">
        <v>0.0</v>
      </c>
      <c r="M235" s="41">
        <v>0.0</v>
      </c>
      <c r="N235" s="41">
        <v>0.0</v>
      </c>
      <c r="O235" s="41">
        <v>0.0</v>
      </c>
      <c r="P235" s="41">
        <v>0.0</v>
      </c>
      <c r="Q235" s="41">
        <v>128.0</v>
      </c>
      <c r="R235" s="41">
        <v>48.0</v>
      </c>
      <c r="S235" s="41">
        <v>16.0</v>
      </c>
      <c r="T235" s="41">
        <v>20.0</v>
      </c>
      <c r="U235" s="41">
        <v>28.0</v>
      </c>
      <c r="V235" s="41">
        <v>52.0</v>
      </c>
      <c r="W235" s="41">
        <v>68.0</v>
      </c>
      <c r="X235" s="41">
        <v>24.0</v>
      </c>
      <c r="Y235" s="41">
        <v>16.0</v>
      </c>
      <c r="Z235" s="41">
        <v>24.0</v>
      </c>
      <c r="AA235" s="41">
        <v>40.0</v>
      </c>
      <c r="AB235" s="41">
        <v>40.0</v>
      </c>
      <c r="AC235" s="41">
        <v>56.0</v>
      </c>
      <c r="AD235" s="41">
        <v>48.0</v>
      </c>
      <c r="AE235" s="41">
        <v>24.0</v>
      </c>
      <c r="AF235" s="41">
        <v>21.0</v>
      </c>
      <c r="AG235" s="41">
        <v>56.0</v>
      </c>
      <c r="AH235" s="41">
        <v>28.0</v>
      </c>
      <c r="AI235" s="41">
        <v>24.0</v>
      </c>
      <c r="AJ235" s="41">
        <v>12.0</v>
      </c>
      <c r="AK235" s="41">
        <v>16.0</v>
      </c>
      <c r="AL235" s="43">
        <v>0.0</v>
      </c>
      <c r="AM235" s="43">
        <v>8.0</v>
      </c>
      <c r="AN235" s="43">
        <v>28.0</v>
      </c>
      <c r="AO235" s="43">
        <v>48.0</v>
      </c>
      <c r="AP235" s="43">
        <v>36.0</v>
      </c>
      <c r="AQ235" s="43">
        <v>16.0</v>
      </c>
      <c r="AR235" s="43">
        <v>16.0</v>
      </c>
      <c r="AS235" s="43">
        <v>5.0</v>
      </c>
      <c r="AT235" s="4">
        <f t="shared" si="4"/>
        <v>237.0</v>
      </c>
      <c r="AU235" s="4">
        <f t="shared" si="5"/>
        <v>88.0</v>
      </c>
      <c r="AV235" s="4">
        <f t="shared" si="6"/>
        <v>96.8</v>
      </c>
      <c r="AW235" s="1">
        <f t="shared" si="899"/>
        <v>12.3809523809522</v>
      </c>
      <c r="AX235" s="1">
        <f t="shared" si="900"/>
        <v>15.4761904761904</v>
      </c>
      <c r="AY235" s="1">
        <f t="shared" si="901"/>
        <v>16.6666666666667</v>
      </c>
      <c r="AZ235" s="1">
        <f t="shared" si="902"/>
        <v>23.095238095238</v>
      </c>
      <c r="BA235" s="1">
        <f t="shared" si="903"/>
        <v>10.9523809523809</v>
      </c>
      <c r="BB235" s="1">
        <f t="shared" si="904"/>
        <v>21.4285714285715</v>
      </c>
      <c r="BC235" s="4">
        <f t="shared" si="728"/>
        <v>99.9999999999997</v>
      </c>
      <c r="BD235" s="3">
        <f>VLOOKUP(D235,FEB23SOH,2,false)</f>
        <v>15.0</v>
      </c>
      <c r="BE235" s="44">
        <f>VLOOKUP(D235,UNITVALUE,4,false)</f>
        <v>5.188</v>
      </c>
      <c r="BF235" s="44">
        <f t="shared" si="16"/>
        <v>77.82</v>
      </c>
      <c r="BI235" s="6">
        <f t="shared" si="866"/>
        <v>-84.9999999999997</v>
      </c>
      <c r="BJ235" s="1">
        <f>VLOOKUP(C235,MOQ,3,FALSE())</f>
        <v>500.0</v>
      </c>
      <c r="BK235" s="72" t="s">
        <v>509</v>
      </c>
      <c r="BL235" s="8" t="s">
        <v>6</v>
      </c>
      <c r="BM235" s="1">
        <f t="shared" si="867"/>
        <v>15.0</v>
      </c>
      <c r="BN235" s="1">
        <f t="shared" si="868"/>
        <v>12.3809523809522</v>
      </c>
      <c r="BP235" s="45">
        <f t="shared" si="869"/>
        <v>2.6190476190478</v>
      </c>
      <c r="BQ235" s="5">
        <f t="shared" si="870"/>
        <v>13.58761904762</v>
      </c>
      <c r="BR235" s="1">
        <f t="shared" si="871"/>
        <v>15.4761904761904</v>
      </c>
      <c r="BS235" s="1">
        <f t="shared" si="872"/>
      </c>
      <c r="BT235" s="45">
        <f t="shared" si="873"/>
        <v>-12.8571428571426</v>
      </c>
      <c r="BU235" s="5">
        <f t="shared" si="883"/>
        <v>-66.7028571428558</v>
      </c>
      <c r="BV235" s="1">
        <f t="shared" si="874"/>
        <v>16.6666666666667</v>
      </c>
      <c r="BW235" s="1">
        <f t="shared" si="875"/>
      </c>
      <c r="BX235" s="45">
        <f t="shared" si="876"/>
        <v>-29.5238095238092</v>
      </c>
      <c r="BY235" s="5">
        <f t="shared" si="888"/>
        <v>-153.169523809522</v>
      </c>
      <c r="BZ235" s="1">
        <f t="shared" si="877"/>
        <v>23.095238095238</v>
      </c>
      <c r="CB235" s="45">
        <f t="shared" si="878"/>
        <v>-52.6190476190471</v>
      </c>
      <c r="CC235" s="5">
        <f t="shared" si="889"/>
        <v>-272.987619047616</v>
      </c>
      <c r="CD235" s="1">
        <f t="shared" si="879"/>
        <v>10.9523809523809</v>
      </c>
      <c r="CF235" s="45">
        <f t="shared" si="880"/>
        <v>-63.571428571428</v>
      </c>
      <c r="CG235" s="5">
        <f t="shared" si="890"/>
        <v>-329.808571428568</v>
      </c>
      <c r="CH235" s="1">
        <f t="shared" si="881"/>
        <v>21.4285714285715</v>
      </c>
      <c r="CJ235" s="45">
        <f t="shared" si="882"/>
        <v>-84.9999999999995</v>
      </c>
      <c r="CK235" s="5">
        <f t="shared" si="891"/>
        <v>-440.979999999997</v>
      </c>
    </row>
    <row r="236" ht="17.0">
      <c r="A236" s="41" t="s">
        <v>30</v>
      </c>
      <c r="B236" s="10" t="s">
        <v>502</v>
      </c>
      <c r="C236" s="41" t="s">
        <v>510</v>
      </c>
      <c r="D236" s="55" t="s">
        <v>511</v>
      </c>
      <c r="E236" s="41">
        <v>0.0</v>
      </c>
      <c r="F236" s="41">
        <v>0.0</v>
      </c>
      <c r="G236" s="41">
        <v>0.0</v>
      </c>
      <c r="H236" s="41">
        <v>0.0</v>
      </c>
      <c r="I236" s="41">
        <v>0.0</v>
      </c>
      <c r="J236" s="41">
        <v>0.0</v>
      </c>
      <c r="K236" s="41">
        <v>0.0</v>
      </c>
      <c r="L236" s="41">
        <v>0.0</v>
      </c>
      <c r="M236" s="41">
        <v>0.0</v>
      </c>
      <c r="N236" s="41">
        <v>0.0</v>
      </c>
      <c r="O236" s="41">
        <v>0.0</v>
      </c>
      <c r="P236" s="41">
        <v>0.0</v>
      </c>
      <c r="Q236" s="41">
        <v>52.0</v>
      </c>
      <c r="R236" s="41">
        <v>28.0</v>
      </c>
      <c r="S236" s="41">
        <v>12.0</v>
      </c>
      <c r="T236" s="41">
        <v>16.0</v>
      </c>
      <c r="U236" s="41">
        <v>4.0</v>
      </c>
      <c r="V236" s="41">
        <v>8.0</v>
      </c>
      <c r="W236" s="41">
        <v>24.0</v>
      </c>
      <c r="X236" s="41">
        <v>17.0</v>
      </c>
      <c r="Y236" s="41">
        <v>8.0</v>
      </c>
      <c r="Z236" s="41">
        <v>12.0</v>
      </c>
      <c r="AA236" s="41">
        <v>4.0</v>
      </c>
      <c r="AB236" s="41">
        <v>20.0</v>
      </c>
      <c r="AC236" s="41">
        <v>16.0</v>
      </c>
      <c r="AD236" s="41">
        <v>12.0</v>
      </c>
      <c r="AE236" s="41">
        <v>4.0</v>
      </c>
      <c r="AF236" s="41">
        <v>4.0</v>
      </c>
      <c r="AG236" s="41">
        <v>0.0</v>
      </c>
      <c r="AH236" s="41">
        <v>8.0</v>
      </c>
      <c r="AI236" s="41">
        <v>12.0</v>
      </c>
      <c r="AJ236" s="41">
        <v>0.0</v>
      </c>
      <c r="AK236" s="41">
        <v>8.0</v>
      </c>
      <c r="AL236" s="43">
        <v>0.0</v>
      </c>
      <c r="AM236" s="43">
        <v>4.0</v>
      </c>
      <c r="AN236" s="43">
        <v>12.0</v>
      </c>
      <c r="AO236" s="43">
        <v>12.0</v>
      </c>
      <c r="AP236" s="43">
        <v>16.0</v>
      </c>
      <c r="AQ236" s="43">
        <v>8.0</v>
      </c>
      <c r="AR236" s="43">
        <v>12.0</v>
      </c>
      <c r="AS236" s="43">
        <v>5.0</v>
      </c>
      <c r="AT236" s="4">
        <f t="shared" si="4"/>
        <v>97.0</v>
      </c>
      <c r="AU236" s="4">
        <f t="shared" si="5"/>
        <v>32.0</v>
      </c>
      <c r="AV236" s="4">
        <f t="shared" si="6"/>
        <v>35.2</v>
      </c>
      <c r="AW236" s="1">
        <f t="shared" si="899"/>
        <v>5.44761904761904</v>
      </c>
      <c r="AX236" s="1">
        <f t="shared" si="900"/>
        <v>6.80952380952381</v>
      </c>
      <c r="AY236" s="1">
        <f t="shared" si="901"/>
        <v>7.33333333333333</v>
      </c>
      <c r="AZ236" s="1">
        <f t="shared" si="902"/>
        <v>10.161904761904</v>
      </c>
      <c r="BA236" s="1">
        <f t="shared" si="903"/>
        <v>4.81904761904761</v>
      </c>
      <c r="BB236" s="1">
        <f t="shared" si="904"/>
        <v>9.4285714285715</v>
      </c>
      <c r="BC236" s="4">
        <f t="shared" si="728"/>
        <v>43.9999999999992</v>
      </c>
      <c r="BD236" s="3">
        <f>VLOOKUP(D236,FEB23SOH,2,false)</f>
        <v>123.0</v>
      </c>
      <c r="BE236" s="44">
        <f>VLOOKUP(D236,UNITVALUE,4,false)</f>
        <v>5.6528</v>
      </c>
      <c r="BF236" s="44">
        <f t="shared" si="16"/>
        <v>695.2944</v>
      </c>
      <c r="BI236" s="6">
        <f t="shared" si="866"/>
        <v>79.0000000000008</v>
      </c>
      <c r="BJ236" s="1">
        <f>VLOOKUP(C236,MOQ,3,FALSE())</f>
        <v>500.0</v>
      </c>
      <c r="BK236" s="53" t="s">
        <v>0</v>
      </c>
      <c r="BM236" s="1">
        <f t="shared" si="867"/>
        <v>123.0</v>
      </c>
      <c r="BN236" s="1">
        <f t="shared" si="868"/>
        <v>5.44761904761904</v>
      </c>
      <c r="BP236" s="45">
        <f t="shared" si="869"/>
        <v>117.55238095238</v>
      </c>
      <c r="BQ236" s="5">
        <f t="shared" si="870"/>
        <v>664.500099047613</v>
      </c>
      <c r="BR236" s="1">
        <f t="shared" si="871"/>
        <v>6.80952380952381</v>
      </c>
      <c r="BS236" s="1">
        <f t="shared" si="872"/>
      </c>
      <c r="BT236" s="45">
        <f t="shared" si="873"/>
        <v>110.742857142856</v>
      </c>
      <c r="BU236" s="5">
        <f t="shared" si="883"/>
        <v>626.007222857136</v>
      </c>
      <c r="BV236" s="1">
        <f t="shared" si="874"/>
        <v>7.33333333333333</v>
      </c>
      <c r="BW236" s="1">
        <f t="shared" si="875"/>
      </c>
      <c r="BX236" s="45">
        <f t="shared" si="876"/>
        <v>103.409523809522</v>
      </c>
      <c r="BY236" s="5">
        <f t="shared" si="888"/>
        <v>584.553356190466</v>
      </c>
      <c r="BZ236" s="1">
        <f t="shared" si="877"/>
        <v>10.161904761904</v>
      </c>
      <c r="CB236" s="45">
        <f t="shared" si="878"/>
        <v>93.247619047618</v>
      </c>
      <c r="CC236" s="5">
        <f t="shared" si="889"/>
        <v>527.110140952375</v>
      </c>
      <c r="CD236" s="1">
        <f t="shared" si="879"/>
        <v>4.81904761904761</v>
      </c>
      <c r="CF236" s="45">
        <f t="shared" si="880"/>
        <v>88.4285714285704</v>
      </c>
      <c r="CG236" s="5">
        <f t="shared" si="890"/>
        <v>499.869028571422</v>
      </c>
      <c r="CH236" s="1">
        <f t="shared" si="881"/>
        <v>9.4285714285715</v>
      </c>
      <c r="CJ236" s="45">
        <f t="shared" si="882"/>
        <v>78.9999999999989</v>
      </c>
      <c r="CK236" s="5">
        <f t="shared" si="891"/>
        <v>446.571199999993</v>
      </c>
    </row>
    <row r="237" ht="17.0">
      <c r="A237" s="41" t="s">
        <v>30</v>
      </c>
      <c r="B237" s="10" t="s">
        <v>502</v>
      </c>
      <c r="C237" s="41" t="s">
        <v>512</v>
      </c>
      <c r="D237" s="55" t="s">
        <v>513</v>
      </c>
      <c r="E237" s="41">
        <v>0.0</v>
      </c>
      <c r="F237" s="41">
        <v>0.0</v>
      </c>
      <c r="G237" s="41">
        <v>0.0</v>
      </c>
      <c r="H237" s="41">
        <v>0.0</v>
      </c>
      <c r="I237" s="41">
        <v>0.0</v>
      </c>
      <c r="J237" s="41">
        <v>0.0</v>
      </c>
      <c r="K237" s="41">
        <v>0.0</v>
      </c>
      <c r="L237" s="41">
        <v>0.0</v>
      </c>
      <c r="M237" s="41">
        <v>0.0</v>
      </c>
      <c r="N237" s="41">
        <v>0.0</v>
      </c>
      <c r="O237" s="41">
        <v>0.0</v>
      </c>
      <c r="P237" s="41">
        <v>0.0</v>
      </c>
      <c r="Q237" s="41">
        <v>52.0</v>
      </c>
      <c r="R237" s="41">
        <v>21.0</v>
      </c>
      <c r="S237" s="41">
        <v>12.0</v>
      </c>
      <c r="T237" s="41">
        <v>16.0</v>
      </c>
      <c r="U237" s="41">
        <v>12.0</v>
      </c>
      <c r="V237" s="41">
        <v>12.0</v>
      </c>
      <c r="W237" s="41">
        <v>20.0</v>
      </c>
      <c r="X237" s="41">
        <v>8.0</v>
      </c>
      <c r="Y237" s="41">
        <v>4.0</v>
      </c>
      <c r="Z237" s="41">
        <v>4.0</v>
      </c>
      <c r="AA237" s="41">
        <v>4.0</v>
      </c>
      <c r="AB237" s="41">
        <v>8.0</v>
      </c>
      <c r="AC237" s="41">
        <v>8.0</v>
      </c>
      <c r="AD237" s="41">
        <v>12.0</v>
      </c>
      <c r="AE237" s="41">
        <v>8.0</v>
      </c>
      <c r="AF237" s="41">
        <v>0.0</v>
      </c>
      <c r="AG237" s="41">
        <v>4.0</v>
      </c>
      <c r="AH237" s="41">
        <v>8.0</v>
      </c>
      <c r="AI237" s="41">
        <v>0.0</v>
      </c>
      <c r="AJ237" s="41">
        <v>8.0</v>
      </c>
      <c r="AK237" s="41">
        <v>0.0</v>
      </c>
      <c r="AL237" s="43">
        <v>0.0</v>
      </c>
      <c r="AM237" s="43">
        <v>4.0</v>
      </c>
      <c r="AN237" s="43">
        <v>8.0</v>
      </c>
      <c r="AO237" s="43">
        <v>24.0</v>
      </c>
      <c r="AP237" s="43">
        <v>24.0</v>
      </c>
      <c r="AQ237" s="43">
        <v>8.0</v>
      </c>
      <c r="AR237" s="43">
        <v>4.0</v>
      </c>
      <c r="AS237" s="43">
        <v>5.0</v>
      </c>
      <c r="AT237" s="4">
        <f t="shared" si="4"/>
        <v>93.0</v>
      </c>
      <c r="AU237" s="4">
        <f t="shared" si="5"/>
        <v>20.0</v>
      </c>
      <c r="AV237" s="4">
        <f t="shared" si="6"/>
        <v>22.0</v>
      </c>
      <c r="AW237" s="1">
        <f t="shared" si="899"/>
        <v>3.96190476190468</v>
      </c>
      <c r="AX237" s="1">
        <f t="shared" si="900"/>
        <v>4.95238095238096</v>
      </c>
      <c r="AY237" s="1">
        <f t="shared" si="901"/>
        <v>5.33333333333333</v>
      </c>
      <c r="AZ237" s="1">
        <f t="shared" si="902"/>
        <v>7.39047619047618</v>
      </c>
      <c r="BA237" s="1">
        <f t="shared" si="903"/>
        <v>3.5047619047619</v>
      </c>
      <c r="BB237" s="1">
        <f t="shared" si="904"/>
        <v>6.85714285714289</v>
      </c>
      <c r="BC237" s="4">
        <f t="shared" si="728"/>
        <v>31.9999999999999</v>
      </c>
      <c r="BD237" s="3">
        <f>VLOOKUP(D237,FEB23SOH,2,false)</f>
        <v>163.0</v>
      </c>
      <c r="BE237" s="44">
        <f>VLOOKUP(D237,UNITVALUE,4,false)</f>
        <v>5.6528</v>
      </c>
      <c r="BF237" s="44">
        <f t="shared" si="16"/>
        <v>921.4064</v>
      </c>
      <c r="BI237" s="6">
        <f t="shared" si="866"/>
        <v>131.0</v>
      </c>
      <c r="BJ237" s="1">
        <f>VLOOKUP(C237,MOQ,3,FALSE())</f>
        <v>500.0</v>
      </c>
      <c r="BK237" s="53" t="s">
        <v>0</v>
      </c>
      <c r="BM237" s="1">
        <f t="shared" si="867"/>
        <v>163.0</v>
      </c>
      <c r="BN237" s="1">
        <f t="shared" si="868"/>
        <v>3.96190476190468</v>
      </c>
      <c r="BP237" s="45">
        <f t="shared" si="869"/>
        <v>159.038095238095</v>
      </c>
      <c r="BQ237" s="5">
        <f t="shared" si="870"/>
        <v>899.010544761903</v>
      </c>
      <c r="BR237" s="1">
        <f t="shared" si="871"/>
        <v>4.95238095238096</v>
      </c>
      <c r="BS237" s="1">
        <f t="shared" si="872"/>
      </c>
      <c r="BT237" s="45">
        <f t="shared" si="873"/>
        <v>154.085714285714</v>
      </c>
      <c r="BU237" s="5">
        <f t="shared" si="883"/>
        <v>871.015725714284</v>
      </c>
      <c r="BV237" s="1">
        <f t="shared" si="874"/>
        <v>5.33333333333333</v>
      </c>
      <c r="BW237" s="1">
        <f t="shared" si="875"/>
      </c>
      <c r="BX237" s="45">
        <f t="shared" si="876"/>
        <v>148.75238095238</v>
      </c>
      <c r="BY237" s="5">
        <f t="shared" si="888"/>
        <v>840.867459047613</v>
      </c>
      <c r="BZ237" s="1">
        <f t="shared" si="877"/>
        <v>7.39047619047618</v>
      </c>
      <c r="CB237" s="45">
        <f t="shared" si="878"/>
        <v>141.361904761903</v>
      </c>
      <c r="CC237" s="5">
        <f t="shared" si="889"/>
        <v>799.090575238085</v>
      </c>
      <c r="CD237" s="1">
        <f t="shared" si="879"/>
        <v>3.5047619047619</v>
      </c>
      <c r="CF237" s="45">
        <f t="shared" si="880"/>
        <v>137.857142857141</v>
      </c>
      <c r="CG237" s="5">
        <f t="shared" si="890"/>
        <v>779.27885714284</v>
      </c>
      <c r="CH237" s="1">
        <f t="shared" si="881"/>
        <v>6.85714285714289</v>
      </c>
      <c r="CJ237" s="45">
        <f t="shared" si="882"/>
        <v>130.999999999998</v>
      </c>
      <c r="CK237" s="5">
        <f t="shared" si="891"/>
        <v>740.51679999999</v>
      </c>
    </row>
    <row r="238" ht="17.0">
      <c r="A238" s="41" t="s">
        <v>30</v>
      </c>
      <c r="B238" s="10" t="s">
        <v>502</v>
      </c>
      <c r="C238" s="41" t="s">
        <v>514</v>
      </c>
      <c r="D238" s="55" t="s">
        <v>515</v>
      </c>
      <c r="E238" s="41">
        <v>0.0</v>
      </c>
      <c r="F238" s="41">
        <v>0.0</v>
      </c>
      <c r="G238" s="41">
        <v>0.0</v>
      </c>
      <c r="H238" s="41">
        <v>0.0</v>
      </c>
      <c r="I238" s="41">
        <v>0.0</v>
      </c>
      <c r="J238" s="41">
        <v>0.0</v>
      </c>
      <c r="K238" s="41">
        <v>0.0</v>
      </c>
      <c r="L238" s="41">
        <v>0.0</v>
      </c>
      <c r="M238" s="41">
        <v>0.0</v>
      </c>
      <c r="N238" s="41">
        <v>0.0</v>
      </c>
      <c r="O238" s="41">
        <v>0.0</v>
      </c>
      <c r="P238" s="41">
        <v>0.0</v>
      </c>
      <c r="Q238" s="41">
        <v>48.0</v>
      </c>
      <c r="R238" s="41">
        <v>40.0</v>
      </c>
      <c r="S238" s="41">
        <v>4.0</v>
      </c>
      <c r="T238" s="41">
        <v>12.0</v>
      </c>
      <c r="U238" s="41">
        <v>8.0</v>
      </c>
      <c r="V238" s="41">
        <v>0.0</v>
      </c>
      <c r="W238" s="41">
        <v>24.0</v>
      </c>
      <c r="X238" s="41">
        <v>8.0</v>
      </c>
      <c r="Y238" s="41">
        <v>0.0</v>
      </c>
      <c r="Z238" s="41">
        <v>4.0</v>
      </c>
      <c r="AA238" s="41">
        <v>0.0</v>
      </c>
      <c r="AB238" s="41">
        <v>0.0</v>
      </c>
      <c r="AC238" s="41">
        <v>4.0</v>
      </c>
      <c r="AD238" s="41">
        <v>8.0</v>
      </c>
      <c r="AE238" s="41">
        <v>0.0</v>
      </c>
      <c r="AF238" s="41">
        <v>0.0</v>
      </c>
      <c r="AG238" s="41">
        <v>0.0</v>
      </c>
      <c r="AH238" s="41">
        <v>0.0</v>
      </c>
      <c r="AI238" s="41">
        <v>0.0</v>
      </c>
      <c r="AJ238" s="41">
        <v>4.0</v>
      </c>
      <c r="AK238" s="41">
        <v>0.0</v>
      </c>
      <c r="AL238" s="43">
        <v>0.0</v>
      </c>
      <c r="AM238" s="43">
        <v>0.0</v>
      </c>
      <c r="AN238" s="43">
        <v>4.0</v>
      </c>
      <c r="AO238" s="43">
        <v>4.0</v>
      </c>
      <c r="AP238" s="43">
        <v>20.0</v>
      </c>
      <c r="AQ238" s="43">
        <v>0.0</v>
      </c>
      <c r="AR238" s="43">
        <v>4.0</v>
      </c>
      <c r="AS238" s="43">
        <v>5.0</v>
      </c>
      <c r="AT238" s="4">
        <f t="shared" si="4"/>
        <v>41.0</v>
      </c>
      <c r="AU238" s="4">
        <f t="shared" si="5"/>
        <v>4.0</v>
      </c>
      <c r="AV238" s="4">
        <f t="shared" si="6"/>
        <v>4.4</v>
      </c>
      <c r="AW238" s="1">
        <f t="shared" si="899"/>
        <v>1.98095238095238</v>
      </c>
      <c r="AX238" s="1">
        <f t="shared" si="900"/>
        <v>2.4761904761904</v>
      </c>
      <c r="AY238" s="1">
        <f t="shared" si="901"/>
        <v>2.66666666666667</v>
      </c>
      <c r="AZ238" s="1">
        <f t="shared" si="902"/>
        <v>3.69523809523809</v>
      </c>
      <c r="BA238" s="1">
        <f t="shared" si="903"/>
        <v>1.75238095238094</v>
      </c>
      <c r="BB238" s="1">
        <f t="shared" si="904"/>
        <v>3.4285714285714</v>
      </c>
      <c r="BC238" s="4">
        <f t="shared" si="728"/>
        <v>16.0</v>
      </c>
      <c r="BD238" s="3">
        <f>VLOOKUP(D238,FEB23SOH,2,false)</f>
        <v>256.0</v>
      </c>
      <c r="BE238" s="44">
        <f>VLOOKUP(D238,UNITVALUE,4,false)</f>
        <v>5.6527</v>
      </c>
      <c r="BF238" s="44">
        <f t="shared" si="16"/>
        <v>1447.0912</v>
      </c>
      <c r="BI238" s="6">
        <f t="shared" si="866"/>
        <v>240.0</v>
      </c>
      <c r="BJ238" s="1">
        <f>VLOOKUP(C238,MOQ,3,FALSE())</f>
        <v>500.0</v>
      </c>
      <c r="BK238" s="53" t="s">
        <v>0</v>
      </c>
      <c r="BM238" s="1">
        <f t="shared" si="867"/>
        <v>256.0</v>
      </c>
      <c r="BN238" s="1">
        <f t="shared" si="868"/>
        <v>1.98095238095238</v>
      </c>
      <c r="BP238" s="45">
        <f t="shared" si="869"/>
        <v>254.019047619048</v>
      </c>
      <c r="BQ238" s="5">
        <f t="shared" si="870"/>
        <v>1435.89347047619</v>
      </c>
      <c r="BR238" s="1">
        <f t="shared" si="871"/>
        <v>2.4761904761904</v>
      </c>
      <c r="BS238" s="1">
        <f t="shared" si="872"/>
      </c>
      <c r="BT238" s="45">
        <f t="shared" si="873"/>
        <v>251.542857142858</v>
      </c>
      <c r="BU238" s="5">
        <f t="shared" si="883"/>
        <v>1421.89630857143</v>
      </c>
      <c r="BV238" s="1">
        <f t="shared" si="874"/>
        <v>2.66666666666667</v>
      </c>
      <c r="BW238" s="1">
        <f t="shared" si="875"/>
      </c>
      <c r="BX238" s="45">
        <f t="shared" si="876"/>
        <v>248.876190476191</v>
      </c>
      <c r="BY238" s="5">
        <f t="shared" si="888"/>
        <v>1406.82244190477</v>
      </c>
      <c r="BZ238" s="1">
        <f t="shared" si="877"/>
        <v>3.69523809523809</v>
      </c>
      <c r="CB238" s="45">
        <f t="shared" si="878"/>
        <v>245.180952380952</v>
      </c>
      <c r="CC238" s="5">
        <f t="shared" si="889"/>
        <v>1385.9343695238</v>
      </c>
      <c r="CD238" s="1">
        <f t="shared" si="879"/>
        <v>1.75238095238094</v>
      </c>
      <c r="CF238" s="45">
        <f t="shared" si="880"/>
        <v>243.428571428571</v>
      </c>
      <c r="CG238" s="5">
        <f t="shared" si="890"/>
        <v>1376.02868571428</v>
      </c>
      <c r="CH238" s="1">
        <f t="shared" si="881"/>
        <v>3.4285714285714</v>
      </c>
      <c r="CJ238" s="45">
        <f t="shared" si="882"/>
        <v>240.0</v>
      </c>
      <c r="CK238" s="5">
        <f t="shared" si="891"/>
        <v>1356.648</v>
      </c>
    </row>
    <row r="239" ht="17.0">
      <c r="A239" s="41" t="s">
        <v>30</v>
      </c>
      <c r="B239" s="10" t="s">
        <v>502</v>
      </c>
      <c r="C239" s="41" t="s">
        <v>516</v>
      </c>
      <c r="D239" s="55" t="s">
        <v>517</v>
      </c>
      <c r="E239" s="41">
        <v>0.0</v>
      </c>
      <c r="F239" s="41">
        <v>0.0</v>
      </c>
      <c r="G239" s="41">
        <v>0.0</v>
      </c>
      <c r="H239" s="41">
        <v>0.0</v>
      </c>
      <c r="I239" s="41">
        <v>0.0</v>
      </c>
      <c r="J239" s="41">
        <v>0.0</v>
      </c>
      <c r="K239" s="41">
        <v>0.0</v>
      </c>
      <c r="L239" s="41">
        <v>0.0</v>
      </c>
      <c r="M239" s="41">
        <v>0.0</v>
      </c>
      <c r="N239" s="41">
        <v>0.0</v>
      </c>
      <c r="O239" s="41">
        <v>0.0</v>
      </c>
      <c r="P239" s="41">
        <v>0.0</v>
      </c>
      <c r="Q239" s="41">
        <v>40.0</v>
      </c>
      <c r="R239" s="41">
        <v>52.0</v>
      </c>
      <c r="S239" s="41">
        <v>8.0</v>
      </c>
      <c r="T239" s="41">
        <v>8.0</v>
      </c>
      <c r="U239" s="41">
        <v>20.0</v>
      </c>
      <c r="V239" s="41">
        <v>32.0</v>
      </c>
      <c r="W239" s="41">
        <v>44.0</v>
      </c>
      <c r="X239" s="41">
        <v>12.0</v>
      </c>
      <c r="Y239" s="41">
        <v>8.0</v>
      </c>
      <c r="Z239" s="41">
        <v>14.0</v>
      </c>
      <c r="AA239" s="41">
        <v>4.0</v>
      </c>
      <c r="AB239" s="41">
        <v>8.0</v>
      </c>
      <c r="AC239" s="41">
        <v>20.0</v>
      </c>
      <c r="AD239" s="41">
        <v>16.0</v>
      </c>
      <c r="AE239" s="41">
        <v>12.0</v>
      </c>
      <c r="AF239" s="41">
        <v>4.0</v>
      </c>
      <c r="AG239" s="41">
        <v>12.0</v>
      </c>
      <c r="AH239" s="41">
        <v>8.0</v>
      </c>
      <c r="AI239" s="41">
        <v>4.0</v>
      </c>
      <c r="AJ239" s="41">
        <v>8.0</v>
      </c>
      <c r="AK239" s="41">
        <v>0.0</v>
      </c>
      <c r="AL239" s="43">
        <v>0.0</v>
      </c>
      <c r="AM239" s="43">
        <v>0.0</v>
      </c>
      <c r="AN239" s="43">
        <v>8.0</v>
      </c>
      <c r="AO239" s="43">
        <v>28.0</v>
      </c>
      <c r="AP239" s="43">
        <v>16.0</v>
      </c>
      <c r="AQ239" s="43">
        <v>0.0</v>
      </c>
      <c r="AR239" s="43">
        <v>4.0</v>
      </c>
      <c r="AS239" s="43">
        <v>0.0</v>
      </c>
      <c r="AT239" s="4">
        <f t="shared" si="4"/>
        <v>76.0</v>
      </c>
      <c r="AU239" s="4">
        <f t="shared" si="5"/>
        <v>20.0</v>
      </c>
      <c r="AV239" s="4">
        <f t="shared" si="6"/>
        <v>22.0</v>
      </c>
      <c r="AW239" s="1">
        <f t="shared" si="899"/>
        <v>3.96190476190468</v>
      </c>
      <c r="AX239" s="1">
        <f t="shared" si="900"/>
        <v>4.95238095238096</v>
      </c>
      <c r="AY239" s="1">
        <f t="shared" si="901"/>
        <v>5.33333333333333</v>
      </c>
      <c r="AZ239" s="1">
        <f t="shared" si="902"/>
        <v>7.39047619047618</v>
      </c>
      <c r="BA239" s="1">
        <f t="shared" si="903"/>
        <v>3.5047619047619</v>
      </c>
      <c r="BB239" s="1">
        <f t="shared" si="904"/>
        <v>6.85714285714289</v>
      </c>
      <c r="BC239" s="4">
        <f t="shared" si="728"/>
        <v>31.9999999999999</v>
      </c>
      <c r="BD239" s="3">
        <f>VLOOKUP(D239,FEB23SOH,2,false)</f>
        <v>70.0</v>
      </c>
      <c r="BE239" s="44">
        <f>VLOOKUP(D239,UNITVALUE,4,false)</f>
        <v>5.6533</v>
      </c>
      <c r="BF239" s="44">
        <f t="shared" si="16"/>
        <v>395.731</v>
      </c>
      <c r="BI239" s="6">
        <f t="shared" si="866"/>
        <v>38.0000000000001</v>
      </c>
      <c r="BJ239" s="1">
        <f>VLOOKUP(C239,MOQ,3,FALSE())</f>
        <v>500.0</v>
      </c>
      <c r="BK239" s="53" t="s">
        <v>0</v>
      </c>
      <c r="BM239" s="1">
        <f t="shared" si="867"/>
        <v>70.0</v>
      </c>
      <c r="BN239" s="1">
        <f t="shared" si="868"/>
        <v>3.96190476190468</v>
      </c>
      <c r="BP239" s="45">
        <f t="shared" si="869"/>
        <v>66.0380952380953</v>
      </c>
      <c r="BQ239" s="5">
        <f t="shared" si="870"/>
        <v>373.333163809524</v>
      </c>
      <c r="BR239" s="1">
        <f t="shared" si="871"/>
        <v>4.95238095238096</v>
      </c>
      <c r="BS239" s="1">
        <f t="shared" si="872"/>
      </c>
      <c r="BT239" s="45">
        <f t="shared" si="873"/>
        <v>61.0857142857143</v>
      </c>
      <c r="BU239" s="5">
        <f t="shared" si="883"/>
        <v>345.33586857142</v>
      </c>
      <c r="BV239" s="1">
        <f t="shared" si="874"/>
        <v>5.33333333333333</v>
      </c>
      <c r="BW239" s="1">
        <f t="shared" si="875"/>
      </c>
      <c r="BX239" s="45">
        <f t="shared" si="876"/>
        <v>55.752380952381</v>
      </c>
      <c r="BY239" s="5">
        <f t="shared" si="888"/>
        <v>315.1849352381</v>
      </c>
      <c r="BZ239" s="1">
        <f t="shared" si="877"/>
        <v>7.39047619047618</v>
      </c>
      <c r="CB239" s="45">
        <f t="shared" si="878"/>
        <v>48.3619047619048</v>
      </c>
      <c r="CC239" s="5">
        <f t="shared" si="889"/>
        <v>273.404356190476</v>
      </c>
      <c r="CD239" s="1">
        <f t="shared" si="879"/>
        <v>3.5047619047619</v>
      </c>
      <c r="CF239" s="45">
        <f t="shared" si="880"/>
        <v>44.8571428571429</v>
      </c>
      <c r="CG239" s="5">
        <f t="shared" si="890"/>
        <v>253.590885714286</v>
      </c>
      <c r="CH239" s="1">
        <f t="shared" si="881"/>
        <v>6.85714285714289</v>
      </c>
      <c r="CJ239" s="45">
        <f t="shared" si="882"/>
        <v>38.0</v>
      </c>
      <c r="CK239" s="5">
        <f t="shared" si="891"/>
        <v>214.8254</v>
      </c>
    </row>
    <row r="240" ht="17.0">
      <c r="A240" s="46" t="s">
        <v>30</v>
      </c>
      <c r="B240" s="70" t="s">
        <v>502</v>
      </c>
      <c r="C240" s="46" t="s">
        <v>518</v>
      </c>
      <c r="D240" s="47" t="s">
        <v>519</v>
      </c>
      <c r="E240" s="41">
        <v>0.0</v>
      </c>
      <c r="F240" s="41">
        <v>0.0</v>
      </c>
      <c r="G240" s="41">
        <v>0.0</v>
      </c>
      <c r="H240" s="41">
        <v>0.0</v>
      </c>
      <c r="I240" s="41">
        <v>0.0</v>
      </c>
      <c r="J240" s="41">
        <v>0.0</v>
      </c>
      <c r="K240" s="41">
        <v>0.0</v>
      </c>
      <c r="L240" s="41">
        <v>0.0</v>
      </c>
      <c r="M240" s="41">
        <v>0.0</v>
      </c>
      <c r="N240" s="41">
        <v>0.0</v>
      </c>
      <c r="O240" s="41">
        <v>0.0</v>
      </c>
      <c r="P240" s="41">
        <v>0.0</v>
      </c>
      <c r="Q240" s="41">
        <v>1.0</v>
      </c>
      <c r="R240" s="41">
        <v>0.0</v>
      </c>
      <c r="S240" s="41">
        <v>0.0</v>
      </c>
      <c r="T240" s="41">
        <v>0.0</v>
      </c>
      <c r="U240" s="41">
        <v>1.0</v>
      </c>
      <c r="V240" s="41">
        <v>6.0</v>
      </c>
      <c r="W240" s="41">
        <v>1.0</v>
      </c>
      <c r="X240" s="41">
        <v>1.0</v>
      </c>
      <c r="Y240" s="41">
        <v>0.0</v>
      </c>
      <c r="Z240" s="41">
        <v>0.0</v>
      </c>
      <c r="AA240" s="41">
        <v>0.0</v>
      </c>
      <c r="AB240" s="41">
        <v>5.0</v>
      </c>
      <c r="AC240" s="41">
        <v>2.0</v>
      </c>
      <c r="AD240" s="41">
        <v>0.0</v>
      </c>
      <c r="AE240" s="41">
        <v>0.0</v>
      </c>
      <c r="AF240" s="41">
        <v>0.0</v>
      </c>
      <c r="AG240" s="41">
        <v>1.0</v>
      </c>
      <c r="AH240" s="41">
        <v>0.0</v>
      </c>
      <c r="AI240" s="41">
        <v>1.0</v>
      </c>
      <c r="AJ240" s="41">
        <v>1.0</v>
      </c>
      <c r="AK240" s="41">
        <v>0.0</v>
      </c>
      <c r="AL240" s="43">
        <v>0.0</v>
      </c>
      <c r="AM240" s="43">
        <v>1.0</v>
      </c>
      <c r="AN240" s="43">
        <v>1.0</v>
      </c>
      <c r="AO240" s="43">
        <v>0.0</v>
      </c>
      <c r="AP240" s="43">
        <v>2.0</v>
      </c>
      <c r="AQ240" s="43">
        <v>0.0</v>
      </c>
      <c r="AR240" s="43">
        <v>0.0</v>
      </c>
      <c r="AS240" s="43">
        <v>1.0</v>
      </c>
      <c r="AT240" s="4">
        <f t="shared" si="4"/>
        <v>7.0</v>
      </c>
      <c r="AU240" s="4">
        <f t="shared" si="5"/>
        <v>3.0</v>
      </c>
      <c r="AV240" s="4">
        <f t="shared" si="6"/>
        <v>3.3</v>
      </c>
      <c r="AW240" s="48">
        <f>AV240*$AW$4/$AV$4</f>
        <v>0.371428571428571</v>
      </c>
      <c r="AX240" s="48">
        <f>AV240*$AX$4/$AV$4</f>
        <v>0.464285714285714</v>
      </c>
      <c r="AY240" s="48">
        <f>AV240*$AY$4/$AV$4</f>
        <v>0.5</v>
      </c>
      <c r="AZ240" s="48">
        <f>AV240*$AZ$4/$AV$4</f>
        <v>0.692857142857142</v>
      </c>
      <c r="BA240" s="48">
        <f>AV240*$BA$4/$AV$4</f>
        <v>0.328571428571429</v>
      </c>
      <c r="BB240" s="48">
        <f>AV240*$BB$4/$AV$4</f>
        <v>0.642857142857142</v>
      </c>
      <c r="BC240" s="4">
        <f t="shared" si="728"/>
        <v>3.0</v>
      </c>
      <c r="BD240" s="3">
        <f>VLOOKUP(D240,FEB23SOH,2,false)</f>
        <v>3.0</v>
      </c>
      <c r="BE240" s="44">
        <f>VLOOKUP(D240,UNITVALUE,4,false)</f>
        <v>145.2467</v>
      </c>
      <c r="BF240" s="44">
        <f t="shared" si="16"/>
        <v>435.7401</v>
      </c>
      <c r="BK240" s="73"/>
      <c r="BP240" s="45"/>
      <c r="BT240" s="45"/>
      <c r="BU240" s="5"/>
      <c r="BX240" s="45"/>
      <c r="BY240" s="5"/>
      <c r="CB240" s="45"/>
      <c r="CC240" s="5"/>
      <c r="CF240" s="45"/>
      <c r="CG240" s="5"/>
      <c r="CJ240" s="45"/>
      <c r="CK240" s="5"/>
      <c r="CL240" s="49"/>
      <c r="CM240" s="49"/>
      <c r="CN240" s="49"/>
      <c r="CO240" s="49"/>
      <c r="CP240" s="49"/>
      <c r="CQ240" s="49"/>
      <c r="CR240" s="49"/>
      <c r="CS240" s="49"/>
      <c r="CT240" s="49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  <c r="DK240" s="49"/>
    </row>
    <row r="241" ht="17.0">
      <c r="A241" s="41" t="s">
        <v>30</v>
      </c>
      <c r="B241" s="41" t="s">
        <v>520</v>
      </c>
      <c r="C241" s="41" t="s">
        <v>521</v>
      </c>
      <c r="D241" s="42" t="s">
        <v>522</v>
      </c>
      <c r="E241" s="41">
        <v>9.0</v>
      </c>
      <c r="F241" s="41">
        <v>7.0</v>
      </c>
      <c r="G241" s="41">
        <v>3.0</v>
      </c>
      <c r="H241" s="41">
        <v>5.0</v>
      </c>
      <c r="I241" s="41">
        <v>13.0</v>
      </c>
      <c r="J241" s="41">
        <v>13.0</v>
      </c>
      <c r="K241" s="41">
        <v>9.0</v>
      </c>
      <c r="L241" s="41">
        <v>7.0</v>
      </c>
      <c r="M241" s="41">
        <v>4.0</v>
      </c>
      <c r="N241" s="41">
        <v>5.0</v>
      </c>
      <c r="O241" s="41">
        <v>10.0</v>
      </c>
      <c r="P241" s="41">
        <v>7.0</v>
      </c>
      <c r="Q241" s="41">
        <v>9.0</v>
      </c>
      <c r="R241" s="41">
        <v>7.0</v>
      </c>
      <c r="S241" s="41">
        <v>6.0</v>
      </c>
      <c r="T241" s="41">
        <v>10.0</v>
      </c>
      <c r="U241" s="41">
        <v>4.0</v>
      </c>
      <c r="V241" s="41">
        <v>13.0</v>
      </c>
      <c r="W241" s="41">
        <v>9.0</v>
      </c>
      <c r="X241" s="41">
        <v>6.0</v>
      </c>
      <c r="Y241" s="41">
        <v>6.0</v>
      </c>
      <c r="Z241" s="41">
        <v>8.0</v>
      </c>
      <c r="AA241" s="41">
        <v>2.0</v>
      </c>
      <c r="AB241" s="41">
        <v>5.0</v>
      </c>
      <c r="AC241" s="41">
        <v>2.0</v>
      </c>
      <c r="AD241" s="41">
        <v>6.0</v>
      </c>
      <c r="AE241" s="41">
        <v>7.0</v>
      </c>
      <c r="AF241" s="41">
        <v>4.0</v>
      </c>
      <c r="AG241" s="41">
        <v>0.0</v>
      </c>
      <c r="AH241" s="41">
        <v>8.0</v>
      </c>
      <c r="AI241" s="41">
        <v>3.0</v>
      </c>
      <c r="AJ241" s="41">
        <v>7.0</v>
      </c>
      <c r="AK241" s="41">
        <v>6.0</v>
      </c>
      <c r="AL241" s="41">
        <v>10.0</v>
      </c>
      <c r="AM241" s="43">
        <v>8.0</v>
      </c>
      <c r="AN241" s="43">
        <v>2.0</v>
      </c>
      <c r="AO241" s="43">
        <v>6.0</v>
      </c>
      <c r="AP241" s="43">
        <v>13.0</v>
      </c>
      <c r="AQ241" s="43">
        <v>1.0</v>
      </c>
      <c r="AR241" s="43">
        <v>-1.0</v>
      </c>
      <c r="AS241" s="43">
        <v>11.0</v>
      </c>
      <c r="AT241" s="4">
        <f t="shared" si="4"/>
        <v>74.0</v>
      </c>
      <c r="AU241" s="4">
        <f t="shared" si="5"/>
        <v>42.0</v>
      </c>
      <c r="AV241" s="4">
        <f t="shared" si="6"/>
        <v>46.2</v>
      </c>
      <c r="AW241" s="1">
        <f t="shared" ref="AW241:AW276" si="911">AV241*$AW$4/$AV$4+1*$AW$277+1*$AW$278</f>
        <v>5.32380952380952</v>
      </c>
      <c r="AX241" s="1">
        <f t="shared" ref="AX241:AX276" si="912">AV241*$AX$4/$AV$4+1*$AX$277+1*$AX$278</f>
        <v>6.6547619047619</v>
      </c>
      <c r="AY241" s="1">
        <f t="shared" ref="AY241:AY276" si="913">AV241*$AY$4/$AV$4+1*$AY$277+1*$AY$278</f>
        <v>7.16666666666667</v>
      </c>
      <c r="AZ241" s="1">
        <f t="shared" ref="AZ241:AZ276" si="914">AV241*$AZ$4/$AV$4+1*$AZ$277+1*$AZ$278</f>
        <v>9.93095238095238</v>
      </c>
      <c r="BA241" s="1">
        <f t="shared" ref="BA241:BA276" si="915">AV241*$BA$4/$AV$4+1*$BA$277+1*$BA$278</f>
        <v>5.70952380952381</v>
      </c>
      <c r="BB241" s="1">
        <f t="shared" ref="BB241:BB276" si="916">AV241*$BB$4/$AV$4+1*$BB$277+1*$BB$278</f>
        <v>10.2142857142857</v>
      </c>
      <c r="BC241" s="4">
        <f t="shared" si="728"/>
        <v>45.0</v>
      </c>
      <c r="BD241" s="3">
        <f>VLOOKUP(D241,FEB23SOH,2,false)</f>
        <v>126.0</v>
      </c>
      <c r="BE241" s="44">
        <f>VLOOKUP(D241,UNITVALUE,4,false)</f>
        <v>2.8956</v>
      </c>
      <c r="BF241" s="44">
        <f t="shared" si="16"/>
        <v>364.8456</v>
      </c>
      <c r="BI241" s="6">
        <f t="shared" ref="BI241:BI276" si="917">BD241+BG241+BH241-BC241</f>
        <v>81.0</v>
      </c>
      <c r="BJ241" s="1">
        <f>VLOOKUP(C241,MOQ,3,FALSE())</f>
        <v>250.0</v>
      </c>
      <c r="BM241" s="1">
        <f t="shared" ref="BM241:BM276" si="919">BD241</f>
        <v>126.0</v>
      </c>
      <c r="BN241" s="1">
        <f t="shared" ref="BN241:BN276" si="920">AW241</f>
        <v>5.32380952380952</v>
      </c>
      <c r="BP241" s="45">
        <f t="shared" ref="BP241:BP276" si="921">BM241+BO241-BN241</f>
        <v>120.67619047619</v>
      </c>
      <c r="BQ241" s="5">
        <f t="shared" ref="BQ241:BQ276" si="922">BP241*BE241</f>
        <v>349.42997714286</v>
      </c>
      <c r="BR241" s="1">
        <f t="shared" ref="BR241:BR276" si="923">AX241</f>
        <v>6.6547619047619</v>
      </c>
      <c r="BS241" s="1">
        <f t="shared" ref="BS241:BS276" si="924">BG241</f>
      </c>
      <c r="BT241" s="45">
        <f t="shared" ref="BT241:BT276" si="925">BP241+BS241-BR241</f>
        <v>114.021428571428</v>
      </c>
      <c r="BU241" s="5">
        <f t="shared" ref="BU241:BU276" si="926">BT241*BE241</f>
        <v>330.160448571427</v>
      </c>
      <c r="BV241" s="1">
        <f t="shared" ref="BV241:BV276" si="927">AY241</f>
        <v>7.16666666666667</v>
      </c>
      <c r="BW241" s="1">
        <f t="shared" ref="BW241:BW276" si="928">BG241</f>
      </c>
      <c r="BX241" s="45">
        <f t="shared" ref="BX241:BX276" si="929">BT241+BW241-BV241</f>
        <v>106.854761904761</v>
      </c>
      <c r="BY241" s="5">
        <f t="shared" ref="BY241:BY276" si="930">BX241*BE241</f>
        <v>309.408648571426</v>
      </c>
      <c r="BZ241" s="1">
        <f t="shared" ref="BZ241:BZ276" si="931">AZ241</f>
        <v>9.93095238095238</v>
      </c>
      <c r="CB241" s="45">
        <f t="shared" ref="CB241:CB276" si="932">BX241+CA241-BZ241</f>
        <v>96.9238095238086</v>
      </c>
      <c r="CC241" s="5">
        <f t="shared" ref="CC241:CC276" si="933">CB241*BE241</f>
        <v>280.65258285714</v>
      </c>
      <c r="CD241" s="1">
        <f t="shared" ref="CD241:CD276" si="934">BA241</f>
        <v>5.70952380952381</v>
      </c>
      <c r="CF241" s="45">
        <f t="shared" ref="CF241:CF276" si="935">CB241+CE241-CD241</f>
        <v>91.2142857142848</v>
      </c>
      <c r="CG241" s="5">
        <f t="shared" ref="CG241:CG276" si="936">CF241*BE241</f>
        <v>264.120085714283</v>
      </c>
      <c r="CH241" s="1">
        <f t="shared" ref="CH241:CH276" si="937">BB241</f>
        <v>10.2142857142857</v>
      </c>
      <c r="CJ241" s="45">
        <f t="shared" ref="CJ241:CJ276" si="938">CF241+CI241-CH241</f>
        <v>80.9999999999991</v>
      </c>
      <c r="CK241" s="5">
        <f t="shared" ref="CK241:CK276" si="939">CJ241*BE241</f>
        <v>234.543599999997</v>
      </c>
    </row>
    <row r="242" ht="17.0">
      <c r="A242" s="41" t="s">
        <v>30</v>
      </c>
      <c r="B242" s="41" t="s">
        <v>520</v>
      </c>
      <c r="C242" s="41" t="s">
        <v>523</v>
      </c>
      <c r="D242" s="42" t="s">
        <v>524</v>
      </c>
      <c r="E242" s="41">
        <v>6.0</v>
      </c>
      <c r="F242" s="41">
        <v>7.0</v>
      </c>
      <c r="G242" s="41">
        <v>12.0</v>
      </c>
      <c r="H242" s="41">
        <v>9.0</v>
      </c>
      <c r="I242" s="41">
        <v>8.0</v>
      </c>
      <c r="J242" s="41">
        <v>5.0</v>
      </c>
      <c r="K242" s="41">
        <v>5.0</v>
      </c>
      <c r="L242" s="41">
        <v>5.0</v>
      </c>
      <c r="M242" s="41">
        <v>9.0</v>
      </c>
      <c r="N242" s="41">
        <v>10.0</v>
      </c>
      <c r="O242" s="41">
        <v>13.0</v>
      </c>
      <c r="P242" s="41">
        <v>13.0</v>
      </c>
      <c r="Q242" s="41">
        <v>11.0</v>
      </c>
      <c r="R242" s="41">
        <v>14.0</v>
      </c>
      <c r="S242" s="41">
        <v>10.0</v>
      </c>
      <c r="T242" s="41">
        <v>10.0</v>
      </c>
      <c r="U242" s="41">
        <v>2.0</v>
      </c>
      <c r="V242" s="41">
        <v>10.0</v>
      </c>
      <c r="W242" s="41">
        <v>12.0</v>
      </c>
      <c r="X242" s="41">
        <v>4.0</v>
      </c>
      <c r="Y242" s="41">
        <v>11.0</v>
      </c>
      <c r="Z242" s="41">
        <v>14.0</v>
      </c>
      <c r="AA242" s="41">
        <v>3.0</v>
      </c>
      <c r="AB242" s="41">
        <v>14.0</v>
      </c>
      <c r="AC242" s="41">
        <v>4.0</v>
      </c>
      <c r="AD242" s="41">
        <v>10.0</v>
      </c>
      <c r="AE242" s="41">
        <v>6.0</v>
      </c>
      <c r="AF242" s="41">
        <v>10.0</v>
      </c>
      <c r="AG242" s="41">
        <v>7.0</v>
      </c>
      <c r="AH242" s="41">
        <v>9.0</v>
      </c>
      <c r="AI242" s="41">
        <v>9.0</v>
      </c>
      <c r="AJ242" s="41">
        <v>6.0</v>
      </c>
      <c r="AK242" s="41">
        <v>6.0</v>
      </c>
      <c r="AL242" s="41">
        <v>6.0</v>
      </c>
      <c r="AM242" s="43">
        <v>8.0</v>
      </c>
      <c r="AN242" s="43">
        <v>2.0</v>
      </c>
      <c r="AO242" s="43">
        <v>10.0</v>
      </c>
      <c r="AP242" s="43">
        <v>10.0</v>
      </c>
      <c r="AQ242" s="43">
        <v>5.0</v>
      </c>
      <c r="AR242" s="43">
        <v>1.0</v>
      </c>
      <c r="AS242" s="43">
        <v>1.0</v>
      </c>
      <c r="AT242" s="4">
        <f t="shared" si="4"/>
        <v>73.0</v>
      </c>
      <c r="AU242" s="4">
        <f t="shared" si="5"/>
        <v>44.0</v>
      </c>
      <c r="AV242" s="4">
        <f t="shared" si="6"/>
        <v>48.4</v>
      </c>
      <c r="AW242" s="1">
        <f t="shared" si="911"/>
        <v>5.57142857142856</v>
      </c>
      <c r="AX242" s="1">
        <f t="shared" si="912"/>
        <v>6.9642857142857</v>
      </c>
      <c r="AY242" s="1">
        <f t="shared" si="913"/>
        <v>7.5</v>
      </c>
      <c r="AZ242" s="1">
        <f t="shared" si="914"/>
        <v>10.3928571428563</v>
      </c>
      <c r="BA242" s="1">
        <f t="shared" si="915"/>
        <v>5.92857142857142</v>
      </c>
      <c r="BB242" s="1">
        <f t="shared" si="916"/>
        <v>10.6428571428571</v>
      </c>
      <c r="BC242" s="4">
        <f t="shared" si="728"/>
        <v>46.999999999999</v>
      </c>
      <c r="BD242" s="3">
        <f>VLOOKUP(D242,FEB23SOH,2,false)</f>
        <v>89.0</v>
      </c>
      <c r="BE242" s="44">
        <f>VLOOKUP(D242,UNITVALUE,4,false)</f>
        <v>2.8943</v>
      </c>
      <c r="BF242" s="44">
        <f t="shared" si="16"/>
        <v>257.5927</v>
      </c>
      <c r="BI242" s="6">
        <f t="shared" si="917"/>
        <v>42.000000000001</v>
      </c>
      <c r="BJ242" s="1">
        <f>VLOOKUP(C242,MOQ,3,FALSE())</f>
        <v>250.0</v>
      </c>
      <c r="BM242" s="1">
        <f t="shared" si="919"/>
        <v>89.0</v>
      </c>
      <c r="BN242" s="1">
        <f t="shared" si="920"/>
        <v>5.57142857142856</v>
      </c>
      <c r="BP242" s="45">
        <f t="shared" si="921"/>
        <v>83.4285714285714</v>
      </c>
      <c r="BQ242" s="5">
        <f t="shared" si="922"/>
        <v>241.467314285714</v>
      </c>
      <c r="BR242" s="1">
        <f t="shared" si="923"/>
        <v>6.9642857142857</v>
      </c>
      <c r="BS242" s="1">
        <f t="shared" si="924"/>
      </c>
      <c r="BT242" s="45">
        <f t="shared" si="925"/>
        <v>76.4642857142857</v>
      </c>
      <c r="BU242" s="5">
        <f t="shared" si="926"/>
        <v>221.310582142857</v>
      </c>
      <c r="BV242" s="1">
        <f t="shared" si="927"/>
        <v>7.5</v>
      </c>
      <c r="BW242" s="1">
        <f t="shared" si="928"/>
      </c>
      <c r="BX242" s="45">
        <f t="shared" si="929"/>
        <v>68.9642857142857</v>
      </c>
      <c r="BY242" s="5">
        <f t="shared" si="930"/>
        <v>199.603332142857</v>
      </c>
      <c r="BZ242" s="1">
        <f t="shared" si="931"/>
        <v>10.3928571428563</v>
      </c>
      <c r="CB242" s="45">
        <f t="shared" si="932"/>
        <v>58.5714285714293</v>
      </c>
      <c r="CC242" s="5">
        <f t="shared" si="933"/>
        <v>169.523285714288</v>
      </c>
      <c r="CD242" s="1">
        <f t="shared" si="934"/>
        <v>5.92857142857142</v>
      </c>
      <c r="CF242" s="45">
        <f t="shared" si="935"/>
        <v>52.6428571428579</v>
      </c>
      <c r="CG242" s="5">
        <f t="shared" si="936"/>
        <v>152.364221428573</v>
      </c>
      <c r="CH242" s="1">
        <f t="shared" si="937"/>
        <v>10.6428571428571</v>
      </c>
      <c r="CJ242" s="45">
        <f t="shared" si="938"/>
        <v>42.0000000000008</v>
      </c>
      <c r="CK242" s="5">
        <f t="shared" si="939"/>
        <v>121.560600000002</v>
      </c>
    </row>
    <row r="243" ht="17.0">
      <c r="A243" s="41" t="s">
        <v>30</v>
      </c>
      <c r="B243" s="41" t="s">
        <v>520</v>
      </c>
      <c r="C243" s="41" t="s">
        <v>525</v>
      </c>
      <c r="D243" s="42" t="s">
        <v>526</v>
      </c>
      <c r="E243" s="41">
        <v>9.0</v>
      </c>
      <c r="F243" s="41">
        <v>13.0</v>
      </c>
      <c r="G243" s="41">
        <v>16.0</v>
      </c>
      <c r="H243" s="41">
        <v>10.0</v>
      </c>
      <c r="I243" s="41">
        <v>17.0</v>
      </c>
      <c r="J243" s="41">
        <v>18.0</v>
      </c>
      <c r="K243" s="41">
        <v>20.0</v>
      </c>
      <c r="L243" s="41">
        <v>16.0</v>
      </c>
      <c r="M243" s="41">
        <v>4.0</v>
      </c>
      <c r="N243" s="41">
        <v>15.0</v>
      </c>
      <c r="O243" s="41">
        <v>22.0</v>
      </c>
      <c r="P243" s="41">
        <v>17.0</v>
      </c>
      <c r="Q243" s="41">
        <v>11.0</v>
      </c>
      <c r="R243" s="41">
        <v>12.0</v>
      </c>
      <c r="S243" s="41">
        <v>23.0</v>
      </c>
      <c r="T243" s="41">
        <v>18.0</v>
      </c>
      <c r="U243" s="41">
        <v>11.0</v>
      </c>
      <c r="V243" s="41">
        <v>21.0</v>
      </c>
      <c r="W243" s="41">
        <v>21.0</v>
      </c>
      <c r="X243" s="41">
        <v>10.0</v>
      </c>
      <c r="Y243" s="41">
        <v>8.0</v>
      </c>
      <c r="Z243" s="41">
        <v>-1.0</v>
      </c>
      <c r="AA243" s="41">
        <v>0.0</v>
      </c>
      <c r="AB243" s="41">
        <v>20.0</v>
      </c>
      <c r="AC243" s="41">
        <v>21.0</v>
      </c>
      <c r="AD243" s="41">
        <v>18.0</v>
      </c>
      <c r="AE243" s="41">
        <v>15.0</v>
      </c>
      <c r="AF243" s="41">
        <v>20.0</v>
      </c>
      <c r="AG243" s="41">
        <v>6.0</v>
      </c>
      <c r="AH243" s="41">
        <v>14.0</v>
      </c>
      <c r="AI243" s="41">
        <v>7.0</v>
      </c>
      <c r="AJ243" s="41">
        <v>12.0</v>
      </c>
      <c r="AK243" s="41">
        <v>9.0</v>
      </c>
      <c r="AL243" s="41">
        <v>7.0</v>
      </c>
      <c r="AM243" s="43">
        <v>15.0</v>
      </c>
      <c r="AN243" s="43">
        <v>8.0</v>
      </c>
      <c r="AO243" s="43">
        <v>14.0</v>
      </c>
      <c r="AP243" s="43">
        <v>16.0</v>
      </c>
      <c r="AQ243" s="43">
        <v>9.0</v>
      </c>
      <c r="AR243" s="43">
        <v>11.0</v>
      </c>
      <c r="AS243" s="43">
        <v>18.0</v>
      </c>
      <c r="AT243" s="4">
        <f t="shared" si="4"/>
        <v>140.0</v>
      </c>
      <c r="AU243" s="4">
        <f t="shared" si="5"/>
        <v>64.0</v>
      </c>
      <c r="AV243" s="4">
        <f t="shared" si="6"/>
        <v>70.4</v>
      </c>
      <c r="AW243" s="1">
        <f t="shared" si="911"/>
        <v>8.04761904761904</v>
      </c>
      <c r="AX243" s="1">
        <f t="shared" si="912"/>
        <v>10.0595238095238</v>
      </c>
      <c r="AY243" s="1">
        <f t="shared" si="913"/>
        <v>10.8333333333333</v>
      </c>
      <c r="AZ243" s="1">
        <f t="shared" si="914"/>
        <v>15.011904761904</v>
      </c>
      <c r="BA243" s="1">
        <f t="shared" si="915"/>
        <v>8.11904761904761</v>
      </c>
      <c r="BB243" s="1">
        <f t="shared" si="916"/>
        <v>14.9285714285714</v>
      </c>
      <c r="BC243" s="4">
        <f t="shared" si="728"/>
        <v>66.9999999999991</v>
      </c>
      <c r="BD243" s="3">
        <f>VLOOKUP(D243,FEB23SOH,2,false)</f>
        <v>186.0</v>
      </c>
      <c r="BE243" s="44">
        <f>VLOOKUP(D243,UNITVALUE,4,false)</f>
        <v>3.1946</v>
      </c>
      <c r="BF243" s="44">
        <f t="shared" si="16"/>
        <v>594.1956</v>
      </c>
      <c r="BI243" s="6">
        <f t="shared" si="917"/>
        <v>119.0</v>
      </c>
      <c r="BJ243" s="1">
        <f>VLOOKUP(C243,MOQ,3,FALSE())</f>
        <v>250.0</v>
      </c>
      <c r="BM243" s="1">
        <f t="shared" si="919"/>
        <v>186.0</v>
      </c>
      <c r="BN243" s="1">
        <f t="shared" si="920"/>
        <v>8.04761904761904</v>
      </c>
      <c r="BP243" s="45">
        <f t="shared" si="921"/>
        <v>177.95238095238</v>
      </c>
      <c r="BQ243" s="5">
        <f t="shared" si="922"/>
        <v>568.486676190473</v>
      </c>
      <c r="BR243" s="1">
        <f t="shared" si="923"/>
        <v>10.0595238095238</v>
      </c>
      <c r="BS243" s="1">
        <f t="shared" si="924"/>
      </c>
      <c r="BT243" s="45">
        <f t="shared" si="925"/>
        <v>167.892857142856</v>
      </c>
      <c r="BU243" s="5">
        <f t="shared" si="926"/>
        <v>536.35052142857</v>
      </c>
      <c r="BV243" s="1">
        <f t="shared" si="927"/>
        <v>10.8333333333333</v>
      </c>
      <c r="BW243" s="1">
        <f t="shared" si="928"/>
      </c>
      <c r="BX243" s="45">
        <f t="shared" si="929"/>
        <v>157.059523809522</v>
      </c>
      <c r="BY243" s="5">
        <f t="shared" si="930"/>
        <v>501.742354761899</v>
      </c>
      <c r="BZ243" s="1">
        <f t="shared" si="931"/>
        <v>15.011904761904</v>
      </c>
      <c r="CB243" s="45">
        <f t="shared" si="932"/>
        <v>142.047619047618</v>
      </c>
      <c r="CC243" s="5">
        <f t="shared" si="933"/>
        <v>453.78532380952</v>
      </c>
      <c r="CD243" s="1">
        <f t="shared" si="934"/>
        <v>8.11904761904761</v>
      </c>
      <c r="CF243" s="45">
        <f t="shared" si="935"/>
        <v>133.92857142857</v>
      </c>
      <c r="CG243" s="5">
        <f t="shared" si="936"/>
        <v>427.84821428571</v>
      </c>
      <c r="CH243" s="1">
        <f t="shared" si="937"/>
        <v>14.9285714285714</v>
      </c>
      <c r="CJ243" s="45">
        <f t="shared" si="938"/>
        <v>119.0</v>
      </c>
      <c r="CK243" s="5">
        <f t="shared" si="939"/>
        <v>380.1574</v>
      </c>
    </row>
    <row r="244" ht="17.0">
      <c r="A244" s="41" t="s">
        <v>30</v>
      </c>
      <c r="B244" s="41" t="s">
        <v>520</v>
      </c>
      <c r="C244" s="41" t="s">
        <v>527</v>
      </c>
      <c r="D244" s="42" t="s">
        <v>528</v>
      </c>
      <c r="E244" s="41">
        <v>5.0</v>
      </c>
      <c r="F244" s="41">
        <v>6.0</v>
      </c>
      <c r="G244" s="41">
        <v>10.0</v>
      </c>
      <c r="H244" s="41">
        <v>9.0</v>
      </c>
      <c r="I244" s="41">
        <v>13.0</v>
      </c>
      <c r="J244" s="41">
        <v>11.0</v>
      </c>
      <c r="K244" s="41">
        <v>11.0</v>
      </c>
      <c r="L244" s="41">
        <v>7.0</v>
      </c>
      <c r="M244" s="41">
        <v>12.0</v>
      </c>
      <c r="N244" s="41">
        <v>15.0</v>
      </c>
      <c r="O244" s="41">
        <v>18.0</v>
      </c>
      <c r="P244" s="41">
        <v>18.0</v>
      </c>
      <c r="Q244" s="41">
        <v>13.0</v>
      </c>
      <c r="R244" s="41">
        <v>14.0</v>
      </c>
      <c r="S244" s="41">
        <v>13.0</v>
      </c>
      <c r="T244" s="41">
        <v>13.0</v>
      </c>
      <c r="U244" s="41">
        <v>12.0</v>
      </c>
      <c r="V244" s="41">
        <v>19.0</v>
      </c>
      <c r="W244" s="41">
        <v>16.0</v>
      </c>
      <c r="X244" s="41">
        <v>15.0</v>
      </c>
      <c r="Y244" s="41">
        <v>12.0</v>
      </c>
      <c r="Z244" s="41">
        <v>23.0</v>
      </c>
      <c r="AA244" s="41">
        <v>14.0</v>
      </c>
      <c r="AB244" s="41">
        <v>21.0</v>
      </c>
      <c r="AC244" s="41">
        <v>14.0</v>
      </c>
      <c r="AD244" s="41">
        <v>13.0</v>
      </c>
      <c r="AE244" s="41">
        <v>10.0</v>
      </c>
      <c r="AF244" s="41">
        <v>15.0</v>
      </c>
      <c r="AG244" s="41">
        <v>11.0</v>
      </c>
      <c r="AH244" s="41">
        <v>8.0</v>
      </c>
      <c r="AI244" s="41">
        <v>12.0</v>
      </c>
      <c r="AJ244" s="41">
        <v>15.0</v>
      </c>
      <c r="AK244" s="41">
        <v>14.0</v>
      </c>
      <c r="AL244" s="41">
        <v>5.0</v>
      </c>
      <c r="AM244" s="43">
        <v>12.0</v>
      </c>
      <c r="AN244" s="43">
        <v>10.0</v>
      </c>
      <c r="AO244" s="43">
        <v>7.0</v>
      </c>
      <c r="AP244" s="43">
        <v>14.0</v>
      </c>
      <c r="AQ244" s="43">
        <v>3.0</v>
      </c>
      <c r="AR244" s="43">
        <v>5.0</v>
      </c>
      <c r="AS244" s="43">
        <v>9.0</v>
      </c>
      <c r="AT244" s="4">
        <f t="shared" si="4"/>
        <v>114.0</v>
      </c>
      <c r="AU244" s="4">
        <f t="shared" si="5"/>
        <v>66.0</v>
      </c>
      <c r="AV244" s="4">
        <f t="shared" si="6"/>
        <v>72.6</v>
      </c>
      <c r="AW244" s="1">
        <f t="shared" si="911"/>
        <v>8.29523809523809</v>
      </c>
      <c r="AX244" s="1">
        <f t="shared" si="912"/>
        <v>10.3690476190476</v>
      </c>
      <c r="AY244" s="1">
        <f t="shared" si="913"/>
        <v>11.1666666666667</v>
      </c>
      <c r="AZ244" s="1">
        <f t="shared" si="914"/>
        <v>15.4738095238094</v>
      </c>
      <c r="BA244" s="1">
        <f t="shared" si="915"/>
        <v>8.33809523809523</v>
      </c>
      <c r="BB244" s="1">
        <f t="shared" si="916"/>
        <v>15.3571428571428</v>
      </c>
      <c r="BC244" s="4">
        <f t="shared" si="728"/>
        <v>68.9999999999998</v>
      </c>
      <c r="BD244" s="3">
        <f>VLOOKUP(D244,FEB23SOH,2,false)</f>
        <v>1111.0</v>
      </c>
      <c r="BE244" s="44">
        <f>VLOOKUP(D244,UNITVALUE,4,false)</f>
        <v>3.1251</v>
      </c>
      <c r="BF244" s="44">
        <f t="shared" si="16"/>
        <v>3471.9861</v>
      </c>
      <c r="BI244" s="6">
        <f t="shared" si="917"/>
        <v>1042.0</v>
      </c>
      <c r="BJ244" s="1">
        <f>VLOOKUP(C244,MOQ,3,FALSE())</f>
        <v>250.0</v>
      </c>
      <c r="BM244" s="1">
        <f t="shared" si="919"/>
        <v>1111.0</v>
      </c>
      <c r="BN244" s="1">
        <f t="shared" si="920"/>
        <v>8.29523809523809</v>
      </c>
      <c r="BP244" s="45">
        <f t="shared" si="921"/>
        <v>1102.70476190476</v>
      </c>
      <c r="BQ244" s="5">
        <f t="shared" si="922"/>
        <v>3446.06265142857</v>
      </c>
      <c r="BR244" s="1">
        <f t="shared" si="923"/>
        <v>10.3690476190476</v>
      </c>
      <c r="BS244" s="1">
        <f t="shared" si="924"/>
      </c>
      <c r="BT244" s="45">
        <f t="shared" si="925"/>
        <v>1092.33571428571</v>
      </c>
      <c r="BU244" s="5">
        <f t="shared" si="926"/>
        <v>3413.65834071427</v>
      </c>
      <c r="BV244" s="1">
        <f t="shared" si="927"/>
        <v>11.1666666666667</v>
      </c>
      <c r="BW244" s="1">
        <f t="shared" si="928"/>
      </c>
      <c r="BX244" s="45">
        <f t="shared" si="929"/>
        <v>1081.16904761904</v>
      </c>
      <c r="BY244" s="5">
        <f t="shared" si="930"/>
        <v>3378.76139071426</v>
      </c>
      <c r="BZ244" s="1">
        <f t="shared" si="931"/>
        <v>15.4738095238094</v>
      </c>
      <c r="CB244" s="45">
        <f t="shared" si="932"/>
        <v>1065.69523809523</v>
      </c>
      <c r="CC244" s="5">
        <f t="shared" si="933"/>
        <v>3330.4041885714</v>
      </c>
      <c r="CD244" s="1">
        <f t="shared" si="934"/>
        <v>8.33809523809523</v>
      </c>
      <c r="CF244" s="45">
        <f t="shared" si="935"/>
        <v>1057.35714285713</v>
      </c>
      <c r="CG244" s="5">
        <f t="shared" si="936"/>
        <v>3304.34680714281</v>
      </c>
      <c r="CH244" s="1">
        <f t="shared" si="937"/>
        <v>15.3571428571428</v>
      </c>
      <c r="CJ244" s="45">
        <f t="shared" si="938"/>
        <v>1041.99999999999</v>
      </c>
      <c r="CK244" s="5">
        <f t="shared" si="939"/>
        <v>3256.35419999997</v>
      </c>
    </row>
    <row r="245" ht="17.0">
      <c r="A245" s="41" t="s">
        <v>30</v>
      </c>
      <c r="B245" s="41" t="s">
        <v>520</v>
      </c>
      <c r="C245" s="41" t="s">
        <v>529</v>
      </c>
      <c r="D245" s="42" t="s">
        <v>530</v>
      </c>
      <c r="E245" s="41">
        <v>10.0</v>
      </c>
      <c r="F245" s="41">
        <v>7.0</v>
      </c>
      <c r="G245" s="41">
        <v>11.0</v>
      </c>
      <c r="H245" s="41">
        <v>5.0</v>
      </c>
      <c r="I245" s="41">
        <v>8.0</v>
      </c>
      <c r="J245" s="41">
        <v>7.0</v>
      </c>
      <c r="K245" s="41">
        <v>7.0</v>
      </c>
      <c r="L245" s="41">
        <v>4.0</v>
      </c>
      <c r="M245" s="41">
        <v>9.0</v>
      </c>
      <c r="N245" s="41">
        <v>17.0</v>
      </c>
      <c r="O245" s="41">
        <v>16.0</v>
      </c>
      <c r="P245" s="41">
        <v>17.0</v>
      </c>
      <c r="Q245" s="41">
        <v>9.0</v>
      </c>
      <c r="R245" s="41">
        <v>13.0</v>
      </c>
      <c r="S245" s="41">
        <v>13.0</v>
      </c>
      <c r="T245" s="41">
        <v>12.0</v>
      </c>
      <c r="U245" s="41">
        <v>5.0</v>
      </c>
      <c r="V245" s="41">
        <v>10.0</v>
      </c>
      <c r="W245" s="41">
        <v>10.0</v>
      </c>
      <c r="X245" s="41">
        <v>4.0</v>
      </c>
      <c r="Y245" s="41">
        <v>7.0</v>
      </c>
      <c r="Z245" s="41">
        <v>23.0</v>
      </c>
      <c r="AA245" s="41">
        <v>11.0</v>
      </c>
      <c r="AB245" s="41">
        <v>18.0</v>
      </c>
      <c r="AC245" s="41">
        <v>9.0</v>
      </c>
      <c r="AD245" s="41">
        <v>9.0</v>
      </c>
      <c r="AE245" s="41">
        <v>9.0</v>
      </c>
      <c r="AF245" s="41">
        <v>13.0</v>
      </c>
      <c r="AG245" s="41">
        <v>14.0</v>
      </c>
      <c r="AH245" s="41">
        <v>8.0</v>
      </c>
      <c r="AI245" s="41">
        <v>9.0</v>
      </c>
      <c r="AJ245" s="41">
        <v>8.0</v>
      </c>
      <c r="AK245" s="41">
        <v>9.0</v>
      </c>
      <c r="AL245" s="41">
        <v>2.0</v>
      </c>
      <c r="AM245" s="43">
        <v>16.0</v>
      </c>
      <c r="AN245" s="43">
        <v>7.0</v>
      </c>
      <c r="AO245" s="43">
        <v>10.0</v>
      </c>
      <c r="AP245" s="43">
        <v>12.0</v>
      </c>
      <c r="AQ245" s="43">
        <v>4.0</v>
      </c>
      <c r="AR245" s="43">
        <v>6.0</v>
      </c>
      <c r="AS245" s="43">
        <v>4.0</v>
      </c>
      <c r="AT245" s="4">
        <f t="shared" si="4"/>
        <v>95.0</v>
      </c>
      <c r="AU245" s="4">
        <f t="shared" si="5"/>
        <v>52.0</v>
      </c>
      <c r="AV245" s="4">
        <f t="shared" si="6"/>
        <v>57.2</v>
      </c>
      <c r="AW245" s="1">
        <f t="shared" si="911"/>
        <v>6.56190476190475</v>
      </c>
      <c r="AX245" s="1">
        <f t="shared" si="912"/>
        <v>8.20238095238094</v>
      </c>
      <c r="AY245" s="1">
        <f t="shared" si="913"/>
        <v>8.8333333333333</v>
      </c>
      <c r="AZ245" s="1">
        <f t="shared" si="914"/>
        <v>12.2404761904761</v>
      </c>
      <c r="BA245" s="1">
        <f t="shared" si="915"/>
        <v>6.80476190476191</v>
      </c>
      <c r="BB245" s="1">
        <f t="shared" si="916"/>
        <v>12.3571428571428</v>
      </c>
      <c r="BC245" s="4">
        <f t="shared" si="728"/>
        <v>54.9999999999998</v>
      </c>
      <c r="BD245" s="3">
        <f>VLOOKUP(D245,FEB23SOH,2,false)</f>
        <v>245.0</v>
      </c>
      <c r="BE245" s="44">
        <f>VLOOKUP(D245,UNITVALUE,4,false)</f>
        <v>3.1939</v>
      </c>
      <c r="BF245" s="44">
        <f t="shared" si="16"/>
        <v>782.5055</v>
      </c>
      <c r="BI245" s="6">
        <f t="shared" si="917"/>
        <v>190.0</v>
      </c>
      <c r="BJ245" s="1">
        <f>VLOOKUP(C245,MOQ,3,FALSE())</f>
        <v>250.0</v>
      </c>
      <c r="BM245" s="1">
        <f t="shared" si="919"/>
        <v>245.0</v>
      </c>
      <c r="BN245" s="1">
        <f t="shared" si="920"/>
        <v>6.56190476190475</v>
      </c>
      <c r="BP245" s="45">
        <f t="shared" si="921"/>
        <v>238.438095238095</v>
      </c>
      <c r="BQ245" s="5">
        <f t="shared" si="922"/>
        <v>761.547432380951</v>
      </c>
      <c r="BR245" s="1">
        <f t="shared" si="923"/>
        <v>8.20238095238094</v>
      </c>
      <c r="BS245" s="1">
        <f t="shared" si="924"/>
      </c>
      <c r="BT245" s="45">
        <f t="shared" si="925"/>
        <v>230.235714285714</v>
      </c>
      <c r="BU245" s="5">
        <f t="shared" si="926"/>
        <v>735.349847857142</v>
      </c>
      <c r="BV245" s="1">
        <f t="shared" si="927"/>
        <v>8.8333333333333</v>
      </c>
      <c r="BW245" s="1">
        <f t="shared" si="928"/>
      </c>
      <c r="BX245" s="45">
        <f t="shared" si="929"/>
        <v>221.40238095238</v>
      </c>
      <c r="BY245" s="5">
        <f t="shared" si="930"/>
        <v>707.137064523807</v>
      </c>
      <c r="BZ245" s="1">
        <f t="shared" si="931"/>
        <v>12.2404761904761</v>
      </c>
      <c r="CB245" s="45">
        <f t="shared" si="932"/>
        <v>209.161904761903</v>
      </c>
      <c r="CC245" s="5">
        <f t="shared" si="933"/>
        <v>668.042207619042</v>
      </c>
      <c r="CD245" s="1">
        <f t="shared" si="934"/>
        <v>6.80476190476191</v>
      </c>
      <c r="CF245" s="45">
        <f t="shared" si="935"/>
        <v>202.357142857141</v>
      </c>
      <c r="CG245" s="5">
        <f t="shared" si="936"/>
        <v>646.308478571422</v>
      </c>
      <c r="CH245" s="1">
        <f t="shared" si="937"/>
        <v>12.3571428571428</v>
      </c>
      <c r="CJ245" s="45">
        <f t="shared" si="938"/>
        <v>189.999999999998</v>
      </c>
      <c r="CK245" s="5">
        <f t="shared" si="939"/>
        <v>606.840999999993</v>
      </c>
    </row>
    <row r="246" ht="17.0">
      <c r="A246" s="41" t="s">
        <v>30</v>
      </c>
      <c r="B246" s="41" t="s">
        <v>520</v>
      </c>
      <c r="C246" s="41" t="s">
        <v>531</v>
      </c>
      <c r="D246" s="42" t="s">
        <v>532</v>
      </c>
      <c r="E246" s="41">
        <v>5.0</v>
      </c>
      <c r="F246" s="41">
        <v>3.0</v>
      </c>
      <c r="G246" s="41">
        <v>7.0</v>
      </c>
      <c r="H246" s="41">
        <v>3.0</v>
      </c>
      <c r="I246" s="41">
        <v>8.0</v>
      </c>
      <c r="J246" s="41">
        <v>3.0</v>
      </c>
      <c r="K246" s="41">
        <v>3.0</v>
      </c>
      <c r="L246" s="41">
        <v>4.0</v>
      </c>
      <c r="M246" s="41">
        <v>9.0</v>
      </c>
      <c r="N246" s="41">
        <v>5.0</v>
      </c>
      <c r="O246" s="41">
        <v>7.0</v>
      </c>
      <c r="P246" s="41">
        <v>2.0</v>
      </c>
      <c r="Q246" s="41">
        <v>6.0</v>
      </c>
      <c r="R246" s="41">
        <v>9.0</v>
      </c>
      <c r="S246" s="41">
        <v>6.0</v>
      </c>
      <c r="T246" s="41">
        <v>6.0</v>
      </c>
      <c r="U246" s="41">
        <v>4.0</v>
      </c>
      <c r="V246" s="41">
        <v>10.0</v>
      </c>
      <c r="W246" s="41">
        <v>12.0</v>
      </c>
      <c r="X246" s="41">
        <v>2.0</v>
      </c>
      <c r="Y246" s="41">
        <v>6.0</v>
      </c>
      <c r="Z246" s="41">
        <v>10.0</v>
      </c>
      <c r="AA246" s="41">
        <v>5.0</v>
      </c>
      <c r="AB246" s="41">
        <v>8.0</v>
      </c>
      <c r="AC246" s="41">
        <v>13.0</v>
      </c>
      <c r="AD246" s="41">
        <v>6.0</v>
      </c>
      <c r="AE246" s="41">
        <v>5.0</v>
      </c>
      <c r="AF246" s="41">
        <v>5.0</v>
      </c>
      <c r="AG246" s="41">
        <v>4.0</v>
      </c>
      <c r="AH246" s="41">
        <v>4.0</v>
      </c>
      <c r="AI246" s="41">
        <v>3.0</v>
      </c>
      <c r="AJ246" s="41">
        <v>9.0</v>
      </c>
      <c r="AK246" s="41">
        <v>5.0</v>
      </c>
      <c r="AL246" s="41">
        <v>2.0</v>
      </c>
      <c r="AM246" s="43">
        <v>9.0</v>
      </c>
      <c r="AN246" s="43">
        <v>3.0</v>
      </c>
      <c r="AO246" s="43">
        <v>8.0</v>
      </c>
      <c r="AP246" s="43">
        <v>8.0</v>
      </c>
      <c r="AQ246" s="43">
        <v>7.0</v>
      </c>
      <c r="AR246" s="43">
        <v>5.0</v>
      </c>
      <c r="AS246" s="43">
        <v>0.0</v>
      </c>
      <c r="AT246" s="4">
        <f t="shared" si="4"/>
        <v>63.0</v>
      </c>
      <c r="AU246" s="4">
        <f t="shared" si="5"/>
        <v>32.0</v>
      </c>
      <c r="AV246" s="4">
        <f t="shared" si="6"/>
        <v>35.2</v>
      </c>
      <c r="AW246" s="1">
        <f t="shared" si="911"/>
        <v>4.08571428571428</v>
      </c>
      <c r="AX246" s="1">
        <f t="shared" si="912"/>
        <v>5.10714285714285</v>
      </c>
      <c r="AY246" s="1">
        <f t="shared" si="913"/>
        <v>5.5</v>
      </c>
      <c r="AZ246" s="1">
        <f t="shared" si="914"/>
        <v>7.62142857142857</v>
      </c>
      <c r="BA246" s="1">
        <f t="shared" si="915"/>
        <v>4.61428571428571</v>
      </c>
      <c r="BB246" s="1">
        <f t="shared" si="916"/>
        <v>8.07142857142861</v>
      </c>
      <c r="BC246" s="4">
        <f t="shared" si="728"/>
        <v>35.0</v>
      </c>
      <c r="BD246" s="3">
        <f>VLOOKUP(D246,FEB23SOH,2,false)</f>
        <v>62.0</v>
      </c>
      <c r="BE246" s="44">
        <f>VLOOKUP(D246,UNITVALUE,4,false)</f>
        <v>2.9124</v>
      </c>
      <c r="BF246" s="44">
        <f t="shared" si="16"/>
        <v>180.5688</v>
      </c>
      <c r="BI246" s="6">
        <f t="shared" si="917"/>
        <v>27.0</v>
      </c>
      <c r="BJ246" s="1">
        <f>VLOOKUP(C246,MOQ,3,FALSE())</f>
        <v>250.0</v>
      </c>
      <c r="BM246" s="1">
        <f t="shared" si="919"/>
        <v>62.0</v>
      </c>
      <c r="BN246" s="1">
        <f t="shared" si="920"/>
        <v>4.08571428571428</v>
      </c>
      <c r="BP246" s="45">
        <f t="shared" si="921"/>
        <v>57.9142857142857</v>
      </c>
      <c r="BQ246" s="5">
        <f t="shared" si="922"/>
        <v>168.669565714286</v>
      </c>
      <c r="BR246" s="1">
        <f t="shared" si="923"/>
        <v>5.10714285714285</v>
      </c>
      <c r="BS246" s="1">
        <f t="shared" si="924"/>
      </c>
      <c r="BT246" s="45">
        <f t="shared" si="925"/>
        <v>52.8071428571429</v>
      </c>
      <c r="BU246" s="5">
        <f t="shared" si="926"/>
        <v>153.795522857142</v>
      </c>
      <c r="BV246" s="1">
        <f t="shared" si="927"/>
        <v>5.5</v>
      </c>
      <c r="BW246" s="1">
        <f t="shared" si="928"/>
      </c>
      <c r="BX246" s="45">
        <f t="shared" si="929"/>
        <v>47.3071428571429</v>
      </c>
      <c r="BY246" s="5">
        <f t="shared" si="930"/>
        <v>137.777322857142</v>
      </c>
      <c r="BZ246" s="1">
        <f t="shared" si="931"/>
        <v>7.62142857142857</v>
      </c>
      <c r="CB246" s="45">
        <f t="shared" si="932"/>
        <v>39.6857142857143</v>
      </c>
      <c r="CC246" s="5">
        <f t="shared" si="933"/>
        <v>115.580674285714</v>
      </c>
      <c r="CD246" s="1">
        <f t="shared" si="934"/>
        <v>4.61428571428571</v>
      </c>
      <c r="CF246" s="45">
        <f t="shared" si="935"/>
        <v>35.0714285714286</v>
      </c>
      <c r="CG246" s="5">
        <f t="shared" si="936"/>
        <v>102.142028571429</v>
      </c>
      <c r="CH246" s="1">
        <f t="shared" si="937"/>
        <v>8.07142857142861</v>
      </c>
      <c r="CJ246" s="45">
        <f t="shared" si="938"/>
        <v>27.0</v>
      </c>
      <c r="CK246" s="5">
        <f t="shared" si="939"/>
        <v>78.6348</v>
      </c>
    </row>
    <row r="247" ht="17.0">
      <c r="A247" s="41" t="s">
        <v>30</v>
      </c>
      <c r="B247" s="41" t="s">
        <v>520</v>
      </c>
      <c r="C247" s="41" t="s">
        <v>533</v>
      </c>
      <c r="D247" s="42" t="s">
        <v>534</v>
      </c>
      <c r="E247" s="41">
        <v>7.0</v>
      </c>
      <c r="F247" s="41">
        <v>5.0</v>
      </c>
      <c r="G247" s="41">
        <v>5.0</v>
      </c>
      <c r="H247" s="41">
        <v>4.0</v>
      </c>
      <c r="I247" s="41">
        <v>7.0</v>
      </c>
      <c r="J247" s="41">
        <v>5.0</v>
      </c>
      <c r="K247" s="41">
        <v>4.0</v>
      </c>
      <c r="L247" s="41">
        <v>7.0</v>
      </c>
      <c r="M247" s="41">
        <v>5.0</v>
      </c>
      <c r="N247" s="41">
        <v>3.0</v>
      </c>
      <c r="O247" s="41">
        <v>8.0</v>
      </c>
      <c r="P247" s="41">
        <v>12.0</v>
      </c>
      <c r="Q247" s="41">
        <v>4.0</v>
      </c>
      <c r="R247" s="41">
        <v>6.0</v>
      </c>
      <c r="S247" s="41">
        <v>2.0</v>
      </c>
      <c r="T247" s="41">
        <v>3.0</v>
      </c>
      <c r="U247" s="41">
        <v>0.0</v>
      </c>
      <c r="V247" s="41">
        <v>5.0</v>
      </c>
      <c r="W247" s="41">
        <v>5.0</v>
      </c>
      <c r="X247" s="41">
        <v>4.0</v>
      </c>
      <c r="Y247" s="41">
        <v>4.0</v>
      </c>
      <c r="Z247" s="41">
        <v>8.0</v>
      </c>
      <c r="AA247" s="41">
        <v>2.0</v>
      </c>
      <c r="AB247" s="41">
        <v>7.0</v>
      </c>
      <c r="AC247" s="41">
        <v>6.0</v>
      </c>
      <c r="AD247" s="41">
        <v>6.0</v>
      </c>
      <c r="AE247" s="41">
        <v>3.0</v>
      </c>
      <c r="AF247" s="41">
        <v>3.0</v>
      </c>
      <c r="AG247" s="41">
        <v>1.0</v>
      </c>
      <c r="AH247" s="41">
        <v>6.0</v>
      </c>
      <c r="AI247" s="41">
        <v>2.0</v>
      </c>
      <c r="AJ247" s="41">
        <v>6.0</v>
      </c>
      <c r="AK247" s="41">
        <v>1.0</v>
      </c>
      <c r="AL247" s="41">
        <v>4.0</v>
      </c>
      <c r="AM247" s="43">
        <v>10.0</v>
      </c>
      <c r="AN247" s="43">
        <v>5.0</v>
      </c>
      <c r="AO247" s="43">
        <v>3.0</v>
      </c>
      <c r="AP247" s="43">
        <v>8.0</v>
      </c>
      <c r="AQ247" s="43">
        <v>2.0</v>
      </c>
      <c r="AR247" s="43">
        <v>3.0</v>
      </c>
      <c r="AS247" s="43">
        <v>2.0</v>
      </c>
      <c r="AT247" s="4">
        <f t="shared" si="4"/>
        <v>52.0</v>
      </c>
      <c r="AU247" s="4">
        <f t="shared" si="5"/>
        <v>29.0</v>
      </c>
      <c r="AV247" s="4">
        <f t="shared" si="6"/>
        <v>31.9</v>
      </c>
      <c r="AW247" s="1">
        <f t="shared" si="911"/>
        <v>3.71428571428571</v>
      </c>
      <c r="AX247" s="1">
        <f t="shared" si="912"/>
        <v>4.64285714285713</v>
      </c>
      <c r="AY247" s="1">
        <f t="shared" si="913"/>
        <v>5.0</v>
      </c>
      <c r="AZ247" s="1">
        <f t="shared" si="914"/>
        <v>6.92857142857142</v>
      </c>
      <c r="BA247" s="1">
        <f t="shared" si="915"/>
        <v>4.28571428571429</v>
      </c>
      <c r="BB247" s="1">
        <f t="shared" si="916"/>
        <v>7.42857142857142</v>
      </c>
      <c r="BC247" s="4">
        <f t="shared" si="728"/>
        <v>32.0</v>
      </c>
      <c r="BD247" s="3">
        <f>VLOOKUP(D247,FEB23SOH,2,false)</f>
        <v>114.0</v>
      </c>
      <c r="BE247" s="44">
        <f>VLOOKUP(D247,UNITVALUE,4,false)</f>
        <v>3.3069</v>
      </c>
      <c r="BF247" s="44">
        <f t="shared" si="16"/>
        <v>376.9866</v>
      </c>
      <c r="BI247" s="6">
        <f t="shared" si="917"/>
        <v>82.0</v>
      </c>
      <c r="BJ247" s="1">
        <f>VLOOKUP(C247,MOQ,3,FALSE())</f>
        <v>250.0</v>
      </c>
      <c r="BM247" s="1">
        <f t="shared" si="919"/>
        <v>114.0</v>
      </c>
      <c r="BN247" s="1">
        <f t="shared" si="920"/>
        <v>3.71428571428571</v>
      </c>
      <c r="BP247" s="45">
        <f t="shared" si="921"/>
        <v>110.285714285714</v>
      </c>
      <c r="BQ247" s="5">
        <f t="shared" si="922"/>
        <v>364.703828571428</v>
      </c>
      <c r="BR247" s="1">
        <f t="shared" si="923"/>
        <v>4.64285714285713</v>
      </c>
      <c r="BS247" s="1">
        <f t="shared" si="924"/>
      </c>
      <c r="BT247" s="45">
        <f t="shared" si="925"/>
        <v>105.642857142857</v>
      </c>
      <c r="BU247" s="5">
        <f t="shared" si="926"/>
        <v>349.350364285713</v>
      </c>
      <c r="BV247" s="1">
        <f t="shared" si="927"/>
        <v>5.0</v>
      </c>
      <c r="BW247" s="1">
        <f t="shared" si="928"/>
      </c>
      <c r="BX247" s="45">
        <f t="shared" si="929"/>
        <v>100.642857142857</v>
      </c>
      <c r="BY247" s="5">
        <f t="shared" si="930"/>
        <v>332.815864285713</v>
      </c>
      <c r="BZ247" s="1">
        <f t="shared" si="931"/>
        <v>6.92857142857142</v>
      </c>
      <c r="CB247" s="45">
        <f t="shared" si="932"/>
        <v>93.7142857142856</v>
      </c>
      <c r="CC247" s="5">
        <f t="shared" si="933"/>
        <v>309.903771428571</v>
      </c>
      <c r="CD247" s="1">
        <f t="shared" si="934"/>
        <v>4.28571428571429</v>
      </c>
      <c r="CF247" s="45">
        <f t="shared" si="935"/>
        <v>89.4285714285713</v>
      </c>
      <c r="CG247" s="5">
        <f t="shared" si="936"/>
        <v>295.731342857142</v>
      </c>
      <c r="CH247" s="1">
        <f t="shared" si="937"/>
        <v>7.42857142857142</v>
      </c>
      <c r="CJ247" s="45">
        <f t="shared" si="938"/>
        <v>81.9999999999999</v>
      </c>
      <c r="CK247" s="5">
        <f t="shared" si="939"/>
        <v>271.1658</v>
      </c>
    </row>
    <row r="248" ht="17.0">
      <c r="A248" s="41" t="s">
        <v>30</v>
      </c>
      <c r="B248" s="41" t="s">
        <v>520</v>
      </c>
      <c r="C248" s="41" t="s">
        <v>535</v>
      </c>
      <c r="D248" s="42" t="s">
        <v>536</v>
      </c>
      <c r="E248" s="41">
        <v>6.0</v>
      </c>
      <c r="F248" s="41">
        <v>7.0</v>
      </c>
      <c r="G248" s="41">
        <v>7.0</v>
      </c>
      <c r="H248" s="41">
        <v>5.0</v>
      </c>
      <c r="I248" s="41">
        <v>10.0</v>
      </c>
      <c r="J248" s="41">
        <v>1.0</v>
      </c>
      <c r="K248" s="41">
        <v>8.0</v>
      </c>
      <c r="L248" s="41">
        <v>4.0</v>
      </c>
      <c r="M248" s="41">
        <v>9.0</v>
      </c>
      <c r="N248" s="41">
        <v>7.0</v>
      </c>
      <c r="O248" s="41">
        <v>8.0</v>
      </c>
      <c r="P248" s="41">
        <v>9.0</v>
      </c>
      <c r="Q248" s="41">
        <v>7.0</v>
      </c>
      <c r="R248" s="41">
        <v>8.0</v>
      </c>
      <c r="S248" s="41">
        <v>4.0</v>
      </c>
      <c r="T248" s="41">
        <v>9.0</v>
      </c>
      <c r="U248" s="41">
        <v>7.0</v>
      </c>
      <c r="V248" s="41">
        <v>6.0</v>
      </c>
      <c r="W248" s="41">
        <v>11.0</v>
      </c>
      <c r="X248" s="41">
        <v>5.0</v>
      </c>
      <c r="Y248" s="41">
        <v>4.0</v>
      </c>
      <c r="Z248" s="41">
        <v>13.0</v>
      </c>
      <c r="AA248" s="41">
        <v>6.0</v>
      </c>
      <c r="AB248" s="41">
        <v>8.0</v>
      </c>
      <c r="AC248" s="41">
        <v>15.0</v>
      </c>
      <c r="AD248" s="41">
        <v>3.0</v>
      </c>
      <c r="AE248" s="41">
        <v>6.0</v>
      </c>
      <c r="AF248" s="41">
        <v>5.0</v>
      </c>
      <c r="AG248" s="41">
        <v>5.0</v>
      </c>
      <c r="AH248" s="41">
        <v>9.0</v>
      </c>
      <c r="AI248" s="41">
        <v>5.0</v>
      </c>
      <c r="AJ248" s="41">
        <v>6.0</v>
      </c>
      <c r="AK248" s="41">
        <v>9.0</v>
      </c>
      <c r="AL248" s="41">
        <v>3.0</v>
      </c>
      <c r="AM248" s="43">
        <v>18.0</v>
      </c>
      <c r="AN248" s="43">
        <v>4.0</v>
      </c>
      <c r="AO248" s="43">
        <v>9.0</v>
      </c>
      <c r="AP248" s="43">
        <v>4.0</v>
      </c>
      <c r="AQ248" s="43">
        <v>3.0</v>
      </c>
      <c r="AR248" s="43">
        <v>1.0</v>
      </c>
      <c r="AS248" s="43">
        <v>1.0</v>
      </c>
      <c r="AT248" s="4">
        <f t="shared" si="4"/>
        <v>72.0</v>
      </c>
      <c r="AU248" s="4">
        <f t="shared" si="5"/>
        <v>50.0</v>
      </c>
      <c r="AV248" s="4">
        <f t="shared" si="6"/>
        <v>55.0</v>
      </c>
      <c r="AW248" s="1">
        <f t="shared" si="911"/>
        <v>6.31428571428571</v>
      </c>
      <c r="AX248" s="1">
        <f t="shared" si="912"/>
        <v>7.89285714285713</v>
      </c>
      <c r="AY248" s="1">
        <f t="shared" si="913"/>
        <v>8.5</v>
      </c>
      <c r="AZ248" s="1">
        <f t="shared" si="914"/>
        <v>11.7785714285713</v>
      </c>
      <c r="BA248" s="1">
        <f t="shared" si="915"/>
        <v>6.58571428571429</v>
      </c>
      <c r="BB248" s="1">
        <f t="shared" si="916"/>
        <v>11.9285714285714</v>
      </c>
      <c r="BC248" s="4">
        <f t="shared" si="728"/>
        <v>52.9999999999998</v>
      </c>
      <c r="BD248" s="3">
        <f>VLOOKUP(D248,FEB23SOH,2,false)</f>
        <v>144.0</v>
      </c>
      <c r="BE248" s="44">
        <f>VLOOKUP(D248,UNITVALUE,4,false)</f>
        <v>3.2877</v>
      </c>
      <c r="BF248" s="44">
        <f t="shared" si="16"/>
        <v>473.4288</v>
      </c>
      <c r="BI248" s="6">
        <f t="shared" si="917"/>
        <v>91.0000000000002</v>
      </c>
      <c r="BJ248" s="1">
        <f>VLOOKUP(C248,MOQ,3,FALSE())</f>
        <v>250.0</v>
      </c>
      <c r="BM248" s="1">
        <f t="shared" si="919"/>
        <v>144.0</v>
      </c>
      <c r="BN248" s="1">
        <f t="shared" si="920"/>
        <v>6.31428571428571</v>
      </c>
      <c r="BP248" s="45">
        <f t="shared" si="921"/>
        <v>137.685714285714</v>
      </c>
      <c r="BQ248" s="5">
        <f t="shared" si="922"/>
        <v>452.669322857141</v>
      </c>
      <c r="BR248" s="1">
        <f t="shared" si="923"/>
        <v>7.89285714285713</v>
      </c>
      <c r="BS248" s="1">
        <f t="shared" si="924"/>
      </c>
      <c r="BT248" s="45">
        <f t="shared" si="925"/>
        <v>129.792857142857</v>
      </c>
      <c r="BU248" s="5">
        <f t="shared" si="926"/>
        <v>426.719976428571</v>
      </c>
      <c r="BV248" s="1">
        <f t="shared" si="927"/>
        <v>8.5</v>
      </c>
      <c r="BW248" s="1">
        <f t="shared" si="928"/>
      </c>
      <c r="BX248" s="45">
        <f t="shared" si="929"/>
        <v>121.292857142857</v>
      </c>
      <c r="BY248" s="5">
        <f t="shared" si="930"/>
        <v>398.774526428571</v>
      </c>
      <c r="BZ248" s="1">
        <f t="shared" si="931"/>
        <v>11.7785714285713</v>
      </c>
      <c r="CB248" s="45">
        <f t="shared" si="932"/>
        <v>109.5142857142</v>
      </c>
      <c r="CC248" s="5">
        <f t="shared" si="933"/>
        <v>360.050117142575</v>
      </c>
      <c r="CD248" s="1">
        <f t="shared" si="934"/>
        <v>6.58571428571429</v>
      </c>
      <c r="CF248" s="45">
        <f t="shared" si="935"/>
        <v>102.928571428486</v>
      </c>
      <c r="CG248" s="5">
        <f t="shared" si="936"/>
        <v>338.398264285433</v>
      </c>
      <c r="CH248" s="1">
        <f t="shared" si="937"/>
        <v>11.9285714285714</v>
      </c>
      <c r="CJ248" s="45">
        <f t="shared" si="938"/>
        <v>90.999999999914</v>
      </c>
      <c r="CK248" s="5">
        <f t="shared" si="939"/>
        <v>299.180699999717</v>
      </c>
    </row>
    <row r="249" ht="17.0">
      <c r="A249" s="41" t="s">
        <v>30</v>
      </c>
      <c r="B249" s="41" t="s">
        <v>520</v>
      </c>
      <c r="C249" s="41" t="s">
        <v>537</v>
      </c>
      <c r="D249" s="42" t="s">
        <v>538</v>
      </c>
      <c r="E249" s="41">
        <v>15.0</v>
      </c>
      <c r="F249" s="41">
        <v>13.0</v>
      </c>
      <c r="G249" s="41">
        <v>15.0</v>
      </c>
      <c r="H249" s="41">
        <v>4.0</v>
      </c>
      <c r="I249" s="41">
        <v>12.0</v>
      </c>
      <c r="J249" s="41">
        <v>11.0</v>
      </c>
      <c r="K249" s="41">
        <v>9.0</v>
      </c>
      <c r="L249" s="41">
        <v>12.0</v>
      </c>
      <c r="M249" s="41">
        <v>15.0</v>
      </c>
      <c r="N249" s="41">
        <v>10.0</v>
      </c>
      <c r="O249" s="41">
        <v>13.0</v>
      </c>
      <c r="P249" s="41">
        <v>22.0</v>
      </c>
      <c r="Q249" s="41">
        <v>14.0</v>
      </c>
      <c r="R249" s="41">
        <v>5.0</v>
      </c>
      <c r="S249" s="41">
        <v>9.0</v>
      </c>
      <c r="T249" s="41">
        <v>16.0</v>
      </c>
      <c r="U249" s="41">
        <v>10.0</v>
      </c>
      <c r="V249" s="41">
        <v>21.0</v>
      </c>
      <c r="W249" s="41">
        <v>6.0</v>
      </c>
      <c r="X249" s="41">
        <v>12.0</v>
      </c>
      <c r="Y249" s="41">
        <v>7.0</v>
      </c>
      <c r="Z249" s="41">
        <v>27.0</v>
      </c>
      <c r="AA249" s="41">
        <v>8.0</v>
      </c>
      <c r="AB249" s="41">
        <v>11.0</v>
      </c>
      <c r="AC249" s="41">
        <v>23.0</v>
      </c>
      <c r="AD249" s="41">
        <v>12.0</v>
      </c>
      <c r="AE249" s="41">
        <v>5.0</v>
      </c>
      <c r="AF249" s="41">
        <v>11.0</v>
      </c>
      <c r="AG249" s="41">
        <v>10.0</v>
      </c>
      <c r="AH249" s="41">
        <v>9.0</v>
      </c>
      <c r="AI249" s="41">
        <v>5.0</v>
      </c>
      <c r="AJ249" s="41">
        <v>9.0</v>
      </c>
      <c r="AK249" s="41">
        <v>9.0</v>
      </c>
      <c r="AL249" s="41">
        <v>7.0</v>
      </c>
      <c r="AM249" s="43">
        <v>17.0</v>
      </c>
      <c r="AN249" s="43">
        <v>5.0</v>
      </c>
      <c r="AO249" s="43">
        <v>11.0</v>
      </c>
      <c r="AP249" s="43">
        <v>10.0</v>
      </c>
      <c r="AQ249" s="43">
        <v>1.0</v>
      </c>
      <c r="AR249" s="43">
        <v>4.0</v>
      </c>
      <c r="AS249" s="43">
        <v>7.0</v>
      </c>
      <c r="AT249" s="4">
        <f t="shared" si="4"/>
        <v>94.0</v>
      </c>
      <c r="AU249" s="4">
        <f t="shared" si="5"/>
        <v>56.0</v>
      </c>
      <c r="AV249" s="4">
        <f t="shared" si="6"/>
        <v>61.6</v>
      </c>
      <c r="AW249" s="1">
        <f t="shared" si="911"/>
        <v>7.05714285714285</v>
      </c>
      <c r="AX249" s="1">
        <f t="shared" si="912"/>
        <v>8.8214285714286</v>
      </c>
      <c r="AY249" s="1">
        <f t="shared" si="913"/>
        <v>9.5</v>
      </c>
      <c r="AZ249" s="1">
        <f t="shared" si="914"/>
        <v>13.164285714286</v>
      </c>
      <c r="BA249" s="1">
        <f t="shared" si="915"/>
        <v>7.24285714285714</v>
      </c>
      <c r="BB249" s="1">
        <f t="shared" si="916"/>
        <v>13.2142857142857</v>
      </c>
      <c r="BC249" s="4">
        <f t="shared" si="728"/>
        <v>59.0000000000002</v>
      </c>
      <c r="BD249" s="3">
        <f>VLOOKUP(D249,FEB23SOH,2,false)</f>
        <v>201.0</v>
      </c>
      <c r="BE249" s="44">
        <f>VLOOKUP(D249,UNITVALUE,4,false)</f>
        <v>3.6236</v>
      </c>
      <c r="BF249" s="44">
        <f t="shared" si="16"/>
        <v>728.3436</v>
      </c>
      <c r="BI249" s="6">
        <f t="shared" si="917"/>
        <v>142.0</v>
      </c>
      <c r="BJ249" s="1">
        <f>VLOOKUP(C249,MOQ,3,FALSE())</f>
        <v>250.0</v>
      </c>
      <c r="BM249" s="1">
        <f t="shared" si="919"/>
        <v>201.0</v>
      </c>
      <c r="BN249" s="1">
        <f t="shared" si="920"/>
        <v>7.05714285714285</v>
      </c>
      <c r="BP249" s="45">
        <f t="shared" si="921"/>
        <v>193.942857142857</v>
      </c>
      <c r="BQ249" s="5">
        <f t="shared" si="922"/>
        <v>702.77133714286</v>
      </c>
      <c r="BR249" s="1">
        <f t="shared" si="923"/>
        <v>8.8214285714286</v>
      </c>
      <c r="BS249" s="1">
        <f t="shared" si="924"/>
      </c>
      <c r="BT249" s="45">
        <f t="shared" si="925"/>
        <v>185.121428571428</v>
      </c>
      <c r="BU249" s="5">
        <f t="shared" si="926"/>
        <v>670.806008571427</v>
      </c>
      <c r="BV249" s="1">
        <f t="shared" si="927"/>
        <v>9.5</v>
      </c>
      <c r="BW249" s="1">
        <f t="shared" si="928"/>
      </c>
      <c r="BX249" s="45">
        <f t="shared" si="929"/>
        <v>175.621428571428</v>
      </c>
      <c r="BY249" s="5">
        <f t="shared" si="930"/>
        <v>636.381808571427</v>
      </c>
      <c r="BZ249" s="1">
        <f t="shared" si="931"/>
        <v>13.164285714286</v>
      </c>
      <c r="CB249" s="45">
        <f t="shared" si="932"/>
        <v>162.457142857142</v>
      </c>
      <c r="CC249" s="5">
        <f t="shared" si="933"/>
        <v>588.67970285714</v>
      </c>
      <c r="CD249" s="1">
        <f t="shared" si="934"/>
        <v>7.24285714285714</v>
      </c>
      <c r="CF249" s="45">
        <f t="shared" si="935"/>
        <v>155.214285714284</v>
      </c>
      <c r="CG249" s="5">
        <f t="shared" si="936"/>
        <v>562.43448571428</v>
      </c>
      <c r="CH249" s="1">
        <f t="shared" si="937"/>
        <v>13.2142857142857</v>
      </c>
      <c r="CJ249" s="45">
        <f t="shared" si="938"/>
        <v>141.999999999998</v>
      </c>
      <c r="CK249" s="5">
        <f t="shared" si="939"/>
        <v>514.551199999992</v>
      </c>
    </row>
    <row r="250" ht="17.0">
      <c r="A250" s="41" t="s">
        <v>30</v>
      </c>
      <c r="B250" s="41" t="s">
        <v>520</v>
      </c>
      <c r="C250" s="41" t="s">
        <v>539</v>
      </c>
      <c r="D250" s="42" t="s">
        <v>540</v>
      </c>
      <c r="E250" s="41">
        <v>12.0</v>
      </c>
      <c r="F250" s="41">
        <v>12.0</v>
      </c>
      <c r="G250" s="41">
        <v>22.0</v>
      </c>
      <c r="H250" s="41">
        <v>12.0</v>
      </c>
      <c r="I250" s="41">
        <v>23.0</v>
      </c>
      <c r="J250" s="41">
        <v>11.0</v>
      </c>
      <c r="K250" s="41">
        <v>16.0</v>
      </c>
      <c r="L250" s="41">
        <v>14.0</v>
      </c>
      <c r="M250" s="41">
        <v>13.0</v>
      </c>
      <c r="N250" s="41">
        <v>17.0</v>
      </c>
      <c r="O250" s="41">
        <v>16.0</v>
      </c>
      <c r="P250" s="41">
        <v>25.0</v>
      </c>
      <c r="Q250" s="41">
        <v>21.0</v>
      </c>
      <c r="R250" s="41">
        <v>15.0</v>
      </c>
      <c r="S250" s="41">
        <v>20.0</v>
      </c>
      <c r="T250" s="41">
        <v>21.0</v>
      </c>
      <c r="U250" s="41">
        <v>15.0</v>
      </c>
      <c r="V250" s="41">
        <v>12.0</v>
      </c>
      <c r="W250" s="41">
        <v>11.0</v>
      </c>
      <c r="X250" s="41">
        <v>14.0</v>
      </c>
      <c r="Y250" s="41">
        <v>7.0</v>
      </c>
      <c r="Z250" s="41">
        <v>10.0</v>
      </c>
      <c r="AA250" s="41">
        <v>0.0</v>
      </c>
      <c r="AB250" s="41">
        <v>14.0</v>
      </c>
      <c r="AC250" s="41">
        <v>20.0</v>
      </c>
      <c r="AD250" s="41">
        <v>22.0</v>
      </c>
      <c r="AE250" s="41">
        <v>4.0</v>
      </c>
      <c r="AF250" s="41">
        <v>18.0</v>
      </c>
      <c r="AG250" s="41">
        <v>17.0</v>
      </c>
      <c r="AH250" s="41">
        <v>8.0</v>
      </c>
      <c r="AI250" s="41">
        <v>12.0</v>
      </c>
      <c r="AJ250" s="41">
        <v>14.0</v>
      </c>
      <c r="AK250" s="41">
        <v>8.0</v>
      </c>
      <c r="AL250" s="41">
        <v>2.0</v>
      </c>
      <c r="AM250" s="43">
        <v>21.0</v>
      </c>
      <c r="AN250" s="43">
        <v>12.0</v>
      </c>
      <c r="AO250" s="43">
        <v>11.0</v>
      </c>
      <c r="AP250" s="43">
        <v>26.0</v>
      </c>
      <c r="AQ250" s="43">
        <v>9.0</v>
      </c>
      <c r="AR250" s="43">
        <v>12.0</v>
      </c>
      <c r="AS250" s="43">
        <v>7.0</v>
      </c>
      <c r="AT250" s="4">
        <f t="shared" si="4"/>
        <v>142.0</v>
      </c>
      <c r="AU250" s="4">
        <f t="shared" si="5"/>
        <v>65.0</v>
      </c>
      <c r="AV250" s="4">
        <f t="shared" si="6"/>
        <v>71.5</v>
      </c>
      <c r="AW250" s="1">
        <f t="shared" si="911"/>
        <v>8.17142857142856</v>
      </c>
      <c r="AX250" s="1">
        <f t="shared" si="912"/>
        <v>10.2142857142857</v>
      </c>
      <c r="AY250" s="1">
        <f t="shared" si="913"/>
        <v>11.0</v>
      </c>
      <c r="AZ250" s="1">
        <f t="shared" si="914"/>
        <v>15.2428571428571</v>
      </c>
      <c r="BA250" s="1">
        <f t="shared" si="915"/>
        <v>8.22857142857142</v>
      </c>
      <c r="BB250" s="1">
        <f t="shared" si="916"/>
        <v>15.1428571428571</v>
      </c>
      <c r="BC250" s="4">
        <f t="shared" si="728"/>
        <v>67.9999999999999</v>
      </c>
      <c r="BD250" s="3">
        <f>VLOOKUP(D250,FEB23SOH,2,false)</f>
        <v>292.0</v>
      </c>
      <c r="BE250" s="44">
        <f>VLOOKUP(D250,UNITVALUE,4,false)</f>
        <v>3.6233</v>
      </c>
      <c r="BF250" s="44">
        <f t="shared" si="16"/>
        <v>1058.0036</v>
      </c>
      <c r="BI250" s="6">
        <f t="shared" si="917"/>
        <v>224.0</v>
      </c>
      <c r="BJ250" s="1">
        <f>VLOOKUP(C250,MOQ,3,FALSE())</f>
        <v>250.0</v>
      </c>
      <c r="BM250" s="1">
        <f t="shared" si="919"/>
        <v>292.0</v>
      </c>
      <c r="BN250" s="1">
        <f t="shared" si="920"/>
        <v>8.17142857142856</v>
      </c>
      <c r="BP250" s="45">
        <f t="shared" si="921"/>
        <v>283.828571428571</v>
      </c>
      <c r="BQ250" s="5">
        <f t="shared" si="922"/>
        <v>1028.39606285714</v>
      </c>
      <c r="BR250" s="1">
        <f t="shared" si="923"/>
        <v>10.2142857142857</v>
      </c>
      <c r="BS250" s="1">
        <f t="shared" si="924"/>
      </c>
      <c r="BT250" s="45">
        <f t="shared" si="925"/>
        <v>273.614285714285</v>
      </c>
      <c r="BU250" s="5">
        <f t="shared" si="926"/>
        <v>991.38664142857</v>
      </c>
      <c r="BV250" s="1">
        <f t="shared" si="927"/>
        <v>11.0</v>
      </c>
      <c r="BW250" s="1">
        <f t="shared" si="928"/>
      </c>
      <c r="BX250" s="45">
        <f t="shared" si="929"/>
        <v>262.614285714285</v>
      </c>
      <c r="BY250" s="5">
        <f t="shared" si="930"/>
        <v>951.530341428569</v>
      </c>
      <c r="BZ250" s="1">
        <f t="shared" si="931"/>
        <v>15.2428571428571</v>
      </c>
      <c r="CB250" s="45">
        <f t="shared" si="932"/>
        <v>247.371428571428</v>
      </c>
      <c r="CC250" s="5">
        <f t="shared" si="933"/>
        <v>896.300897142855</v>
      </c>
      <c r="CD250" s="1">
        <f t="shared" si="934"/>
        <v>8.22857142857142</v>
      </c>
      <c r="CF250" s="45">
        <f t="shared" si="935"/>
        <v>239.142857142857</v>
      </c>
      <c r="CG250" s="5">
        <f t="shared" si="936"/>
        <v>866.486314285713</v>
      </c>
      <c r="CH250" s="1">
        <f t="shared" si="937"/>
        <v>15.1428571428571</v>
      </c>
      <c r="CJ250" s="45">
        <f t="shared" si="938"/>
        <v>224.0</v>
      </c>
      <c r="CK250" s="5">
        <f t="shared" si="939"/>
        <v>811.6192</v>
      </c>
    </row>
    <row r="251" ht="17.0">
      <c r="A251" s="41" t="s">
        <v>30</v>
      </c>
      <c r="B251" s="41" t="s">
        <v>520</v>
      </c>
      <c r="C251" s="41" t="s">
        <v>541</v>
      </c>
      <c r="D251" s="42" t="s">
        <v>542</v>
      </c>
      <c r="E251" s="41">
        <v>14.0</v>
      </c>
      <c r="F251" s="41">
        <v>9.0</v>
      </c>
      <c r="G251" s="41">
        <v>12.0</v>
      </c>
      <c r="H251" s="41">
        <v>6.0</v>
      </c>
      <c r="I251" s="41">
        <v>8.0</v>
      </c>
      <c r="J251" s="41">
        <v>12.0</v>
      </c>
      <c r="K251" s="41">
        <v>11.0</v>
      </c>
      <c r="L251" s="41">
        <v>9.0</v>
      </c>
      <c r="M251" s="41">
        <v>14.0</v>
      </c>
      <c r="N251" s="41">
        <v>18.0</v>
      </c>
      <c r="O251" s="41">
        <v>12.0</v>
      </c>
      <c r="P251" s="41">
        <v>11.0</v>
      </c>
      <c r="Q251" s="41">
        <v>11.0</v>
      </c>
      <c r="R251" s="41">
        <v>13.0</v>
      </c>
      <c r="S251" s="41">
        <v>11.0</v>
      </c>
      <c r="T251" s="41">
        <v>12.0</v>
      </c>
      <c r="U251" s="41">
        <v>5.0</v>
      </c>
      <c r="V251" s="41">
        <v>14.0</v>
      </c>
      <c r="W251" s="41">
        <v>8.0</v>
      </c>
      <c r="X251" s="41">
        <v>7.0</v>
      </c>
      <c r="Y251" s="41">
        <v>7.0</v>
      </c>
      <c r="Z251" s="41">
        <v>25.0</v>
      </c>
      <c r="AA251" s="41">
        <v>5.0</v>
      </c>
      <c r="AB251" s="41">
        <v>11.0</v>
      </c>
      <c r="AC251" s="41">
        <v>18.0</v>
      </c>
      <c r="AD251" s="41">
        <v>11.0</v>
      </c>
      <c r="AE251" s="41">
        <v>9.0</v>
      </c>
      <c r="AF251" s="41">
        <v>20.0</v>
      </c>
      <c r="AG251" s="41">
        <v>8.0</v>
      </c>
      <c r="AH251" s="41">
        <v>6.0</v>
      </c>
      <c r="AI251" s="41">
        <v>8.0</v>
      </c>
      <c r="AJ251" s="41">
        <v>10.0</v>
      </c>
      <c r="AK251" s="41">
        <v>8.0</v>
      </c>
      <c r="AL251" s="41">
        <v>5.0</v>
      </c>
      <c r="AM251" s="43">
        <v>16.0</v>
      </c>
      <c r="AN251" s="43">
        <v>7.0</v>
      </c>
      <c r="AO251" s="43">
        <v>10.0</v>
      </c>
      <c r="AP251" s="43">
        <v>19.0</v>
      </c>
      <c r="AQ251" s="43">
        <v>9.0</v>
      </c>
      <c r="AR251" s="43">
        <v>6.0</v>
      </c>
      <c r="AS251" s="43">
        <v>0.0</v>
      </c>
      <c r="AT251" s="4">
        <f t="shared" si="4"/>
        <v>104.0</v>
      </c>
      <c r="AU251" s="4">
        <f t="shared" si="5"/>
        <v>53.0</v>
      </c>
      <c r="AV251" s="4">
        <f t="shared" si="6"/>
        <v>58.3</v>
      </c>
      <c r="AW251" s="1">
        <f t="shared" si="911"/>
        <v>6.68571428571428</v>
      </c>
      <c r="AX251" s="1">
        <f t="shared" si="912"/>
        <v>8.35714285714285</v>
      </c>
      <c r="AY251" s="1">
        <f t="shared" si="913"/>
        <v>9.0</v>
      </c>
      <c r="AZ251" s="1">
        <f t="shared" si="914"/>
        <v>12.4714285714284</v>
      </c>
      <c r="BA251" s="1">
        <f t="shared" si="915"/>
        <v>6.91428571428571</v>
      </c>
      <c r="BB251" s="1">
        <f t="shared" si="916"/>
        <v>12.5714285714286</v>
      </c>
      <c r="BC251" s="4">
        <f t="shared" si="728"/>
        <v>55.9999999999998</v>
      </c>
      <c r="BD251" s="3">
        <f>VLOOKUP(D251,FEB23SOH,2,false)</f>
        <v>221.0</v>
      </c>
      <c r="BE251" s="44">
        <f>VLOOKUP(D251,UNITVALUE,4,false)</f>
        <v>3.6232</v>
      </c>
      <c r="BF251" s="44">
        <f t="shared" si="16"/>
        <v>800.7272</v>
      </c>
      <c r="BI251" s="6">
        <f t="shared" si="917"/>
        <v>165.0</v>
      </c>
      <c r="BJ251" s="1">
        <f>VLOOKUP(C251,MOQ,3,FALSE())</f>
        <v>250.0</v>
      </c>
      <c r="BM251" s="1">
        <f t="shared" si="919"/>
        <v>221.0</v>
      </c>
      <c r="BN251" s="1">
        <f t="shared" si="920"/>
        <v>6.68571428571428</v>
      </c>
      <c r="BP251" s="45">
        <f t="shared" si="921"/>
        <v>214.314285714286</v>
      </c>
      <c r="BQ251" s="5">
        <f t="shared" si="922"/>
        <v>776.503520000001</v>
      </c>
      <c r="BR251" s="1">
        <f t="shared" si="923"/>
        <v>8.35714285714285</v>
      </c>
      <c r="BS251" s="1">
        <f t="shared" si="924"/>
      </c>
      <c r="BT251" s="45">
        <f t="shared" si="925"/>
        <v>205.957142857143</v>
      </c>
      <c r="BU251" s="5">
        <f t="shared" si="926"/>
        <v>746.22392</v>
      </c>
      <c r="BV251" s="1">
        <f t="shared" si="927"/>
        <v>9.0</v>
      </c>
      <c r="BW251" s="1">
        <f t="shared" si="928"/>
      </c>
      <c r="BX251" s="45">
        <f t="shared" si="929"/>
        <v>196.957142857143</v>
      </c>
      <c r="BY251" s="5">
        <f t="shared" si="930"/>
        <v>713.61512</v>
      </c>
      <c r="BZ251" s="1">
        <f t="shared" si="931"/>
        <v>12.4714285714284</v>
      </c>
      <c r="CB251" s="45">
        <f t="shared" si="932"/>
        <v>184.485714285714</v>
      </c>
      <c r="CC251" s="5">
        <f t="shared" si="933"/>
        <v>668.428639999999</v>
      </c>
      <c r="CD251" s="1">
        <f t="shared" si="934"/>
        <v>6.91428571428571</v>
      </c>
      <c r="CF251" s="45">
        <f t="shared" si="935"/>
        <v>177.571428571428</v>
      </c>
      <c r="CG251" s="5">
        <f t="shared" si="936"/>
        <v>643.376799999998</v>
      </c>
      <c r="CH251" s="1">
        <f t="shared" si="937"/>
        <v>12.5714285714286</v>
      </c>
      <c r="CJ251" s="45">
        <f t="shared" si="938"/>
        <v>164.999999999999</v>
      </c>
      <c r="CK251" s="5">
        <f t="shared" si="939"/>
        <v>597.827999999997</v>
      </c>
    </row>
    <row r="252" ht="17.0">
      <c r="A252" s="41" t="s">
        <v>30</v>
      </c>
      <c r="B252" s="41" t="s">
        <v>520</v>
      </c>
      <c r="C252" s="41" t="s">
        <v>543</v>
      </c>
      <c r="D252" s="42" t="s">
        <v>544</v>
      </c>
      <c r="E252" s="41">
        <v>5.0</v>
      </c>
      <c r="F252" s="41">
        <v>5.0</v>
      </c>
      <c r="G252" s="41">
        <v>6.0</v>
      </c>
      <c r="H252" s="41">
        <v>5.0</v>
      </c>
      <c r="I252" s="41">
        <v>9.0</v>
      </c>
      <c r="J252" s="41">
        <v>5.0</v>
      </c>
      <c r="K252" s="41">
        <v>3.0</v>
      </c>
      <c r="L252" s="41">
        <v>11.0</v>
      </c>
      <c r="M252" s="41">
        <v>8.0</v>
      </c>
      <c r="N252" s="41">
        <v>9.0</v>
      </c>
      <c r="O252" s="41">
        <v>8.0</v>
      </c>
      <c r="P252" s="41">
        <v>3.0</v>
      </c>
      <c r="Q252" s="41">
        <v>10.0</v>
      </c>
      <c r="R252" s="41">
        <v>7.0</v>
      </c>
      <c r="S252" s="41">
        <v>9.0</v>
      </c>
      <c r="T252" s="41">
        <v>8.0</v>
      </c>
      <c r="U252" s="41">
        <v>4.0</v>
      </c>
      <c r="V252" s="41">
        <v>19.0</v>
      </c>
      <c r="W252" s="41">
        <v>6.0</v>
      </c>
      <c r="X252" s="41">
        <v>4.0</v>
      </c>
      <c r="Y252" s="41">
        <v>5.0</v>
      </c>
      <c r="Z252" s="41">
        <v>15.0</v>
      </c>
      <c r="AA252" s="41">
        <v>7.0</v>
      </c>
      <c r="AB252" s="41">
        <v>11.0</v>
      </c>
      <c r="AC252" s="41">
        <v>8.0</v>
      </c>
      <c r="AD252" s="41">
        <v>10.0</v>
      </c>
      <c r="AE252" s="41">
        <v>7.0</v>
      </c>
      <c r="AF252" s="41">
        <v>12.0</v>
      </c>
      <c r="AG252" s="41">
        <v>3.0</v>
      </c>
      <c r="AH252" s="41">
        <v>7.0</v>
      </c>
      <c r="AI252" s="41">
        <v>6.0</v>
      </c>
      <c r="AJ252" s="41">
        <v>6.0</v>
      </c>
      <c r="AK252" s="41">
        <v>6.0</v>
      </c>
      <c r="AL252" s="41">
        <v>3.0</v>
      </c>
      <c r="AM252" s="43">
        <v>10.0</v>
      </c>
      <c r="AN252" s="43">
        <v>9.0</v>
      </c>
      <c r="AO252" s="43">
        <v>6.0</v>
      </c>
      <c r="AP252" s="43">
        <v>12.0</v>
      </c>
      <c r="AQ252" s="43">
        <v>4.0</v>
      </c>
      <c r="AR252" s="43">
        <v>3.0</v>
      </c>
      <c r="AS252" s="43">
        <v>1.0</v>
      </c>
      <c r="AT252" s="4">
        <f t="shared" si="4"/>
        <v>73.0</v>
      </c>
      <c r="AU252" s="4">
        <f t="shared" si="5"/>
        <v>38.0</v>
      </c>
      <c r="AV252" s="4">
        <f t="shared" si="6"/>
        <v>41.8</v>
      </c>
      <c r="AW252" s="1">
        <f t="shared" si="911"/>
        <v>4.82857142857142</v>
      </c>
      <c r="AX252" s="1">
        <f t="shared" si="912"/>
        <v>6.03571428571428</v>
      </c>
      <c r="AY252" s="1">
        <f t="shared" si="913"/>
        <v>6.5</v>
      </c>
      <c r="AZ252" s="1">
        <f t="shared" si="914"/>
        <v>9.00714285714286</v>
      </c>
      <c r="BA252" s="1">
        <f t="shared" si="915"/>
        <v>5.27142857142857</v>
      </c>
      <c r="BB252" s="1">
        <f t="shared" si="916"/>
        <v>9.35714285714285</v>
      </c>
      <c r="BC252" s="4">
        <f t="shared" si="728"/>
        <v>41.0</v>
      </c>
      <c r="BD252" s="3">
        <f>VLOOKUP(D252,FEB23SOH,2,false)</f>
        <v>121.0</v>
      </c>
      <c r="BE252" s="44">
        <f>VLOOKUP(D252,UNITVALUE,4,false)</f>
        <v>3.2851</v>
      </c>
      <c r="BF252" s="44">
        <f t="shared" si="16"/>
        <v>397.4971</v>
      </c>
      <c r="BI252" s="6">
        <f t="shared" si="917"/>
        <v>80.0</v>
      </c>
      <c r="BJ252" s="1">
        <f>VLOOKUP(C252,MOQ,3,FALSE())</f>
        <v>250.0</v>
      </c>
      <c r="BM252" s="1">
        <f t="shared" si="919"/>
        <v>121.0</v>
      </c>
      <c r="BN252" s="1">
        <f t="shared" si="920"/>
        <v>4.82857142857142</v>
      </c>
      <c r="BP252" s="45">
        <f t="shared" si="921"/>
        <v>116.17142857142</v>
      </c>
      <c r="BQ252" s="5">
        <f t="shared" si="922"/>
        <v>381.634759999971</v>
      </c>
      <c r="BR252" s="1">
        <f t="shared" si="923"/>
        <v>6.03571428571428</v>
      </c>
      <c r="BS252" s="1">
        <f t="shared" si="924"/>
      </c>
      <c r="BT252" s="45">
        <f t="shared" si="925"/>
        <v>110.135714285706</v>
      </c>
      <c r="BU252" s="5">
        <f t="shared" si="926"/>
        <v>361.806834999972</v>
      </c>
      <c r="BV252" s="1">
        <f t="shared" si="927"/>
        <v>6.5</v>
      </c>
      <c r="BW252" s="1">
        <f t="shared" si="928"/>
      </c>
      <c r="BX252" s="45">
        <f t="shared" si="929"/>
        <v>103.635714285706</v>
      </c>
      <c r="BY252" s="5">
        <f t="shared" si="930"/>
        <v>340.453684999972</v>
      </c>
      <c r="BZ252" s="1">
        <f t="shared" si="931"/>
        <v>9.00714285714286</v>
      </c>
      <c r="CB252" s="45">
        <f t="shared" si="932"/>
        <v>94.6285714285631</v>
      </c>
      <c r="CC252" s="5">
        <f t="shared" si="933"/>
        <v>310.864319999972</v>
      </c>
      <c r="CD252" s="1">
        <f t="shared" si="934"/>
        <v>5.27142857142857</v>
      </c>
      <c r="CF252" s="45">
        <f t="shared" si="935"/>
        <v>89.3571428571345</v>
      </c>
      <c r="CG252" s="5">
        <f t="shared" si="936"/>
        <v>293.547149999972</v>
      </c>
      <c r="CH252" s="1">
        <f t="shared" si="937"/>
        <v>9.35714285714285</v>
      </c>
      <c r="CJ252" s="45">
        <f t="shared" si="938"/>
        <v>79.9999999999917</v>
      </c>
      <c r="CK252" s="5">
        <f t="shared" si="939"/>
        <v>262.807999999972</v>
      </c>
    </row>
    <row r="253" ht="17.0">
      <c r="A253" s="41" t="s">
        <v>30</v>
      </c>
      <c r="B253" s="41" t="s">
        <v>520</v>
      </c>
      <c r="C253" s="41" t="s">
        <v>545</v>
      </c>
      <c r="D253" s="42" t="s">
        <v>546</v>
      </c>
      <c r="E253" s="41">
        <v>8.0</v>
      </c>
      <c r="F253" s="41">
        <v>10.0</v>
      </c>
      <c r="G253" s="41">
        <v>4.0</v>
      </c>
      <c r="H253" s="41">
        <v>4.0</v>
      </c>
      <c r="I253" s="41">
        <v>9.0</v>
      </c>
      <c r="J253" s="41">
        <v>6.0</v>
      </c>
      <c r="K253" s="41">
        <v>7.0</v>
      </c>
      <c r="L253" s="41">
        <v>7.0</v>
      </c>
      <c r="M253" s="41">
        <v>13.0</v>
      </c>
      <c r="N253" s="41">
        <v>9.0</v>
      </c>
      <c r="O253" s="41">
        <v>6.0</v>
      </c>
      <c r="P253" s="41">
        <v>7.0</v>
      </c>
      <c r="Q253" s="41">
        <v>8.0</v>
      </c>
      <c r="R253" s="41">
        <v>10.0</v>
      </c>
      <c r="S253" s="41">
        <v>3.0</v>
      </c>
      <c r="T253" s="41">
        <v>6.0</v>
      </c>
      <c r="U253" s="41">
        <v>4.0</v>
      </c>
      <c r="V253" s="41">
        <v>6.0</v>
      </c>
      <c r="W253" s="41">
        <v>8.0</v>
      </c>
      <c r="X253" s="41">
        <v>5.0</v>
      </c>
      <c r="Y253" s="41">
        <v>4.0</v>
      </c>
      <c r="Z253" s="41">
        <v>11.0</v>
      </c>
      <c r="AA253" s="41">
        <v>3.0</v>
      </c>
      <c r="AB253" s="41">
        <v>12.0</v>
      </c>
      <c r="AC253" s="41">
        <v>4.0</v>
      </c>
      <c r="AD253" s="41">
        <v>6.0</v>
      </c>
      <c r="AE253" s="41">
        <v>12.0</v>
      </c>
      <c r="AF253" s="41">
        <v>8.0</v>
      </c>
      <c r="AG253" s="41">
        <v>3.0</v>
      </c>
      <c r="AH253" s="41">
        <v>1.0</v>
      </c>
      <c r="AI253" s="41">
        <v>3.0</v>
      </c>
      <c r="AJ253" s="41">
        <v>4.0</v>
      </c>
      <c r="AK253" s="41">
        <v>4.0</v>
      </c>
      <c r="AL253" s="41">
        <v>5.0</v>
      </c>
      <c r="AM253" s="43">
        <v>9.0</v>
      </c>
      <c r="AN253" s="43">
        <v>-1.0</v>
      </c>
      <c r="AO253" s="43">
        <v>5.0</v>
      </c>
      <c r="AP253" s="43">
        <v>8.0</v>
      </c>
      <c r="AQ253" s="43">
        <v>0.0</v>
      </c>
      <c r="AR253" s="43">
        <v>1.0</v>
      </c>
      <c r="AS253" s="43">
        <v>9.0</v>
      </c>
      <c r="AT253" s="4">
        <f t="shared" si="4"/>
        <v>48.0</v>
      </c>
      <c r="AU253" s="4">
        <f t="shared" si="5"/>
        <v>26.0</v>
      </c>
      <c r="AV253" s="4">
        <f t="shared" si="6"/>
        <v>28.6</v>
      </c>
      <c r="AW253" s="1">
        <f t="shared" si="911"/>
        <v>3.34285714285713</v>
      </c>
      <c r="AX253" s="1">
        <f t="shared" si="912"/>
        <v>4.17857142857142</v>
      </c>
      <c r="AY253" s="1">
        <f t="shared" si="913"/>
        <v>4.5</v>
      </c>
      <c r="AZ253" s="1">
        <f t="shared" si="914"/>
        <v>6.23571428571428</v>
      </c>
      <c r="BA253" s="1">
        <f t="shared" si="915"/>
        <v>3.95714285714285</v>
      </c>
      <c r="BB253" s="1">
        <f t="shared" si="916"/>
        <v>6.78571428571429</v>
      </c>
      <c r="BC253" s="4">
        <f t="shared" si="728"/>
        <v>29.0</v>
      </c>
      <c r="BD253" s="3">
        <f>VLOOKUP(D253,FEB23SOH,2,false)</f>
        <v>150.0</v>
      </c>
      <c r="BE253" s="44">
        <f>VLOOKUP(D253,UNITVALUE,4,false)</f>
        <v>3.8595</v>
      </c>
      <c r="BF253" s="44">
        <f t="shared" si="16"/>
        <v>578.925</v>
      </c>
      <c r="BI253" s="6">
        <f t="shared" si="917"/>
        <v>121.0</v>
      </c>
      <c r="BJ253" s="1">
        <f>VLOOKUP(C253,MOQ,3,FALSE())</f>
        <v>250.0</v>
      </c>
      <c r="BM253" s="1">
        <f t="shared" si="919"/>
        <v>150.0</v>
      </c>
      <c r="BN253" s="1">
        <f t="shared" si="920"/>
        <v>3.34285714285713</v>
      </c>
      <c r="BP253" s="45">
        <f t="shared" si="921"/>
        <v>146.657142857142</v>
      </c>
      <c r="BQ253" s="5">
        <f t="shared" si="922"/>
        <v>566.02324285714</v>
      </c>
      <c r="BR253" s="1">
        <f t="shared" si="923"/>
        <v>4.17857142857142</v>
      </c>
      <c r="BS253" s="1">
        <f t="shared" si="924"/>
      </c>
      <c r="BT253" s="45">
        <f t="shared" si="925"/>
        <v>142.47857142857</v>
      </c>
      <c r="BU253" s="5">
        <f t="shared" si="926"/>
        <v>549.896046428566</v>
      </c>
      <c r="BV253" s="1">
        <f t="shared" si="927"/>
        <v>4.5</v>
      </c>
      <c r="BW253" s="1">
        <f t="shared" si="928"/>
      </c>
      <c r="BX253" s="45">
        <f t="shared" si="929"/>
        <v>137.97857142857</v>
      </c>
      <c r="BY253" s="5">
        <f t="shared" si="930"/>
        <v>532.528296428566</v>
      </c>
      <c r="BZ253" s="1">
        <f t="shared" si="931"/>
        <v>6.23571428571428</v>
      </c>
      <c r="CB253" s="45">
        <f t="shared" si="932"/>
        <v>131.742857142856</v>
      </c>
      <c r="CC253" s="5">
        <f t="shared" si="933"/>
        <v>508.461557142852</v>
      </c>
      <c r="CD253" s="1">
        <f t="shared" si="934"/>
        <v>3.95714285714285</v>
      </c>
      <c r="CF253" s="45">
        <f t="shared" si="935"/>
        <v>127.785714285713</v>
      </c>
      <c r="CG253" s="5">
        <f t="shared" si="936"/>
        <v>493.188964285709</v>
      </c>
      <c r="CH253" s="1">
        <f t="shared" si="937"/>
        <v>6.78571428571429</v>
      </c>
      <c r="CJ253" s="45">
        <f t="shared" si="938"/>
        <v>121.0</v>
      </c>
      <c r="CK253" s="5">
        <f t="shared" si="939"/>
        <v>466.9995</v>
      </c>
    </row>
    <row r="254" ht="17.0">
      <c r="A254" s="41" t="s">
        <v>30</v>
      </c>
      <c r="B254" s="41" t="s">
        <v>520</v>
      </c>
      <c r="C254" s="41" t="s">
        <v>547</v>
      </c>
      <c r="D254" s="42" t="s">
        <v>548</v>
      </c>
      <c r="E254" s="41">
        <v>10.0</v>
      </c>
      <c r="F254" s="41">
        <v>4.0</v>
      </c>
      <c r="G254" s="41">
        <v>12.0</v>
      </c>
      <c r="H254" s="41">
        <v>8.0</v>
      </c>
      <c r="I254" s="41">
        <v>8.0</v>
      </c>
      <c r="J254" s="41">
        <v>8.0</v>
      </c>
      <c r="K254" s="41">
        <v>2.0</v>
      </c>
      <c r="L254" s="41">
        <v>5.0</v>
      </c>
      <c r="M254" s="41">
        <v>12.0</v>
      </c>
      <c r="N254" s="41">
        <v>13.0</v>
      </c>
      <c r="O254" s="41">
        <v>5.0</v>
      </c>
      <c r="P254" s="41">
        <v>11.0</v>
      </c>
      <c r="Q254" s="41">
        <v>10.0</v>
      </c>
      <c r="R254" s="41">
        <v>18.0</v>
      </c>
      <c r="S254" s="41">
        <v>4.0</v>
      </c>
      <c r="T254" s="41">
        <v>8.0</v>
      </c>
      <c r="U254" s="41">
        <v>2.0</v>
      </c>
      <c r="V254" s="41">
        <v>9.0</v>
      </c>
      <c r="W254" s="41">
        <v>10.0</v>
      </c>
      <c r="X254" s="41">
        <v>0.0</v>
      </c>
      <c r="Y254" s="41">
        <v>9.0</v>
      </c>
      <c r="Z254" s="41">
        <v>11.0</v>
      </c>
      <c r="AA254" s="41">
        <v>5.0</v>
      </c>
      <c r="AB254" s="41">
        <v>14.0</v>
      </c>
      <c r="AC254" s="41">
        <v>7.0</v>
      </c>
      <c r="AD254" s="41">
        <v>10.0</v>
      </c>
      <c r="AE254" s="41">
        <v>5.0</v>
      </c>
      <c r="AF254" s="41">
        <v>10.0</v>
      </c>
      <c r="AG254" s="41">
        <v>6.0</v>
      </c>
      <c r="AH254" s="41">
        <v>5.0</v>
      </c>
      <c r="AI254" s="41">
        <v>6.0</v>
      </c>
      <c r="AJ254" s="41">
        <v>9.0</v>
      </c>
      <c r="AK254" s="41">
        <v>2.0</v>
      </c>
      <c r="AL254" s="41">
        <v>6.0</v>
      </c>
      <c r="AM254" s="43">
        <v>17.0</v>
      </c>
      <c r="AN254" s="43">
        <v>9.0</v>
      </c>
      <c r="AO254" s="43">
        <v>6.0</v>
      </c>
      <c r="AP254" s="43">
        <v>11.0</v>
      </c>
      <c r="AQ254" s="43">
        <v>4.0</v>
      </c>
      <c r="AR254" s="43">
        <v>0.0</v>
      </c>
      <c r="AS254" s="43">
        <v>2.0</v>
      </c>
      <c r="AT254" s="4">
        <f t="shared" si="4"/>
        <v>77.0</v>
      </c>
      <c r="AU254" s="4">
        <f t="shared" si="5"/>
        <v>45.0</v>
      </c>
      <c r="AV254" s="4">
        <f t="shared" si="6"/>
        <v>49.5</v>
      </c>
      <c r="AW254" s="1">
        <f t="shared" si="911"/>
        <v>5.69523809523809</v>
      </c>
      <c r="AX254" s="1">
        <f t="shared" si="912"/>
        <v>7.11904761904761</v>
      </c>
      <c r="AY254" s="1">
        <f t="shared" si="913"/>
        <v>7.66666666666667</v>
      </c>
      <c r="AZ254" s="1">
        <f t="shared" si="914"/>
        <v>10.6238095238094</v>
      </c>
      <c r="BA254" s="1">
        <f t="shared" si="915"/>
        <v>6.03809523809523</v>
      </c>
      <c r="BB254" s="1">
        <f t="shared" si="916"/>
        <v>10.8571428571429</v>
      </c>
      <c r="BC254" s="4">
        <f t="shared" si="728"/>
        <v>47.9999999999999</v>
      </c>
      <c r="BD254" s="3">
        <f>VLOOKUP(D254,FEB23SOH,2,false)</f>
        <v>92.0</v>
      </c>
      <c r="BE254" s="44">
        <f>VLOOKUP(D254,UNITVALUE,4,false)</f>
        <v>3.8586</v>
      </c>
      <c r="BF254" s="44">
        <f t="shared" si="16"/>
        <v>354.9912</v>
      </c>
      <c r="BI254" s="6">
        <f t="shared" si="917"/>
        <v>44.0000000000001</v>
      </c>
      <c r="BJ254" s="1">
        <f>VLOOKUP(C254,MOQ,3,FALSE())</f>
        <v>250.0</v>
      </c>
      <c r="BM254" s="1">
        <f t="shared" si="919"/>
        <v>92.0</v>
      </c>
      <c r="BN254" s="1">
        <f t="shared" si="920"/>
        <v>5.69523809523809</v>
      </c>
      <c r="BP254" s="45">
        <f t="shared" si="921"/>
        <v>86.3047619047619</v>
      </c>
      <c r="BQ254" s="5">
        <f t="shared" si="922"/>
        <v>333.015554285714</v>
      </c>
      <c r="BR254" s="1">
        <f t="shared" si="923"/>
        <v>7.11904761904761</v>
      </c>
      <c r="BS254" s="1">
        <f t="shared" si="924"/>
      </c>
      <c r="BT254" s="45">
        <f t="shared" si="925"/>
        <v>79.1857142857143</v>
      </c>
      <c r="BU254" s="5">
        <f t="shared" si="926"/>
        <v>305.545997142857</v>
      </c>
      <c r="BV254" s="1">
        <f t="shared" si="927"/>
        <v>7.66666666666667</v>
      </c>
      <c r="BW254" s="1">
        <f t="shared" si="928"/>
      </c>
      <c r="BX254" s="45">
        <f t="shared" si="929"/>
        <v>71.5190476190476</v>
      </c>
      <c r="BY254" s="5">
        <f t="shared" si="930"/>
        <v>275.963397142857</v>
      </c>
      <c r="BZ254" s="1">
        <f t="shared" si="931"/>
        <v>10.6238095238094</v>
      </c>
      <c r="CB254" s="45">
        <f t="shared" si="932"/>
        <v>60.8952380952382</v>
      </c>
      <c r="CC254" s="5">
        <f t="shared" si="933"/>
        <v>234.970365714286</v>
      </c>
      <c r="CD254" s="1">
        <f t="shared" si="934"/>
        <v>6.03809523809523</v>
      </c>
      <c r="CF254" s="45">
        <f t="shared" si="935"/>
        <v>54.857142857142</v>
      </c>
      <c r="CG254" s="5">
        <f t="shared" si="936"/>
        <v>211.671771428568</v>
      </c>
      <c r="CH254" s="1">
        <f t="shared" si="937"/>
        <v>10.8571428571429</v>
      </c>
      <c r="CJ254" s="45">
        <f t="shared" si="938"/>
        <v>43.9999999999991</v>
      </c>
      <c r="CK254" s="5">
        <f t="shared" si="939"/>
        <v>169.778399999997</v>
      </c>
    </row>
    <row r="255" ht="17.0">
      <c r="A255" s="41" t="s">
        <v>30</v>
      </c>
      <c r="B255" s="41" t="s">
        <v>520</v>
      </c>
      <c r="C255" s="41" t="s">
        <v>549</v>
      </c>
      <c r="D255" s="42" t="s">
        <v>550</v>
      </c>
      <c r="E255" s="41">
        <v>6.0</v>
      </c>
      <c r="F255" s="41">
        <v>14.0</v>
      </c>
      <c r="G255" s="41">
        <v>11.0</v>
      </c>
      <c r="H255" s="41">
        <v>8.0</v>
      </c>
      <c r="I255" s="41">
        <v>14.0</v>
      </c>
      <c r="J255" s="41">
        <v>6.0</v>
      </c>
      <c r="K255" s="41">
        <v>12.0</v>
      </c>
      <c r="L255" s="41">
        <v>8.0</v>
      </c>
      <c r="M255" s="41">
        <v>13.0</v>
      </c>
      <c r="N255" s="41">
        <v>20.0</v>
      </c>
      <c r="O255" s="41">
        <v>17.0</v>
      </c>
      <c r="P255" s="41">
        <v>19.0</v>
      </c>
      <c r="Q255" s="41">
        <v>11.0</v>
      </c>
      <c r="R255" s="41">
        <v>11.0</v>
      </c>
      <c r="S255" s="41">
        <v>10.0</v>
      </c>
      <c r="T255" s="41">
        <v>15.0</v>
      </c>
      <c r="U255" s="41">
        <v>11.0</v>
      </c>
      <c r="V255" s="41">
        <v>23.0</v>
      </c>
      <c r="W255" s="41">
        <v>5.0</v>
      </c>
      <c r="X255" s="41">
        <v>8.0</v>
      </c>
      <c r="Y255" s="41">
        <v>8.0</v>
      </c>
      <c r="Z255" s="41">
        <v>18.0</v>
      </c>
      <c r="AA255" s="41">
        <v>5.0</v>
      </c>
      <c r="AB255" s="41">
        <v>13.0</v>
      </c>
      <c r="AC255" s="41">
        <v>12.0</v>
      </c>
      <c r="AD255" s="41">
        <v>17.0</v>
      </c>
      <c r="AE255" s="41">
        <v>17.0</v>
      </c>
      <c r="AF255" s="41">
        <v>7.0</v>
      </c>
      <c r="AG255" s="41">
        <v>4.0</v>
      </c>
      <c r="AH255" s="41">
        <v>6.0</v>
      </c>
      <c r="AI255" s="41">
        <v>6.0</v>
      </c>
      <c r="AJ255" s="41">
        <v>5.0</v>
      </c>
      <c r="AK255" s="41">
        <v>8.0</v>
      </c>
      <c r="AL255" s="41">
        <v>9.0</v>
      </c>
      <c r="AM255" s="43">
        <v>14.0</v>
      </c>
      <c r="AN255" s="43">
        <v>5.0</v>
      </c>
      <c r="AO255" s="43">
        <v>10.0</v>
      </c>
      <c r="AP255" s="43">
        <v>17.0</v>
      </c>
      <c r="AQ255" s="43">
        <v>6.0</v>
      </c>
      <c r="AR255" s="43">
        <v>11.0</v>
      </c>
      <c r="AS255" s="43">
        <v>4.0</v>
      </c>
      <c r="AT255" s="4">
        <f t="shared" si="4"/>
        <v>101.0</v>
      </c>
      <c r="AU255" s="4">
        <f t="shared" si="5"/>
        <v>48.0</v>
      </c>
      <c r="AV255" s="4">
        <f t="shared" si="6"/>
        <v>52.8</v>
      </c>
      <c r="AW255" s="1">
        <f t="shared" si="911"/>
        <v>6.06666666666666</v>
      </c>
      <c r="AX255" s="1">
        <f t="shared" si="912"/>
        <v>7.58333333333332</v>
      </c>
      <c r="AY255" s="1">
        <f t="shared" si="913"/>
        <v>8.1666666666667</v>
      </c>
      <c r="AZ255" s="1">
        <f t="shared" si="914"/>
        <v>11.316666666667</v>
      </c>
      <c r="BA255" s="1">
        <f t="shared" si="915"/>
        <v>6.36666666666667</v>
      </c>
      <c r="BB255" s="1">
        <f t="shared" si="916"/>
        <v>11.4999999999999</v>
      </c>
      <c r="BC255" s="4">
        <f t="shared" si="728"/>
        <v>51.0000000000002</v>
      </c>
      <c r="BD255" s="3">
        <f>VLOOKUP(D255,FEB23SOH,2,false)</f>
        <v>182.0</v>
      </c>
      <c r="BE255" s="44">
        <f>VLOOKUP(D255,UNITVALUE,4,false)</f>
        <v>4.0738</v>
      </c>
      <c r="BF255" s="44">
        <f t="shared" si="16"/>
        <v>741.4316</v>
      </c>
      <c r="BI255" s="6">
        <f t="shared" si="917"/>
        <v>131.0</v>
      </c>
      <c r="BJ255" s="1">
        <f>VLOOKUP(C255,MOQ,3,FALSE())</f>
        <v>250.0</v>
      </c>
      <c r="BM255" s="1">
        <f t="shared" si="919"/>
        <v>182.0</v>
      </c>
      <c r="BN255" s="1">
        <f t="shared" si="920"/>
        <v>6.06666666666666</v>
      </c>
      <c r="BP255" s="45">
        <f t="shared" si="921"/>
        <v>175.933333333333</v>
      </c>
      <c r="BQ255" s="5">
        <f t="shared" si="922"/>
        <v>716.717213333332</v>
      </c>
      <c r="BR255" s="1">
        <f t="shared" si="923"/>
        <v>7.58333333333332</v>
      </c>
      <c r="BS255" s="1">
        <f t="shared" si="924"/>
      </c>
      <c r="BT255" s="45">
        <f t="shared" si="925"/>
        <v>168.35</v>
      </c>
      <c r="BU255" s="5">
        <f t="shared" si="926"/>
        <v>685.82423</v>
      </c>
      <c r="BV255" s="1">
        <f t="shared" si="927"/>
        <v>8.1666666666667</v>
      </c>
      <c r="BW255" s="1">
        <f t="shared" si="928"/>
      </c>
      <c r="BX255" s="45">
        <f t="shared" si="929"/>
        <v>160.183333333333</v>
      </c>
      <c r="BY255" s="5">
        <f t="shared" si="930"/>
        <v>652.554863333332</v>
      </c>
      <c r="BZ255" s="1">
        <f t="shared" si="931"/>
        <v>11.316666666667</v>
      </c>
      <c r="CB255" s="45">
        <f t="shared" si="932"/>
        <v>148.866666666666</v>
      </c>
      <c r="CC255" s="5">
        <f t="shared" si="933"/>
        <v>606.453026666664</v>
      </c>
      <c r="CD255" s="1">
        <f t="shared" si="934"/>
        <v>6.36666666666667</v>
      </c>
      <c r="CF255" s="45">
        <f t="shared" si="935"/>
        <v>142.499999999999</v>
      </c>
      <c r="CG255" s="5">
        <f t="shared" si="936"/>
        <v>580.516499999996</v>
      </c>
      <c r="CH255" s="1">
        <f t="shared" si="937"/>
        <v>11.4999999999999</v>
      </c>
      <c r="CJ255" s="45">
        <f t="shared" si="938"/>
        <v>130.999999999999</v>
      </c>
      <c r="CK255" s="5">
        <f t="shared" si="939"/>
        <v>533.667799999996</v>
      </c>
    </row>
    <row r="256" ht="17.0">
      <c r="A256" s="41" t="s">
        <v>30</v>
      </c>
      <c r="B256" s="41" t="s">
        <v>520</v>
      </c>
      <c r="C256" s="41" t="s">
        <v>551</v>
      </c>
      <c r="D256" s="42" t="s">
        <v>552</v>
      </c>
      <c r="E256" s="41">
        <v>8.0</v>
      </c>
      <c r="F256" s="41">
        <v>5.0</v>
      </c>
      <c r="G256" s="41">
        <v>6.0</v>
      </c>
      <c r="H256" s="41">
        <v>10.0</v>
      </c>
      <c r="I256" s="41">
        <v>12.0</v>
      </c>
      <c r="J256" s="41">
        <v>7.0</v>
      </c>
      <c r="K256" s="41">
        <v>9.0</v>
      </c>
      <c r="L256" s="41">
        <v>12.0</v>
      </c>
      <c r="M256" s="41">
        <v>16.0</v>
      </c>
      <c r="N256" s="41">
        <v>21.0</v>
      </c>
      <c r="O256" s="41">
        <v>14.0</v>
      </c>
      <c r="P256" s="41">
        <v>17.0</v>
      </c>
      <c r="Q256" s="41">
        <v>10.0</v>
      </c>
      <c r="R256" s="41">
        <v>11.0</v>
      </c>
      <c r="S256" s="41">
        <v>15.0</v>
      </c>
      <c r="T256" s="41">
        <v>11.0</v>
      </c>
      <c r="U256" s="41">
        <v>11.0</v>
      </c>
      <c r="V256" s="41">
        <v>11.0</v>
      </c>
      <c r="W256" s="41">
        <v>15.0</v>
      </c>
      <c r="X256" s="41">
        <v>9.0</v>
      </c>
      <c r="Y256" s="41">
        <v>11.0</v>
      </c>
      <c r="Z256" s="41">
        <v>15.0</v>
      </c>
      <c r="AA256" s="41">
        <v>8.0</v>
      </c>
      <c r="AB256" s="41">
        <v>19.0</v>
      </c>
      <c r="AC256" s="41">
        <v>10.0</v>
      </c>
      <c r="AD256" s="41">
        <v>11.0</v>
      </c>
      <c r="AE256" s="41">
        <v>6.0</v>
      </c>
      <c r="AF256" s="41">
        <v>14.0</v>
      </c>
      <c r="AG256" s="41">
        <v>6.0</v>
      </c>
      <c r="AH256" s="41">
        <v>5.0</v>
      </c>
      <c r="AI256" s="41">
        <v>4.0</v>
      </c>
      <c r="AJ256" s="41">
        <v>14.0</v>
      </c>
      <c r="AK256" s="41">
        <v>7.0</v>
      </c>
      <c r="AL256" s="41">
        <v>8.0</v>
      </c>
      <c r="AM256" s="43">
        <v>19.0</v>
      </c>
      <c r="AN256" s="43">
        <v>7.0</v>
      </c>
      <c r="AO256" s="43">
        <v>1.0</v>
      </c>
      <c r="AP256" s="43">
        <v>10.0</v>
      </c>
      <c r="AQ256" s="43">
        <v>6.0</v>
      </c>
      <c r="AR256" s="43">
        <v>6.0</v>
      </c>
      <c r="AS256" s="43">
        <v>4.0</v>
      </c>
      <c r="AT256" s="4">
        <f t="shared" si="4"/>
        <v>91.0</v>
      </c>
      <c r="AU256" s="4">
        <f t="shared" si="5"/>
        <v>57.0</v>
      </c>
      <c r="AV256" s="4">
        <f t="shared" si="6"/>
        <v>62.7</v>
      </c>
      <c r="AW256" s="1">
        <f t="shared" si="911"/>
        <v>7.18095238095238</v>
      </c>
      <c r="AX256" s="1">
        <f t="shared" si="912"/>
        <v>8.97619047619047</v>
      </c>
      <c r="AY256" s="1">
        <f t="shared" si="913"/>
        <v>9.6666666666667</v>
      </c>
      <c r="AZ256" s="1">
        <f t="shared" si="914"/>
        <v>13.395238095238</v>
      </c>
      <c r="BA256" s="1">
        <f t="shared" si="915"/>
        <v>7.35238095238095</v>
      </c>
      <c r="BB256" s="1">
        <f t="shared" si="916"/>
        <v>13.4285714285714</v>
      </c>
      <c r="BC256" s="4">
        <f t="shared" si="728"/>
        <v>59.9999999999999</v>
      </c>
      <c r="BD256" s="3">
        <f>VLOOKUP(D256,FEB23SOH,2,false)</f>
        <v>114.0</v>
      </c>
      <c r="BE256" s="44">
        <f>VLOOKUP(D256,UNITVALUE,4,false)</f>
        <v>4.1211</v>
      </c>
      <c r="BF256" s="44"/>
      <c r="BI256" s="6">
        <f t="shared" si="917"/>
        <v>54.0000000000001</v>
      </c>
      <c r="BJ256" s="1">
        <f>VLOOKUP(C256,MOQ,3,FALSE())</f>
        <v>250.0</v>
      </c>
      <c r="BK256" s="74"/>
      <c r="BM256" s="1">
        <f t="shared" si="919"/>
        <v>114.0</v>
      </c>
      <c r="BN256" s="1">
        <f t="shared" si="920"/>
        <v>7.18095238095238</v>
      </c>
      <c r="BP256" s="45">
        <f t="shared" si="921"/>
        <v>106.81904761904</v>
      </c>
      <c r="BQ256" s="5">
        <f t="shared" si="922"/>
        <v>440.211977142826</v>
      </c>
      <c r="BR256" s="1">
        <f t="shared" si="923"/>
        <v>8.97619047619047</v>
      </c>
      <c r="BS256" s="1">
        <f t="shared" si="924"/>
      </c>
      <c r="BT256" s="45">
        <f t="shared" si="925"/>
        <v>97.8428571428495</v>
      </c>
      <c r="BU256" s="5">
        <f t="shared" si="926"/>
        <v>403.220198571397</v>
      </c>
      <c r="BV256" s="1">
        <f t="shared" si="927"/>
        <v>9.6666666666667</v>
      </c>
      <c r="BW256" s="1">
        <f t="shared" si="928"/>
      </c>
      <c r="BX256" s="45">
        <f t="shared" si="929"/>
        <v>88.1761904761828</v>
      </c>
      <c r="BY256" s="5">
        <f t="shared" si="930"/>
        <v>363.3828985714</v>
      </c>
      <c r="BZ256" s="1">
        <f t="shared" si="931"/>
        <v>13.395238095238</v>
      </c>
      <c r="CB256" s="45">
        <f t="shared" si="932"/>
        <v>74.7809523809448</v>
      </c>
      <c r="CC256" s="5">
        <f t="shared" si="933"/>
        <v>308.179782857111</v>
      </c>
      <c r="CD256" s="1">
        <f t="shared" si="934"/>
        <v>7.35238095238095</v>
      </c>
      <c r="CF256" s="45">
        <f t="shared" si="935"/>
        <v>67.4285714285638</v>
      </c>
      <c r="CG256" s="5">
        <f t="shared" si="936"/>
        <v>277.879885714254</v>
      </c>
      <c r="CH256" s="1">
        <f t="shared" si="937"/>
        <v>13.4285714285714</v>
      </c>
      <c r="CJ256" s="45">
        <f t="shared" si="938"/>
        <v>53.9999999999924</v>
      </c>
      <c r="CK256" s="5">
        <f t="shared" si="939"/>
        <v>222.539399999969</v>
      </c>
    </row>
    <row r="257" ht="17.0">
      <c r="A257" s="41" t="s">
        <v>30</v>
      </c>
      <c r="B257" s="41" t="s">
        <v>520</v>
      </c>
      <c r="C257" s="41" t="s">
        <v>553</v>
      </c>
      <c r="D257" s="42" t="s">
        <v>554</v>
      </c>
      <c r="E257" s="41">
        <v>12.0</v>
      </c>
      <c r="F257" s="41">
        <v>7.0</v>
      </c>
      <c r="G257" s="41">
        <v>8.0</v>
      </c>
      <c r="H257" s="41">
        <v>8.0</v>
      </c>
      <c r="I257" s="41">
        <v>17.0</v>
      </c>
      <c r="J257" s="41">
        <v>8.0</v>
      </c>
      <c r="K257" s="41">
        <v>9.0</v>
      </c>
      <c r="L257" s="41">
        <v>7.0</v>
      </c>
      <c r="M257" s="41">
        <v>10.0</v>
      </c>
      <c r="N257" s="41">
        <v>14.0</v>
      </c>
      <c r="O257" s="41">
        <v>15.0</v>
      </c>
      <c r="P257" s="41">
        <v>7.0</v>
      </c>
      <c r="Q257" s="41">
        <v>14.0</v>
      </c>
      <c r="R257" s="41">
        <v>16.0</v>
      </c>
      <c r="S257" s="41">
        <v>10.0</v>
      </c>
      <c r="T257" s="41">
        <v>15.0</v>
      </c>
      <c r="U257" s="41">
        <v>8.0</v>
      </c>
      <c r="V257" s="41">
        <v>11.0</v>
      </c>
      <c r="W257" s="41">
        <v>11.0</v>
      </c>
      <c r="X257" s="41">
        <v>4.0</v>
      </c>
      <c r="Y257" s="41">
        <v>7.0</v>
      </c>
      <c r="Z257" s="41">
        <v>22.0</v>
      </c>
      <c r="AA257" s="41">
        <v>6.0</v>
      </c>
      <c r="AB257" s="41">
        <v>18.0</v>
      </c>
      <c r="AC257" s="41">
        <v>12.0</v>
      </c>
      <c r="AD257" s="41">
        <v>11.0</v>
      </c>
      <c r="AE257" s="41">
        <v>4.0</v>
      </c>
      <c r="AF257" s="41">
        <v>10.0</v>
      </c>
      <c r="AG257" s="41">
        <v>4.0</v>
      </c>
      <c r="AH257" s="41">
        <v>4.0</v>
      </c>
      <c r="AI257" s="41">
        <v>6.0</v>
      </c>
      <c r="AJ257" s="41">
        <v>13.0</v>
      </c>
      <c r="AK257" s="41">
        <v>3.0</v>
      </c>
      <c r="AL257" s="41">
        <v>4.0</v>
      </c>
      <c r="AM257" s="43">
        <v>20.0</v>
      </c>
      <c r="AN257" s="43">
        <v>4.0</v>
      </c>
      <c r="AO257" s="43">
        <v>5.0</v>
      </c>
      <c r="AP257" s="43">
        <v>10.0</v>
      </c>
      <c r="AQ257" s="43">
        <v>7.0</v>
      </c>
      <c r="AR257" s="43">
        <v>6.0</v>
      </c>
      <c r="AS257" s="43">
        <v>7.0</v>
      </c>
      <c r="AT257" s="4">
        <f t="shared" si="4"/>
        <v>89.0</v>
      </c>
      <c r="AU257" s="4">
        <f t="shared" si="5"/>
        <v>50.0</v>
      </c>
      <c r="AV257" s="4">
        <f t="shared" si="6"/>
        <v>55.0</v>
      </c>
      <c r="AW257" s="1">
        <f t="shared" si="911"/>
        <v>6.31428571428571</v>
      </c>
      <c r="AX257" s="1">
        <f t="shared" si="912"/>
        <v>7.89285714285713</v>
      </c>
      <c r="AY257" s="1">
        <f t="shared" si="913"/>
        <v>8.5</v>
      </c>
      <c r="AZ257" s="1">
        <f t="shared" si="914"/>
        <v>11.7785714285713</v>
      </c>
      <c r="BA257" s="1">
        <f t="shared" si="915"/>
        <v>6.58571428571429</v>
      </c>
      <c r="BB257" s="1">
        <f t="shared" si="916"/>
        <v>11.9285714285714</v>
      </c>
      <c r="BC257" s="4">
        <f t="shared" si="728"/>
        <v>52.9999999999998</v>
      </c>
      <c r="BD257" s="3">
        <f>VLOOKUP(D257,FEB23SOH,2,false)</f>
        <v>158.0</v>
      </c>
      <c r="BE257" s="44">
        <f>VLOOKUP(D257,UNITVALUE,4,false)</f>
        <v>4.1109</v>
      </c>
      <c r="BF257" s="44">
        <f t="shared" ref="BF257:BF262" si="940">BE257*BD257</f>
        <v>649.5222</v>
      </c>
      <c r="BI257" s="6">
        <f t="shared" si="917"/>
        <v>105.0</v>
      </c>
      <c r="BJ257" s="1">
        <f>VLOOKUP(C257,MOQ,3,FALSE())</f>
        <v>250.0</v>
      </c>
      <c r="BM257" s="1">
        <f t="shared" si="919"/>
        <v>158.0</v>
      </c>
      <c r="BN257" s="1">
        <f t="shared" si="920"/>
        <v>6.31428571428571</v>
      </c>
      <c r="BP257" s="45">
        <f t="shared" si="921"/>
        <v>151.685714285714</v>
      </c>
      <c r="BQ257" s="5">
        <f t="shared" si="922"/>
        <v>623.564802857141</v>
      </c>
      <c r="BR257" s="1">
        <f t="shared" si="923"/>
        <v>7.89285714285713</v>
      </c>
      <c r="BS257" s="1">
        <f t="shared" si="924"/>
      </c>
      <c r="BT257" s="45">
        <f t="shared" si="925"/>
        <v>143.792857142857</v>
      </c>
      <c r="BU257" s="5">
        <f t="shared" si="926"/>
        <v>591.11805642857</v>
      </c>
      <c r="BV257" s="1">
        <f t="shared" si="927"/>
        <v>8.5</v>
      </c>
      <c r="BW257" s="1">
        <f t="shared" si="928"/>
      </c>
      <c r="BX257" s="45">
        <f t="shared" si="929"/>
        <v>135.292857142857</v>
      </c>
      <c r="BY257" s="5">
        <f t="shared" si="930"/>
        <v>556.17540642857</v>
      </c>
      <c r="BZ257" s="1">
        <f t="shared" si="931"/>
        <v>11.7785714285713</v>
      </c>
      <c r="CB257" s="45">
        <f t="shared" si="932"/>
        <v>123.5142857142</v>
      </c>
      <c r="CC257" s="5">
        <f t="shared" si="933"/>
        <v>507.754877142504</v>
      </c>
      <c r="CD257" s="1">
        <f t="shared" si="934"/>
        <v>6.58571428571429</v>
      </c>
      <c r="CF257" s="45">
        <f t="shared" si="935"/>
        <v>116.928571428486</v>
      </c>
      <c r="CG257" s="5">
        <f t="shared" si="936"/>
        <v>480.681664285363</v>
      </c>
      <c r="CH257" s="1">
        <f t="shared" si="937"/>
        <v>11.9285714285714</v>
      </c>
      <c r="CJ257" s="45">
        <f t="shared" si="938"/>
        <v>104.999999999914</v>
      </c>
      <c r="CK257" s="5">
        <f t="shared" si="939"/>
        <v>431.644499999646</v>
      </c>
    </row>
    <row r="258" ht="17.0">
      <c r="A258" s="41" t="s">
        <v>30</v>
      </c>
      <c r="B258" s="41" t="s">
        <v>520</v>
      </c>
      <c r="C258" s="41" t="s">
        <v>555</v>
      </c>
      <c r="D258" s="42" t="s">
        <v>556</v>
      </c>
      <c r="E258" s="41">
        <v>6.0</v>
      </c>
      <c r="F258" s="41">
        <v>4.0</v>
      </c>
      <c r="G258" s="41">
        <v>9.0</v>
      </c>
      <c r="H258" s="41">
        <v>7.0</v>
      </c>
      <c r="I258" s="41">
        <v>6.0</v>
      </c>
      <c r="J258" s="41">
        <v>4.0</v>
      </c>
      <c r="K258" s="41">
        <v>3.0</v>
      </c>
      <c r="L258" s="41">
        <v>9.0</v>
      </c>
      <c r="M258" s="41">
        <v>13.0</v>
      </c>
      <c r="N258" s="41">
        <v>11.0</v>
      </c>
      <c r="O258" s="41">
        <v>8.0</v>
      </c>
      <c r="P258" s="41">
        <v>17.0</v>
      </c>
      <c r="Q258" s="41">
        <v>10.0</v>
      </c>
      <c r="R258" s="41">
        <v>4.0</v>
      </c>
      <c r="S258" s="41">
        <v>-3.0</v>
      </c>
      <c r="T258" s="41">
        <v>8.0</v>
      </c>
      <c r="U258" s="41">
        <v>6.0</v>
      </c>
      <c r="V258" s="41">
        <v>13.0</v>
      </c>
      <c r="W258" s="41">
        <v>7.0</v>
      </c>
      <c r="X258" s="41">
        <v>3.0</v>
      </c>
      <c r="Y258" s="41">
        <v>5.0</v>
      </c>
      <c r="Z258" s="41">
        <v>13.0</v>
      </c>
      <c r="AA258" s="41">
        <v>3.0</v>
      </c>
      <c r="AB258" s="41">
        <v>11.0</v>
      </c>
      <c r="AC258" s="41">
        <v>9.0</v>
      </c>
      <c r="AD258" s="41">
        <v>5.0</v>
      </c>
      <c r="AE258" s="41">
        <v>0.0</v>
      </c>
      <c r="AF258" s="41">
        <v>10.0</v>
      </c>
      <c r="AG258" s="41">
        <v>4.0</v>
      </c>
      <c r="AH258" s="41">
        <v>3.0</v>
      </c>
      <c r="AI258" s="41">
        <v>7.0</v>
      </c>
      <c r="AJ258" s="41">
        <v>11.0</v>
      </c>
      <c r="AK258" s="41">
        <v>5.0</v>
      </c>
      <c r="AL258" s="41">
        <v>4.0</v>
      </c>
      <c r="AM258" s="43">
        <v>10.0</v>
      </c>
      <c r="AN258" s="43">
        <v>3.0</v>
      </c>
      <c r="AO258" s="43">
        <v>7.0</v>
      </c>
      <c r="AP258" s="43">
        <v>16.0</v>
      </c>
      <c r="AQ258" s="43">
        <v>5.0</v>
      </c>
      <c r="AR258" s="43">
        <v>5.0</v>
      </c>
      <c r="AS258" s="43">
        <v>2.0</v>
      </c>
      <c r="AT258" s="4">
        <f t="shared" si="4"/>
        <v>78.0</v>
      </c>
      <c r="AU258" s="4">
        <f t="shared" si="5"/>
        <v>40.0</v>
      </c>
      <c r="AV258" s="4">
        <f t="shared" si="6"/>
        <v>44.0</v>
      </c>
      <c r="AW258" s="1">
        <f t="shared" si="911"/>
        <v>5.07619047619047</v>
      </c>
      <c r="AX258" s="1">
        <f t="shared" si="912"/>
        <v>6.34523809523809</v>
      </c>
      <c r="AY258" s="1">
        <f t="shared" si="913"/>
        <v>6.83333333333333</v>
      </c>
      <c r="AZ258" s="1">
        <f t="shared" si="914"/>
        <v>9.46904761904761</v>
      </c>
      <c r="BA258" s="1">
        <f t="shared" si="915"/>
        <v>5.49047619047619</v>
      </c>
      <c r="BB258" s="1">
        <f t="shared" si="916"/>
        <v>9.78571428571428</v>
      </c>
      <c r="BC258" s="4">
        <f t="shared" si="728"/>
        <v>43.0</v>
      </c>
      <c r="BD258" s="3">
        <f>VLOOKUP(D258,FEB23SOH,2,false)</f>
        <v>158.0</v>
      </c>
      <c r="BE258" s="44">
        <f>VLOOKUP(D258,UNITVALUE,4,false)</f>
        <v>4.1118</v>
      </c>
      <c r="BF258" s="44">
        <f t="shared" si="940"/>
        <v>649.6644</v>
      </c>
      <c r="BI258" s="6">
        <f t="shared" si="917"/>
        <v>115.0</v>
      </c>
      <c r="BJ258" s="1">
        <f>VLOOKUP(C258,MOQ,3,FALSE())</f>
        <v>250.0</v>
      </c>
      <c r="BM258" s="1">
        <f t="shared" si="919"/>
        <v>158.0</v>
      </c>
      <c r="BN258" s="1">
        <f t="shared" si="920"/>
        <v>5.07619047619047</v>
      </c>
      <c r="BP258" s="45">
        <f t="shared" si="921"/>
        <v>152.92380952381</v>
      </c>
      <c r="BQ258" s="5">
        <f t="shared" si="922"/>
        <v>628.792120000001</v>
      </c>
      <c r="BR258" s="1">
        <f t="shared" si="923"/>
        <v>6.34523809523809</v>
      </c>
      <c r="BS258" s="1">
        <f t="shared" si="924"/>
      </c>
      <c r="BT258" s="45">
        <f t="shared" si="925"/>
        <v>146.578571428571</v>
      </c>
      <c r="BU258" s="5">
        <f t="shared" si="926"/>
        <v>602.701769999998</v>
      </c>
      <c r="BV258" s="1">
        <f t="shared" si="927"/>
        <v>6.83333333333333</v>
      </c>
      <c r="BW258" s="1">
        <f t="shared" si="928"/>
      </c>
      <c r="BX258" s="45">
        <f t="shared" si="929"/>
        <v>139.745238095238</v>
      </c>
      <c r="BY258" s="5">
        <f t="shared" si="930"/>
        <v>574.60447</v>
      </c>
      <c r="BZ258" s="1">
        <f t="shared" si="931"/>
        <v>9.46904761904761</v>
      </c>
      <c r="CB258" s="45">
        <f t="shared" si="932"/>
        <v>130.27619047619</v>
      </c>
      <c r="CC258" s="5">
        <f t="shared" si="933"/>
        <v>535.669639999998</v>
      </c>
      <c r="CD258" s="1">
        <f t="shared" si="934"/>
        <v>5.49047619047619</v>
      </c>
      <c r="CF258" s="45">
        <f t="shared" si="935"/>
        <v>124.785714285713</v>
      </c>
      <c r="CG258" s="5">
        <f t="shared" si="936"/>
        <v>513.093899999994</v>
      </c>
      <c r="CH258" s="1">
        <f t="shared" si="937"/>
        <v>9.78571428571428</v>
      </c>
      <c r="CJ258" s="45">
        <f t="shared" si="938"/>
        <v>115.0</v>
      </c>
      <c r="CK258" s="5">
        <f t="shared" si="939"/>
        <v>472.857</v>
      </c>
    </row>
    <row r="259" ht="17.0">
      <c r="A259" s="41" t="s">
        <v>30</v>
      </c>
      <c r="B259" s="41" t="s">
        <v>520</v>
      </c>
      <c r="C259" s="41" t="s">
        <v>557</v>
      </c>
      <c r="D259" s="42" t="s">
        <v>558</v>
      </c>
      <c r="E259" s="41">
        <v>4.0</v>
      </c>
      <c r="F259" s="41">
        <v>4.0</v>
      </c>
      <c r="G259" s="41">
        <v>3.0</v>
      </c>
      <c r="H259" s="41">
        <v>5.0</v>
      </c>
      <c r="I259" s="41">
        <v>10.0</v>
      </c>
      <c r="J259" s="41">
        <v>5.0</v>
      </c>
      <c r="K259" s="41">
        <v>13.0</v>
      </c>
      <c r="L259" s="41">
        <v>8.0</v>
      </c>
      <c r="M259" s="41">
        <v>14.0</v>
      </c>
      <c r="N259" s="41">
        <v>7.0</v>
      </c>
      <c r="O259" s="41">
        <v>3.0</v>
      </c>
      <c r="P259" s="41">
        <v>6.0</v>
      </c>
      <c r="Q259" s="41">
        <v>3.0</v>
      </c>
      <c r="R259" s="41">
        <v>6.0</v>
      </c>
      <c r="S259" s="41">
        <v>7.0</v>
      </c>
      <c r="T259" s="41">
        <v>5.0</v>
      </c>
      <c r="U259" s="41">
        <v>1.0</v>
      </c>
      <c r="V259" s="41">
        <v>7.0</v>
      </c>
      <c r="W259" s="41">
        <v>8.0</v>
      </c>
      <c r="X259" s="41">
        <v>2.0</v>
      </c>
      <c r="Y259" s="41">
        <v>5.0</v>
      </c>
      <c r="Z259" s="41">
        <v>17.0</v>
      </c>
      <c r="AA259" s="41">
        <v>4.0</v>
      </c>
      <c r="AB259" s="41">
        <v>5.0</v>
      </c>
      <c r="AC259" s="41">
        <v>4.0</v>
      </c>
      <c r="AD259" s="41">
        <v>2.0</v>
      </c>
      <c r="AE259" s="41">
        <v>7.0</v>
      </c>
      <c r="AF259" s="41">
        <v>3.0</v>
      </c>
      <c r="AG259" s="41">
        <v>3.0</v>
      </c>
      <c r="AH259" s="41">
        <v>2.0</v>
      </c>
      <c r="AI259" s="41">
        <v>1.0</v>
      </c>
      <c r="AJ259" s="41">
        <v>4.0</v>
      </c>
      <c r="AK259" s="41">
        <v>4.0</v>
      </c>
      <c r="AL259" s="41">
        <v>2.0</v>
      </c>
      <c r="AM259" s="43">
        <v>9.0</v>
      </c>
      <c r="AN259" s="43">
        <v>4.0</v>
      </c>
      <c r="AO259" s="43">
        <v>5.0</v>
      </c>
      <c r="AP259" s="43">
        <v>5.0</v>
      </c>
      <c r="AQ259" s="43">
        <v>0.0</v>
      </c>
      <c r="AR259" s="43">
        <v>0.0</v>
      </c>
      <c r="AS259" s="43">
        <v>2.0</v>
      </c>
      <c r="AT259" s="4">
        <f t="shared" si="4"/>
        <v>38.0</v>
      </c>
      <c r="AU259" s="4">
        <f t="shared" si="5"/>
        <v>22.0</v>
      </c>
      <c r="AV259" s="4">
        <f t="shared" si="6"/>
        <v>24.2</v>
      </c>
      <c r="AW259" s="1">
        <f t="shared" si="911"/>
        <v>2.84761904761904</v>
      </c>
      <c r="AX259" s="1">
        <f t="shared" si="912"/>
        <v>3.5595238095238</v>
      </c>
      <c r="AY259" s="1">
        <f t="shared" si="913"/>
        <v>3.83333333333333</v>
      </c>
      <c r="AZ259" s="1">
        <f t="shared" si="914"/>
        <v>5.31190476190476</v>
      </c>
      <c r="BA259" s="1">
        <f t="shared" si="915"/>
        <v>3.51904761904761</v>
      </c>
      <c r="BB259" s="1">
        <f t="shared" si="916"/>
        <v>5.92857142857142</v>
      </c>
      <c r="BC259" s="4">
        <f t="shared" si="728"/>
        <v>25.0</v>
      </c>
      <c r="BD259" s="3">
        <f>VLOOKUP(D259,FEB23SOH,2,false)</f>
        <v>99.0</v>
      </c>
      <c r="BE259" s="44">
        <f>VLOOKUP(D259,UNITVALUE,4,false)</f>
        <v>4.2901</v>
      </c>
      <c r="BF259" s="44">
        <f t="shared" si="940"/>
        <v>424.7199</v>
      </c>
      <c r="BI259" s="6">
        <f t="shared" si="917"/>
        <v>74.0</v>
      </c>
      <c r="BJ259" s="1">
        <f>VLOOKUP(C259,MOQ,3,FALSE())</f>
        <v>250.0</v>
      </c>
      <c r="BM259" s="1">
        <f t="shared" si="919"/>
        <v>99.0</v>
      </c>
      <c r="BN259" s="1">
        <f t="shared" si="920"/>
        <v>2.84761904761904</v>
      </c>
      <c r="BP259" s="45">
        <f t="shared" si="921"/>
        <v>96.152380952381</v>
      </c>
      <c r="BQ259" s="5">
        <f t="shared" si="922"/>
        <v>412.50332952381</v>
      </c>
      <c r="BR259" s="1">
        <f t="shared" si="923"/>
        <v>3.5595238095238</v>
      </c>
      <c r="BS259" s="1">
        <f t="shared" si="924"/>
      </c>
      <c r="BT259" s="45">
        <f t="shared" si="925"/>
        <v>92.5928571428572</v>
      </c>
      <c r="BU259" s="5">
        <f t="shared" si="926"/>
        <v>397.232616428571</v>
      </c>
      <c r="BV259" s="1">
        <f t="shared" si="927"/>
        <v>3.83333333333333</v>
      </c>
      <c r="BW259" s="1">
        <f t="shared" si="928"/>
      </c>
      <c r="BX259" s="45">
        <f t="shared" si="929"/>
        <v>88.7595238095239</v>
      </c>
      <c r="BY259" s="5">
        <f t="shared" si="930"/>
        <v>380.787233095238</v>
      </c>
      <c r="BZ259" s="1">
        <f t="shared" si="931"/>
        <v>5.31190476190476</v>
      </c>
      <c r="CB259" s="45">
        <f t="shared" si="932"/>
        <v>83.4476190476191</v>
      </c>
      <c r="CC259" s="5">
        <f t="shared" si="933"/>
        <v>357.99863047619</v>
      </c>
      <c r="CD259" s="1">
        <f t="shared" si="934"/>
        <v>3.51904761904761</v>
      </c>
      <c r="CF259" s="45">
        <f t="shared" si="935"/>
        <v>79.9285714285714</v>
      </c>
      <c r="CG259" s="5">
        <f t="shared" si="936"/>
        <v>342.901564285714</v>
      </c>
      <c r="CH259" s="1">
        <f t="shared" si="937"/>
        <v>5.92857142857142</v>
      </c>
      <c r="CJ259" s="45">
        <f t="shared" si="938"/>
        <v>74.0</v>
      </c>
      <c r="CK259" s="5">
        <f t="shared" si="939"/>
        <v>317.4674</v>
      </c>
    </row>
    <row r="260" ht="17.0">
      <c r="A260" s="41" t="s">
        <v>30</v>
      </c>
      <c r="B260" s="41" t="s">
        <v>520</v>
      </c>
      <c r="C260" s="41" t="s">
        <v>559</v>
      </c>
      <c r="D260" s="42" t="s">
        <v>560</v>
      </c>
      <c r="E260" s="41">
        <v>5.0</v>
      </c>
      <c r="F260" s="41">
        <v>9.0</v>
      </c>
      <c r="G260" s="41">
        <v>15.0</v>
      </c>
      <c r="H260" s="41">
        <v>8.0</v>
      </c>
      <c r="I260" s="41">
        <v>12.0</v>
      </c>
      <c r="J260" s="41">
        <v>11.0</v>
      </c>
      <c r="K260" s="41">
        <v>8.0</v>
      </c>
      <c r="L260" s="41">
        <v>9.0</v>
      </c>
      <c r="M260" s="41">
        <v>16.0</v>
      </c>
      <c r="N260" s="41">
        <v>12.0</v>
      </c>
      <c r="O260" s="41">
        <v>5.0</v>
      </c>
      <c r="P260" s="41">
        <v>9.0</v>
      </c>
      <c r="Q260" s="41">
        <v>8.0</v>
      </c>
      <c r="R260" s="41">
        <v>14.0</v>
      </c>
      <c r="S260" s="41">
        <v>8.0</v>
      </c>
      <c r="T260" s="41">
        <v>15.0</v>
      </c>
      <c r="U260" s="41">
        <v>4.0</v>
      </c>
      <c r="V260" s="41">
        <v>18.0</v>
      </c>
      <c r="W260" s="41">
        <v>11.0</v>
      </c>
      <c r="X260" s="41">
        <v>7.0</v>
      </c>
      <c r="Y260" s="41">
        <v>6.0</v>
      </c>
      <c r="Z260" s="41">
        <v>17.0</v>
      </c>
      <c r="AA260" s="41">
        <v>5.0</v>
      </c>
      <c r="AB260" s="41">
        <v>10.0</v>
      </c>
      <c r="AC260" s="41">
        <v>9.0</v>
      </c>
      <c r="AD260" s="41">
        <v>8.0</v>
      </c>
      <c r="AE260" s="41">
        <v>0.0</v>
      </c>
      <c r="AF260" s="41">
        <v>9.0</v>
      </c>
      <c r="AG260" s="41">
        <v>6.0</v>
      </c>
      <c r="AH260" s="41">
        <v>3.0</v>
      </c>
      <c r="AI260" s="41">
        <v>6.0</v>
      </c>
      <c r="AJ260" s="41">
        <v>16.0</v>
      </c>
      <c r="AK260" s="41">
        <v>11.0</v>
      </c>
      <c r="AL260" s="41">
        <v>6.0</v>
      </c>
      <c r="AM260" s="43">
        <v>11.0</v>
      </c>
      <c r="AN260" s="43">
        <v>4.0</v>
      </c>
      <c r="AO260" s="43">
        <v>8.0</v>
      </c>
      <c r="AP260" s="43">
        <v>10.0</v>
      </c>
      <c r="AQ260" s="43">
        <v>5.0</v>
      </c>
      <c r="AR260" s="43">
        <v>4.0</v>
      </c>
      <c r="AS260" s="43">
        <v>10.0</v>
      </c>
      <c r="AT260" s="4">
        <f t="shared" si="4"/>
        <v>94.0</v>
      </c>
      <c r="AU260" s="4">
        <f t="shared" si="5"/>
        <v>53.0</v>
      </c>
      <c r="AV260" s="4">
        <f t="shared" si="6"/>
        <v>58.3</v>
      </c>
      <c r="AW260" s="1">
        <f t="shared" si="911"/>
        <v>6.68571428571428</v>
      </c>
      <c r="AX260" s="1">
        <f t="shared" si="912"/>
        <v>8.35714285714285</v>
      </c>
      <c r="AY260" s="1">
        <f t="shared" si="913"/>
        <v>9.0</v>
      </c>
      <c r="AZ260" s="1">
        <f t="shared" si="914"/>
        <v>12.4714285714284</v>
      </c>
      <c r="BA260" s="1">
        <f t="shared" si="915"/>
        <v>6.91428571428571</v>
      </c>
      <c r="BB260" s="1">
        <f t="shared" si="916"/>
        <v>12.5714285714286</v>
      </c>
      <c r="BC260" s="4">
        <f t="shared" si="728"/>
        <v>55.9999999999998</v>
      </c>
      <c r="BD260" s="3">
        <f>VLOOKUP(D260,FEB23SOH,2,false)</f>
        <v>214.0</v>
      </c>
      <c r="BE260" s="44">
        <f>VLOOKUP(D260,UNITVALUE,4,false)</f>
        <v>4.4679</v>
      </c>
      <c r="BF260" s="44">
        <f t="shared" si="940"/>
        <v>956.1306</v>
      </c>
      <c r="BI260" s="6">
        <f t="shared" si="917"/>
        <v>158.0</v>
      </c>
      <c r="BJ260" s="1">
        <f>VLOOKUP(C260,MOQ,3,FALSE())</f>
        <v>250.0</v>
      </c>
      <c r="BM260" s="1">
        <f t="shared" si="919"/>
        <v>214.0</v>
      </c>
      <c r="BN260" s="1">
        <f t="shared" si="920"/>
        <v>6.68571428571428</v>
      </c>
      <c r="BP260" s="45">
        <f t="shared" si="921"/>
        <v>207.314285714286</v>
      </c>
      <c r="BQ260" s="5">
        <f t="shared" si="922"/>
        <v>926.259497142858</v>
      </c>
      <c r="BR260" s="1">
        <f t="shared" si="923"/>
        <v>8.35714285714285</v>
      </c>
      <c r="BS260" s="1">
        <f t="shared" si="924"/>
      </c>
      <c r="BT260" s="45">
        <f t="shared" si="925"/>
        <v>198.957142857143</v>
      </c>
      <c r="BU260" s="5">
        <f t="shared" si="926"/>
        <v>888.920618571429</v>
      </c>
      <c r="BV260" s="1">
        <f t="shared" si="927"/>
        <v>9.0</v>
      </c>
      <c r="BW260" s="1">
        <f t="shared" si="928"/>
      </c>
      <c r="BX260" s="45">
        <f t="shared" si="929"/>
        <v>189.957142857143</v>
      </c>
      <c r="BY260" s="5">
        <f t="shared" si="930"/>
        <v>848.709518571429</v>
      </c>
      <c r="BZ260" s="1">
        <f t="shared" si="931"/>
        <v>12.4714285714284</v>
      </c>
      <c r="CB260" s="45">
        <f t="shared" si="932"/>
        <v>177.485714285714</v>
      </c>
      <c r="CC260" s="5">
        <f t="shared" si="933"/>
        <v>792.988422857141</v>
      </c>
      <c r="CD260" s="1">
        <f t="shared" si="934"/>
        <v>6.91428571428571</v>
      </c>
      <c r="CF260" s="45">
        <f t="shared" si="935"/>
        <v>170.571428571428</v>
      </c>
      <c r="CG260" s="5">
        <f t="shared" si="936"/>
        <v>762.096085714283</v>
      </c>
      <c r="CH260" s="1">
        <f t="shared" si="937"/>
        <v>12.5714285714286</v>
      </c>
      <c r="CJ260" s="45">
        <f t="shared" si="938"/>
        <v>157.999999999999</v>
      </c>
      <c r="CK260" s="5">
        <f t="shared" si="939"/>
        <v>705.928199999996</v>
      </c>
    </row>
    <row r="261" ht="17.0">
      <c r="A261" s="41" t="s">
        <v>30</v>
      </c>
      <c r="B261" s="41" t="s">
        <v>520</v>
      </c>
      <c r="C261" s="41" t="s">
        <v>561</v>
      </c>
      <c r="D261" s="42" t="s">
        <v>562</v>
      </c>
      <c r="E261" s="41">
        <v>10.0</v>
      </c>
      <c r="F261" s="41">
        <v>12.0</v>
      </c>
      <c r="G261" s="41">
        <v>12.0</v>
      </c>
      <c r="H261" s="41">
        <v>12.0</v>
      </c>
      <c r="I261" s="41">
        <v>15.0</v>
      </c>
      <c r="J261" s="41">
        <v>7.0</v>
      </c>
      <c r="K261" s="41">
        <v>18.0</v>
      </c>
      <c r="L261" s="41">
        <v>17.0</v>
      </c>
      <c r="M261" s="41">
        <v>17.0</v>
      </c>
      <c r="N261" s="41">
        <v>15.0</v>
      </c>
      <c r="O261" s="41">
        <v>16.0</v>
      </c>
      <c r="P261" s="41">
        <v>16.0</v>
      </c>
      <c r="Q261" s="41">
        <v>11.0</v>
      </c>
      <c r="R261" s="41">
        <v>14.0</v>
      </c>
      <c r="S261" s="41">
        <v>9.0</v>
      </c>
      <c r="T261" s="41">
        <v>13.0</v>
      </c>
      <c r="U261" s="41">
        <v>13.0</v>
      </c>
      <c r="V261" s="41">
        <v>23.0</v>
      </c>
      <c r="W261" s="41">
        <v>14.0</v>
      </c>
      <c r="X261" s="41">
        <v>11.0</v>
      </c>
      <c r="Y261" s="41">
        <v>10.0</v>
      </c>
      <c r="Z261" s="41">
        <v>19.0</v>
      </c>
      <c r="AA261" s="41">
        <v>6.0</v>
      </c>
      <c r="AB261" s="41">
        <v>15.0</v>
      </c>
      <c r="AC261" s="41">
        <v>14.0</v>
      </c>
      <c r="AD261" s="41">
        <v>13.0</v>
      </c>
      <c r="AE261" s="41">
        <v>7.0</v>
      </c>
      <c r="AF261" s="41">
        <v>13.0</v>
      </c>
      <c r="AG261" s="41">
        <v>6.0</v>
      </c>
      <c r="AH261" s="41">
        <v>8.0</v>
      </c>
      <c r="AI261" s="41">
        <v>2.0</v>
      </c>
      <c r="AJ261" s="41">
        <v>14.0</v>
      </c>
      <c r="AK261" s="41">
        <v>10.0</v>
      </c>
      <c r="AL261" s="41">
        <v>6.0</v>
      </c>
      <c r="AM261" s="43">
        <v>11.0</v>
      </c>
      <c r="AN261" s="43">
        <v>12.0</v>
      </c>
      <c r="AO261" s="43">
        <v>10.0</v>
      </c>
      <c r="AP261" s="43">
        <v>9.0</v>
      </c>
      <c r="AQ261" s="43">
        <v>12.0</v>
      </c>
      <c r="AR261" s="43">
        <v>7.0</v>
      </c>
      <c r="AS261" s="43">
        <v>6.0</v>
      </c>
      <c r="AT261" s="4">
        <f t="shared" si="4"/>
        <v>107.0</v>
      </c>
      <c r="AU261" s="4">
        <f t="shared" si="5"/>
        <v>51.0</v>
      </c>
      <c r="AV261" s="4">
        <f t="shared" si="6"/>
        <v>56.1</v>
      </c>
      <c r="AW261" s="1">
        <f t="shared" si="911"/>
        <v>6.43809523809523</v>
      </c>
      <c r="AX261" s="1">
        <f t="shared" si="912"/>
        <v>8.04761904761904</v>
      </c>
      <c r="AY261" s="1">
        <f t="shared" si="913"/>
        <v>8.6666666666667</v>
      </c>
      <c r="AZ261" s="1">
        <f t="shared" si="914"/>
        <v>12.009523809523</v>
      </c>
      <c r="BA261" s="1">
        <f t="shared" si="915"/>
        <v>6.6952380952381</v>
      </c>
      <c r="BB261" s="1">
        <f t="shared" si="916"/>
        <v>12.1428571428571</v>
      </c>
      <c r="BC261" s="4">
        <f t="shared" si="728"/>
        <v>53.9999999999991</v>
      </c>
      <c r="BD261" s="3">
        <f>VLOOKUP(D261,FEB23SOH,2,false)</f>
        <v>120.0</v>
      </c>
      <c r="BE261" s="44">
        <f>VLOOKUP(D261,UNITVALUE,4,false)</f>
        <v>4.5529</v>
      </c>
      <c r="BF261" s="44">
        <f t="shared" si="940"/>
        <v>546.348</v>
      </c>
      <c r="BI261" s="6">
        <f t="shared" si="917"/>
        <v>66.0000000000009</v>
      </c>
      <c r="BJ261" s="1">
        <f>VLOOKUP(C261,MOQ,3,FALSE())</f>
        <v>250.0</v>
      </c>
      <c r="BK261" s="74"/>
      <c r="BM261" s="1">
        <f t="shared" si="919"/>
        <v>120.0</v>
      </c>
      <c r="BN261" s="1">
        <f t="shared" si="920"/>
        <v>6.43809523809523</v>
      </c>
      <c r="BP261" s="45">
        <f t="shared" si="921"/>
        <v>113.561904761904</v>
      </c>
      <c r="BQ261" s="5">
        <f t="shared" si="922"/>
        <v>517.035996190472</v>
      </c>
      <c r="BR261" s="1">
        <f t="shared" si="923"/>
        <v>8.04761904761904</v>
      </c>
      <c r="BS261" s="1">
        <f t="shared" si="924"/>
      </c>
      <c r="BT261" s="45">
        <f t="shared" si="925"/>
        <v>105.514285714284</v>
      </c>
      <c r="BU261" s="5">
        <f t="shared" si="926"/>
        <v>480.395991428563</v>
      </c>
      <c r="BV261" s="1">
        <f t="shared" si="927"/>
        <v>8.6666666666667</v>
      </c>
      <c r="BW261" s="1">
        <f t="shared" si="928"/>
      </c>
      <c r="BX261" s="45">
        <f t="shared" si="929"/>
        <v>96.8476190476173</v>
      </c>
      <c r="BY261" s="5">
        <f t="shared" si="930"/>
        <v>440.937524761897</v>
      </c>
      <c r="BZ261" s="1">
        <f t="shared" si="931"/>
        <v>12.009523809523</v>
      </c>
      <c r="CB261" s="45">
        <f t="shared" si="932"/>
        <v>84.8380952380943</v>
      </c>
      <c r="CC261" s="5">
        <f t="shared" si="933"/>
        <v>386.25936380952</v>
      </c>
      <c r="CD261" s="1">
        <f t="shared" si="934"/>
        <v>6.6952380952381</v>
      </c>
      <c r="CF261" s="45">
        <f t="shared" si="935"/>
        <v>78.1428571428562</v>
      </c>
      <c r="CG261" s="5">
        <f t="shared" si="936"/>
        <v>355.77661428571</v>
      </c>
      <c r="CH261" s="1">
        <f t="shared" si="937"/>
        <v>12.1428571428571</v>
      </c>
      <c r="CJ261" s="45">
        <f t="shared" si="938"/>
        <v>65.9999999999991</v>
      </c>
      <c r="CK261" s="5">
        <f t="shared" si="939"/>
        <v>300.491399999996</v>
      </c>
    </row>
    <row r="262" ht="17.0">
      <c r="A262" s="41" t="s">
        <v>30</v>
      </c>
      <c r="B262" s="41" t="s">
        <v>520</v>
      </c>
      <c r="C262" s="41" t="s">
        <v>563</v>
      </c>
      <c r="D262" s="42" t="s">
        <v>564</v>
      </c>
      <c r="E262" s="41">
        <v>11.0</v>
      </c>
      <c r="F262" s="41">
        <v>9.0</v>
      </c>
      <c r="G262" s="41">
        <v>16.0</v>
      </c>
      <c r="H262" s="41">
        <v>10.0</v>
      </c>
      <c r="I262" s="41">
        <v>16.0</v>
      </c>
      <c r="J262" s="41">
        <v>16.0</v>
      </c>
      <c r="K262" s="41">
        <v>16.0</v>
      </c>
      <c r="L262" s="41">
        <v>13.0</v>
      </c>
      <c r="M262" s="41">
        <v>17.0</v>
      </c>
      <c r="N262" s="41">
        <v>23.0</v>
      </c>
      <c r="O262" s="41">
        <v>10.0</v>
      </c>
      <c r="P262" s="41">
        <v>20.0</v>
      </c>
      <c r="Q262" s="41">
        <v>14.0</v>
      </c>
      <c r="R262" s="41">
        <v>12.0</v>
      </c>
      <c r="S262" s="41">
        <v>5.0</v>
      </c>
      <c r="T262" s="41">
        <v>12.0</v>
      </c>
      <c r="U262" s="41">
        <v>18.0</v>
      </c>
      <c r="V262" s="41">
        <v>21.0</v>
      </c>
      <c r="W262" s="41">
        <v>10.0</v>
      </c>
      <c r="X262" s="41">
        <v>12.0</v>
      </c>
      <c r="Y262" s="41">
        <v>10.0</v>
      </c>
      <c r="Z262" s="41">
        <v>19.0</v>
      </c>
      <c r="AA262" s="41">
        <v>16.0</v>
      </c>
      <c r="AB262" s="41">
        <v>22.0</v>
      </c>
      <c r="AC262" s="41">
        <v>20.0</v>
      </c>
      <c r="AD262" s="41">
        <v>11.0</v>
      </c>
      <c r="AE262" s="41">
        <v>13.0</v>
      </c>
      <c r="AF262" s="41">
        <v>16.0</v>
      </c>
      <c r="AG262" s="41">
        <v>11.0</v>
      </c>
      <c r="AH262" s="41">
        <v>10.0</v>
      </c>
      <c r="AI262" s="41">
        <v>10.0</v>
      </c>
      <c r="AJ262" s="41">
        <v>17.0</v>
      </c>
      <c r="AK262" s="41">
        <v>9.0</v>
      </c>
      <c r="AL262" s="41">
        <v>7.0</v>
      </c>
      <c r="AM262" s="43">
        <v>15.0</v>
      </c>
      <c r="AN262" s="43">
        <v>7.0</v>
      </c>
      <c r="AO262" s="43">
        <v>7.0</v>
      </c>
      <c r="AP262" s="43">
        <v>19.0</v>
      </c>
      <c r="AQ262" s="43">
        <v>14.0</v>
      </c>
      <c r="AR262" s="43">
        <v>8.0</v>
      </c>
      <c r="AS262" s="43">
        <v>5.0</v>
      </c>
      <c r="AT262" s="4">
        <f t="shared" si="4"/>
        <v>128.0</v>
      </c>
      <c r="AU262" s="4">
        <f t="shared" si="5"/>
        <v>68.0</v>
      </c>
      <c r="AV262" s="4">
        <f t="shared" si="6"/>
        <v>74.8</v>
      </c>
      <c r="AW262" s="1">
        <f t="shared" si="911"/>
        <v>8.54285714285714</v>
      </c>
      <c r="AX262" s="1">
        <f t="shared" si="912"/>
        <v>10.6785714285714</v>
      </c>
      <c r="AY262" s="1">
        <f t="shared" si="913"/>
        <v>11.5</v>
      </c>
      <c r="AZ262" s="1">
        <f t="shared" si="914"/>
        <v>15.9357142857142</v>
      </c>
      <c r="BA262" s="1">
        <f t="shared" si="915"/>
        <v>8.55714285714285</v>
      </c>
      <c r="BB262" s="1">
        <f t="shared" si="916"/>
        <v>15.7857142857143</v>
      </c>
      <c r="BC262" s="4">
        <f t="shared" si="728"/>
        <v>70.9999999999999</v>
      </c>
      <c r="BD262" s="3">
        <f>VLOOKUP(D262,FEB23SOH,2,false)</f>
        <v>1103.0</v>
      </c>
      <c r="BE262" s="44">
        <f>VLOOKUP(D262,UNITVALUE,4,false)</f>
        <v>4.6041</v>
      </c>
      <c r="BF262" s="44">
        <f t="shared" si="940"/>
        <v>5078.3223</v>
      </c>
      <c r="BI262" s="6">
        <f t="shared" si="917"/>
        <v>1032.0</v>
      </c>
      <c r="BJ262" s="1">
        <f>VLOOKUP(C262,MOQ,3,FALSE())</f>
        <v>250.0</v>
      </c>
      <c r="BM262" s="1">
        <f t="shared" si="919"/>
        <v>1103.0</v>
      </c>
      <c r="BN262" s="1">
        <f t="shared" si="920"/>
        <v>8.54285714285714</v>
      </c>
      <c r="BP262" s="45">
        <f t="shared" si="921"/>
        <v>1094.45714285714</v>
      </c>
      <c r="BQ262" s="5">
        <f t="shared" si="922"/>
        <v>5038.99013142856</v>
      </c>
      <c r="BR262" s="1">
        <f t="shared" si="923"/>
        <v>10.6785714285714</v>
      </c>
      <c r="BS262" s="1">
        <f t="shared" si="924"/>
      </c>
      <c r="BT262" s="45">
        <f t="shared" si="925"/>
        <v>1083.77857142857</v>
      </c>
      <c r="BU262" s="5">
        <f t="shared" si="926"/>
        <v>4989.82492071428</v>
      </c>
      <c r="BV262" s="1">
        <f t="shared" si="927"/>
        <v>11.5</v>
      </c>
      <c r="BW262" s="1">
        <f t="shared" si="928"/>
      </c>
      <c r="BX262" s="45">
        <f t="shared" si="929"/>
        <v>1072.27857142857</v>
      </c>
      <c r="BY262" s="5">
        <f t="shared" si="930"/>
        <v>4936.87777071428</v>
      </c>
      <c r="BZ262" s="1">
        <f t="shared" si="931"/>
        <v>15.9357142857142</v>
      </c>
      <c r="CB262" s="45">
        <f t="shared" si="932"/>
        <v>1056.34285714286</v>
      </c>
      <c r="CC262" s="5">
        <f t="shared" si="933"/>
        <v>4863.50814857144</v>
      </c>
      <c r="CD262" s="1">
        <f t="shared" si="934"/>
        <v>8.55714285714285</v>
      </c>
      <c r="CF262" s="45">
        <f t="shared" si="935"/>
        <v>1047.78571428571</v>
      </c>
      <c r="CG262" s="5">
        <f t="shared" si="936"/>
        <v>4824.11020714283</v>
      </c>
      <c r="CH262" s="1">
        <f t="shared" si="937"/>
        <v>15.7857142857143</v>
      </c>
      <c r="CJ262" s="45">
        <f t="shared" si="938"/>
        <v>1032.0</v>
      </c>
      <c r="CK262" s="5">
        <f t="shared" si="939"/>
        <v>4751.4312</v>
      </c>
    </row>
    <row r="263" ht="17.0">
      <c r="A263" s="41" t="s">
        <v>30</v>
      </c>
      <c r="B263" s="41" t="s">
        <v>520</v>
      </c>
      <c r="C263" s="41" t="s">
        <v>565</v>
      </c>
      <c r="D263" s="42" t="s">
        <v>566</v>
      </c>
      <c r="E263" s="41">
        <v>10.0</v>
      </c>
      <c r="F263" s="41">
        <v>8.0</v>
      </c>
      <c r="G263" s="41">
        <v>14.0</v>
      </c>
      <c r="H263" s="41">
        <v>5.0</v>
      </c>
      <c r="I263" s="41">
        <v>13.0</v>
      </c>
      <c r="J263" s="41">
        <v>14.0</v>
      </c>
      <c r="K263" s="41">
        <v>14.0</v>
      </c>
      <c r="L263" s="41">
        <v>6.0</v>
      </c>
      <c r="M263" s="41">
        <v>16.0</v>
      </c>
      <c r="N263" s="41">
        <v>15.0</v>
      </c>
      <c r="O263" s="41">
        <v>13.0</v>
      </c>
      <c r="P263" s="41">
        <v>12.0</v>
      </c>
      <c r="Q263" s="41">
        <v>11.0</v>
      </c>
      <c r="R263" s="41">
        <v>17.0</v>
      </c>
      <c r="S263" s="41">
        <v>7.0</v>
      </c>
      <c r="T263" s="41">
        <v>16.0</v>
      </c>
      <c r="U263" s="41">
        <v>5.0</v>
      </c>
      <c r="V263" s="41">
        <v>19.0</v>
      </c>
      <c r="W263" s="41">
        <v>12.0</v>
      </c>
      <c r="X263" s="41">
        <v>9.0</v>
      </c>
      <c r="Y263" s="41">
        <v>11.0</v>
      </c>
      <c r="Z263" s="41">
        <v>16.0</v>
      </c>
      <c r="AA263" s="41">
        <v>7.0</v>
      </c>
      <c r="AB263" s="41">
        <v>9.0</v>
      </c>
      <c r="AC263" s="41">
        <v>22.0</v>
      </c>
      <c r="AD263" s="41">
        <v>14.0</v>
      </c>
      <c r="AE263" s="41">
        <v>3.0</v>
      </c>
      <c r="AF263" s="41">
        <v>18.0</v>
      </c>
      <c r="AG263" s="41">
        <v>5.0</v>
      </c>
      <c r="AH263" s="41">
        <v>4.0</v>
      </c>
      <c r="AI263" s="41">
        <v>9.0</v>
      </c>
      <c r="AJ263" s="41">
        <v>15.0</v>
      </c>
      <c r="AK263" s="41">
        <v>12.0</v>
      </c>
      <c r="AL263" s="41">
        <v>6.0</v>
      </c>
      <c r="AM263" s="43">
        <v>17.0</v>
      </c>
      <c r="AN263" s="43">
        <v>-1.0</v>
      </c>
      <c r="AO263" s="43">
        <v>0.0</v>
      </c>
      <c r="AP263" s="43">
        <v>9.0</v>
      </c>
      <c r="AQ263" s="43">
        <v>13.0</v>
      </c>
      <c r="AR263" s="43">
        <v>9.0</v>
      </c>
      <c r="AS263" s="43">
        <v>7.0</v>
      </c>
      <c r="AT263" s="4">
        <f t="shared" si="4"/>
        <v>100.0</v>
      </c>
      <c r="AU263" s="4">
        <f t="shared" si="5"/>
        <v>63.0</v>
      </c>
      <c r="AV263" s="4">
        <f t="shared" si="6"/>
        <v>69.3</v>
      </c>
      <c r="AW263" s="1">
        <f t="shared" si="911"/>
        <v>7.92380952380952</v>
      </c>
      <c r="AX263" s="1">
        <f t="shared" si="912"/>
        <v>9.9047619047619</v>
      </c>
      <c r="AY263" s="1">
        <f t="shared" si="913"/>
        <v>10.6666666666667</v>
      </c>
      <c r="AZ263" s="1">
        <f t="shared" si="914"/>
        <v>14.7809523809523</v>
      </c>
      <c r="BA263" s="1">
        <f t="shared" si="915"/>
        <v>8.00952380952381</v>
      </c>
      <c r="BB263" s="1">
        <f t="shared" si="916"/>
        <v>14.7142857142857</v>
      </c>
      <c r="BC263" s="4">
        <f t="shared" si="728"/>
        <v>65.9999999999999</v>
      </c>
      <c r="BD263" s="3">
        <f>VLOOKUP(D263,FEB23SOH,2,false)</f>
        <v>101.0</v>
      </c>
      <c r="BE263" s="44">
        <f>VLOOKUP(D263,UNITVALUE,4,false)</f>
        <v>4.5531</v>
      </c>
      <c r="BF263" s="44"/>
      <c r="BI263" s="6">
        <f t="shared" si="917"/>
        <v>35.0000000000001</v>
      </c>
      <c r="BJ263" s="1">
        <f>VLOOKUP(C263,MOQ,3,FALSE())</f>
        <v>250.0</v>
      </c>
      <c r="BK263" s="74"/>
      <c r="BM263" s="1">
        <f t="shared" si="919"/>
        <v>101.0</v>
      </c>
      <c r="BN263" s="1">
        <f t="shared" si="920"/>
        <v>7.92380952380952</v>
      </c>
      <c r="BP263" s="45">
        <f t="shared" si="921"/>
        <v>93.0761904761904</v>
      </c>
      <c r="BQ263" s="5">
        <f t="shared" si="922"/>
        <v>423.785202857142</v>
      </c>
      <c r="BR263" s="1">
        <f t="shared" si="923"/>
        <v>9.9047619047619</v>
      </c>
      <c r="BS263" s="1">
        <f t="shared" si="924"/>
      </c>
      <c r="BT263" s="45">
        <f t="shared" si="925"/>
        <v>83.1714285714285</v>
      </c>
      <c r="BU263" s="5">
        <f t="shared" si="926"/>
        <v>378.687831428571</v>
      </c>
      <c r="BV263" s="1">
        <f t="shared" si="927"/>
        <v>10.6666666666667</v>
      </c>
      <c r="BW263" s="1">
        <f t="shared" si="928"/>
      </c>
      <c r="BX263" s="45">
        <f t="shared" si="929"/>
        <v>72.5047619047618</v>
      </c>
      <c r="BY263" s="5">
        <f t="shared" si="930"/>
        <v>330.121431428571</v>
      </c>
      <c r="BZ263" s="1">
        <f t="shared" si="931"/>
        <v>14.7809523809523</v>
      </c>
      <c r="CB263" s="45">
        <f t="shared" si="932"/>
        <v>57.7238095238095</v>
      </c>
      <c r="CC263" s="5">
        <f t="shared" si="933"/>
        <v>262.822277142857</v>
      </c>
      <c r="CD263" s="1">
        <f t="shared" si="934"/>
        <v>8.00952380952381</v>
      </c>
      <c r="CF263" s="45">
        <f t="shared" si="935"/>
        <v>49.7142857142857</v>
      </c>
      <c r="CG263" s="5">
        <f t="shared" si="936"/>
        <v>226.354114285714</v>
      </c>
      <c r="CH263" s="1">
        <f t="shared" si="937"/>
        <v>14.7142857142857</v>
      </c>
      <c r="CJ263" s="45">
        <f t="shared" si="938"/>
        <v>35.0</v>
      </c>
      <c r="CK263" s="5">
        <f t="shared" si="939"/>
        <v>159.3585</v>
      </c>
    </row>
    <row r="264" ht="17.0">
      <c r="A264" s="41" t="s">
        <v>30</v>
      </c>
      <c r="B264" s="41" t="s">
        <v>520</v>
      </c>
      <c r="C264" s="41" t="s">
        <v>567</v>
      </c>
      <c r="D264" s="42" t="s">
        <v>568</v>
      </c>
      <c r="E264" s="41">
        <v>5.0</v>
      </c>
      <c r="F264" s="41">
        <v>6.0</v>
      </c>
      <c r="G264" s="41">
        <v>10.0</v>
      </c>
      <c r="H264" s="41">
        <v>7.0</v>
      </c>
      <c r="I264" s="41">
        <v>14.0</v>
      </c>
      <c r="J264" s="41">
        <v>10.0</v>
      </c>
      <c r="K264" s="41">
        <v>5.0</v>
      </c>
      <c r="L264" s="41">
        <v>8.0</v>
      </c>
      <c r="M264" s="41">
        <v>8.0</v>
      </c>
      <c r="N264" s="41">
        <v>9.0</v>
      </c>
      <c r="O264" s="41">
        <v>7.0</v>
      </c>
      <c r="P264" s="41">
        <v>17.0</v>
      </c>
      <c r="Q264" s="41">
        <v>13.0</v>
      </c>
      <c r="R264" s="41">
        <v>8.0</v>
      </c>
      <c r="S264" s="41">
        <v>4.0</v>
      </c>
      <c r="T264" s="41">
        <v>15.0</v>
      </c>
      <c r="U264" s="41">
        <v>6.0</v>
      </c>
      <c r="V264" s="41">
        <v>16.0</v>
      </c>
      <c r="W264" s="41">
        <v>8.0</v>
      </c>
      <c r="X264" s="41">
        <v>7.0</v>
      </c>
      <c r="Y264" s="41">
        <v>5.0</v>
      </c>
      <c r="Z264" s="41">
        <v>11.0</v>
      </c>
      <c r="AA264" s="41">
        <v>7.0</v>
      </c>
      <c r="AB264" s="41">
        <v>16.0</v>
      </c>
      <c r="AC264" s="41">
        <v>12.0</v>
      </c>
      <c r="AD264" s="41">
        <v>8.0</v>
      </c>
      <c r="AE264" s="41">
        <v>7.0</v>
      </c>
      <c r="AF264" s="41">
        <v>11.0</v>
      </c>
      <c r="AG264" s="41">
        <v>5.0</v>
      </c>
      <c r="AH264" s="41">
        <v>6.0</v>
      </c>
      <c r="AI264" s="41">
        <v>6.0</v>
      </c>
      <c r="AJ264" s="41">
        <v>8.0</v>
      </c>
      <c r="AK264" s="41">
        <v>5.0</v>
      </c>
      <c r="AL264" s="41">
        <v>3.0</v>
      </c>
      <c r="AM264" s="43">
        <v>9.0</v>
      </c>
      <c r="AN264" s="43">
        <v>7.0</v>
      </c>
      <c r="AO264" s="43">
        <v>7.0</v>
      </c>
      <c r="AP264" s="43">
        <v>13.0</v>
      </c>
      <c r="AQ264" s="43">
        <v>3.0</v>
      </c>
      <c r="AR264" s="43">
        <v>2.0</v>
      </c>
      <c r="AS264" s="43">
        <v>1.0</v>
      </c>
      <c r="AT264" s="4">
        <f t="shared" si="4"/>
        <v>70.0</v>
      </c>
      <c r="AU264" s="4">
        <f t="shared" si="5"/>
        <v>37.0</v>
      </c>
      <c r="AV264" s="4">
        <f t="shared" si="6"/>
        <v>40.7</v>
      </c>
      <c r="AW264" s="1">
        <f t="shared" si="911"/>
        <v>4.7047619047619</v>
      </c>
      <c r="AX264" s="1">
        <f t="shared" si="912"/>
        <v>5.88095238095238</v>
      </c>
      <c r="AY264" s="1">
        <f t="shared" si="913"/>
        <v>6.33333333333333</v>
      </c>
      <c r="AZ264" s="1">
        <f t="shared" si="914"/>
        <v>8.77619047619048</v>
      </c>
      <c r="BA264" s="1">
        <f t="shared" si="915"/>
        <v>5.16190476190476</v>
      </c>
      <c r="BB264" s="1">
        <f t="shared" si="916"/>
        <v>9.14285714285713</v>
      </c>
      <c r="BC264" s="4">
        <f t="shared" si="728"/>
        <v>40.0</v>
      </c>
      <c r="BD264" s="3">
        <f>VLOOKUP(D264,FEB23SOH,2,false)</f>
        <v>218.0</v>
      </c>
      <c r="BE264" s="44">
        <f>VLOOKUP(D264,UNITVALUE,4,false)</f>
        <v>4.4653</v>
      </c>
      <c r="BF264" s="44">
        <f t="shared" ref="BF264:BF386" si="941">BE264*BD264</f>
        <v>973.4354</v>
      </c>
      <c r="BI264" s="6">
        <f t="shared" si="917"/>
        <v>178.0</v>
      </c>
      <c r="BJ264" s="1">
        <f>VLOOKUP(C264,MOQ,3,FALSE())</f>
        <v>250.0</v>
      </c>
      <c r="BM264" s="1">
        <f t="shared" si="919"/>
        <v>218.0</v>
      </c>
      <c r="BN264" s="1">
        <f t="shared" si="920"/>
        <v>4.7047619047619</v>
      </c>
      <c r="BP264" s="45">
        <f t="shared" si="921"/>
        <v>213.295238095238</v>
      </c>
      <c r="BQ264" s="5">
        <f t="shared" si="922"/>
        <v>952.427226666666</v>
      </c>
      <c r="BR264" s="1">
        <f t="shared" si="923"/>
        <v>5.88095238095238</v>
      </c>
      <c r="BS264" s="1">
        <f t="shared" si="924"/>
      </c>
      <c r="BT264" s="45">
        <f t="shared" si="925"/>
        <v>207.414285714286</v>
      </c>
      <c r="BU264" s="5">
        <f t="shared" si="926"/>
        <v>926.167010000001</v>
      </c>
      <c r="BV264" s="1">
        <f t="shared" si="927"/>
        <v>6.33333333333333</v>
      </c>
      <c r="BW264" s="1">
        <f t="shared" si="928"/>
      </c>
      <c r="BX264" s="45">
        <f t="shared" si="929"/>
        <v>201.080952380952</v>
      </c>
      <c r="BY264" s="5">
        <f t="shared" si="930"/>
        <v>897.886776666665</v>
      </c>
      <c r="BZ264" s="1">
        <f t="shared" si="931"/>
        <v>8.77619047619048</v>
      </c>
      <c r="CB264" s="45">
        <f t="shared" si="932"/>
        <v>192.304761904761</v>
      </c>
      <c r="CC264" s="5">
        <f t="shared" si="933"/>
        <v>858.698453333329</v>
      </c>
      <c r="CD264" s="1">
        <f t="shared" si="934"/>
        <v>5.16190476190476</v>
      </c>
      <c r="CF264" s="45">
        <f t="shared" si="935"/>
        <v>187.142857142856</v>
      </c>
      <c r="CG264" s="5">
        <f t="shared" si="936"/>
        <v>835.648999999994</v>
      </c>
      <c r="CH264" s="1">
        <f t="shared" si="937"/>
        <v>9.14285714285713</v>
      </c>
      <c r="CJ264" s="45">
        <f t="shared" si="938"/>
        <v>177.999999999999</v>
      </c>
      <c r="CK264" s="5">
        <f t="shared" si="939"/>
        <v>794.823399999996</v>
      </c>
    </row>
    <row r="265" ht="17.0">
      <c r="A265" s="41" t="s">
        <v>30</v>
      </c>
      <c r="B265" s="41" t="s">
        <v>520</v>
      </c>
      <c r="C265" s="41" t="s">
        <v>569</v>
      </c>
      <c r="D265" s="42" t="s">
        <v>570</v>
      </c>
      <c r="E265" s="41">
        <v>4.0</v>
      </c>
      <c r="F265" s="41">
        <v>9.0</v>
      </c>
      <c r="G265" s="41">
        <v>10.0</v>
      </c>
      <c r="H265" s="41">
        <v>7.0</v>
      </c>
      <c r="I265" s="41">
        <v>9.0</v>
      </c>
      <c r="J265" s="41">
        <v>11.0</v>
      </c>
      <c r="K265" s="41">
        <v>6.0</v>
      </c>
      <c r="L265" s="41">
        <v>13.0</v>
      </c>
      <c r="M265" s="41">
        <v>13.0</v>
      </c>
      <c r="N265" s="41">
        <v>10.0</v>
      </c>
      <c r="O265" s="41">
        <v>11.0</v>
      </c>
      <c r="P265" s="41">
        <v>9.0</v>
      </c>
      <c r="Q265" s="41">
        <v>9.0</v>
      </c>
      <c r="R265" s="41">
        <v>10.0</v>
      </c>
      <c r="S265" s="41">
        <v>9.0</v>
      </c>
      <c r="T265" s="41">
        <v>7.0</v>
      </c>
      <c r="U265" s="41">
        <v>7.0</v>
      </c>
      <c r="V265" s="41">
        <v>18.0</v>
      </c>
      <c r="W265" s="41">
        <v>12.0</v>
      </c>
      <c r="X265" s="41">
        <v>3.0</v>
      </c>
      <c r="Y265" s="41">
        <v>6.0</v>
      </c>
      <c r="Z265" s="41">
        <v>12.0</v>
      </c>
      <c r="AA265" s="41">
        <v>6.0</v>
      </c>
      <c r="AB265" s="41">
        <v>8.0</v>
      </c>
      <c r="AC265" s="41">
        <v>13.0</v>
      </c>
      <c r="AD265" s="41">
        <v>13.0</v>
      </c>
      <c r="AE265" s="41">
        <v>20.0</v>
      </c>
      <c r="AF265" s="41">
        <v>11.0</v>
      </c>
      <c r="AG265" s="41">
        <v>9.0</v>
      </c>
      <c r="AH265" s="41">
        <v>11.0</v>
      </c>
      <c r="AI265" s="41">
        <v>13.0</v>
      </c>
      <c r="AJ265" s="41">
        <v>9.0</v>
      </c>
      <c r="AK265" s="41">
        <v>2.0</v>
      </c>
      <c r="AL265" s="41">
        <v>6.0</v>
      </c>
      <c r="AM265" s="43">
        <v>16.0</v>
      </c>
      <c r="AN265" s="43">
        <v>5.0</v>
      </c>
      <c r="AO265" s="43">
        <v>4.0</v>
      </c>
      <c r="AP265" s="43">
        <v>8.0</v>
      </c>
      <c r="AQ265" s="43">
        <v>1.0</v>
      </c>
      <c r="AR265" s="43">
        <v>2.0</v>
      </c>
      <c r="AS265" s="43">
        <v>1.0</v>
      </c>
      <c r="AT265" s="4">
        <f t="shared" si="4"/>
        <v>78.0</v>
      </c>
      <c r="AU265" s="4">
        <f t="shared" si="5"/>
        <v>57.0</v>
      </c>
      <c r="AV265" s="4">
        <f t="shared" si="6"/>
        <v>62.7</v>
      </c>
      <c r="AW265" s="1">
        <f t="shared" si="911"/>
        <v>7.18095238095238</v>
      </c>
      <c r="AX265" s="1">
        <f t="shared" si="912"/>
        <v>8.97619047619047</v>
      </c>
      <c r="AY265" s="1">
        <f t="shared" si="913"/>
        <v>9.6666666666667</v>
      </c>
      <c r="AZ265" s="1">
        <f t="shared" si="914"/>
        <v>13.395238095238</v>
      </c>
      <c r="BA265" s="1">
        <f t="shared" si="915"/>
        <v>7.35238095238095</v>
      </c>
      <c r="BB265" s="1">
        <f t="shared" si="916"/>
        <v>13.4285714285714</v>
      </c>
      <c r="BC265" s="4">
        <f t="shared" si="728"/>
        <v>59.9999999999999</v>
      </c>
      <c r="BD265" s="3">
        <f>VLOOKUP(D265,FEB23SOH,2,false)</f>
        <v>193.0</v>
      </c>
      <c r="BE265" s="44">
        <f>VLOOKUP(D265,UNITVALUE,4,false)</f>
        <v>4.1045</v>
      </c>
      <c r="BF265" s="44">
        <f t="shared" si="941"/>
        <v>792.1685</v>
      </c>
      <c r="BI265" s="6">
        <f t="shared" si="917"/>
        <v>133.0</v>
      </c>
      <c r="BJ265" s="1">
        <f>VLOOKUP(C265,MOQ,3,FALSE())</f>
        <v>250.0</v>
      </c>
      <c r="BM265" s="1">
        <f t="shared" si="919"/>
        <v>193.0</v>
      </c>
      <c r="BN265" s="1">
        <f t="shared" si="920"/>
        <v>7.18095238095238</v>
      </c>
      <c r="BP265" s="45">
        <f t="shared" si="921"/>
        <v>185.819047619048</v>
      </c>
      <c r="BQ265" s="5">
        <f t="shared" si="922"/>
        <v>762.694280952382</v>
      </c>
      <c r="BR265" s="1">
        <f t="shared" si="923"/>
        <v>8.97619047619047</v>
      </c>
      <c r="BS265" s="1">
        <f t="shared" si="924"/>
      </c>
      <c r="BT265" s="45">
        <f t="shared" si="925"/>
        <v>176.842857142858</v>
      </c>
      <c r="BU265" s="5">
        <f t="shared" si="926"/>
        <v>725.85150714286</v>
      </c>
      <c r="BV265" s="1">
        <f t="shared" si="927"/>
        <v>9.6666666666667</v>
      </c>
      <c r="BW265" s="1">
        <f t="shared" si="928"/>
      </c>
      <c r="BX265" s="45">
        <f t="shared" si="929"/>
        <v>167.176190476191</v>
      </c>
      <c r="BY265" s="5">
        <f t="shared" si="930"/>
        <v>686.174673809526</v>
      </c>
      <c r="BZ265" s="1">
        <f t="shared" si="931"/>
        <v>13.395238095238</v>
      </c>
      <c r="CB265" s="45">
        <f t="shared" si="932"/>
        <v>153.780952380953</v>
      </c>
      <c r="CC265" s="5">
        <f t="shared" si="933"/>
        <v>631.193919047621</v>
      </c>
      <c r="CD265" s="1">
        <f t="shared" si="934"/>
        <v>7.35238095238095</v>
      </c>
      <c r="CF265" s="45">
        <f t="shared" si="935"/>
        <v>146.428571428572</v>
      </c>
      <c r="CG265" s="5">
        <f t="shared" si="936"/>
        <v>601.016071428573</v>
      </c>
      <c r="CH265" s="1">
        <f t="shared" si="937"/>
        <v>13.4285714285714</v>
      </c>
      <c r="CJ265" s="45">
        <f t="shared" si="938"/>
        <v>133.0</v>
      </c>
      <c r="CK265" s="5">
        <f t="shared" si="939"/>
        <v>545.8985</v>
      </c>
    </row>
    <row r="266" ht="17.0">
      <c r="A266" s="41" t="s">
        <v>30</v>
      </c>
      <c r="B266" s="41" t="s">
        <v>520</v>
      </c>
      <c r="C266" s="41" t="s">
        <v>571</v>
      </c>
      <c r="D266" s="42" t="s">
        <v>572</v>
      </c>
      <c r="E266" s="41">
        <v>11.0</v>
      </c>
      <c r="F266" s="41">
        <v>4.0</v>
      </c>
      <c r="G266" s="41">
        <v>16.0</v>
      </c>
      <c r="H266" s="41">
        <v>9.0</v>
      </c>
      <c r="I266" s="41">
        <v>9.0</v>
      </c>
      <c r="J266" s="41">
        <v>9.0</v>
      </c>
      <c r="K266" s="41">
        <v>15.0</v>
      </c>
      <c r="L266" s="41">
        <v>12.0</v>
      </c>
      <c r="M266" s="41">
        <v>15.0</v>
      </c>
      <c r="N266" s="41">
        <v>9.0</v>
      </c>
      <c r="O266" s="41">
        <v>13.0</v>
      </c>
      <c r="P266" s="41">
        <v>20.0</v>
      </c>
      <c r="Q266" s="41">
        <v>11.0</v>
      </c>
      <c r="R266" s="41">
        <v>13.0</v>
      </c>
      <c r="S266" s="41">
        <v>22.0</v>
      </c>
      <c r="T266" s="41">
        <v>16.0</v>
      </c>
      <c r="U266" s="41">
        <v>11.0</v>
      </c>
      <c r="V266" s="41">
        <v>14.0</v>
      </c>
      <c r="W266" s="41">
        <v>19.0</v>
      </c>
      <c r="X266" s="41">
        <v>11.0</v>
      </c>
      <c r="Y266" s="41">
        <v>11.0</v>
      </c>
      <c r="Z266" s="41">
        <v>18.0</v>
      </c>
      <c r="AA266" s="41">
        <v>8.0</v>
      </c>
      <c r="AB266" s="41">
        <v>23.0</v>
      </c>
      <c r="AC266" s="41">
        <v>19.0</v>
      </c>
      <c r="AD266" s="41">
        <v>19.0</v>
      </c>
      <c r="AE266" s="41">
        <v>11.0</v>
      </c>
      <c r="AF266" s="41">
        <v>16.0</v>
      </c>
      <c r="AG266" s="41">
        <v>5.0</v>
      </c>
      <c r="AH266" s="41">
        <v>10.0</v>
      </c>
      <c r="AI266" s="41">
        <v>9.0</v>
      </c>
      <c r="AJ266" s="41">
        <v>11.0</v>
      </c>
      <c r="AK266" s="41">
        <v>5.0</v>
      </c>
      <c r="AL266" s="41">
        <v>7.0</v>
      </c>
      <c r="AM266" s="43">
        <v>18.0</v>
      </c>
      <c r="AN266" s="43">
        <v>11.0</v>
      </c>
      <c r="AO266" s="43">
        <v>10.0</v>
      </c>
      <c r="AP266" s="43">
        <v>8.0</v>
      </c>
      <c r="AQ266" s="43">
        <v>8.0</v>
      </c>
      <c r="AR266" s="43">
        <v>11.0</v>
      </c>
      <c r="AS266" s="43">
        <v>9.0</v>
      </c>
      <c r="AT266" s="4">
        <f t="shared" si="4"/>
        <v>117.0</v>
      </c>
      <c r="AU266" s="4">
        <f t="shared" si="5"/>
        <v>60.0</v>
      </c>
      <c r="AV266" s="4">
        <f t="shared" si="6"/>
        <v>66.0</v>
      </c>
      <c r="AW266" s="1">
        <f t="shared" si="911"/>
        <v>7.55238095238094</v>
      </c>
      <c r="AX266" s="1">
        <f t="shared" si="912"/>
        <v>9.44047619047619</v>
      </c>
      <c r="AY266" s="1">
        <f t="shared" si="913"/>
        <v>10.1666666666667</v>
      </c>
      <c r="AZ266" s="1">
        <f t="shared" si="914"/>
        <v>14.0880952380952</v>
      </c>
      <c r="BA266" s="1">
        <f t="shared" si="915"/>
        <v>7.68095238095238</v>
      </c>
      <c r="BB266" s="1">
        <f t="shared" si="916"/>
        <v>14.0714285714286</v>
      </c>
      <c r="BC266" s="4">
        <f t="shared" si="728"/>
        <v>63.0</v>
      </c>
      <c r="BD266" s="3">
        <f>VLOOKUP(D266,FEB23SOH,2,false)</f>
        <v>157.0</v>
      </c>
      <c r="BE266" s="44">
        <f>VLOOKUP(D266,UNITVALUE,4,false)</f>
        <v>4.105</v>
      </c>
      <c r="BF266" s="44">
        <f t="shared" si="941"/>
        <v>644.485</v>
      </c>
      <c r="BI266" s="6">
        <f t="shared" si="917"/>
        <v>94.0</v>
      </c>
      <c r="BJ266" s="1">
        <f>VLOOKUP(C266,MOQ,3,FALSE())</f>
        <v>250.0</v>
      </c>
      <c r="BM266" s="1">
        <f t="shared" si="919"/>
        <v>157.0</v>
      </c>
      <c r="BN266" s="1">
        <f t="shared" si="920"/>
        <v>7.55238095238094</v>
      </c>
      <c r="BP266" s="45">
        <f t="shared" si="921"/>
        <v>149.447619047619</v>
      </c>
      <c r="BQ266" s="5">
        <f t="shared" si="922"/>
        <v>613.482476190476</v>
      </c>
      <c r="BR266" s="1">
        <f t="shared" si="923"/>
        <v>9.44047619047619</v>
      </c>
      <c r="BS266" s="1">
        <f t="shared" si="924"/>
      </c>
      <c r="BT266" s="45">
        <f t="shared" si="925"/>
        <v>140.007142857142</v>
      </c>
      <c r="BU266" s="5">
        <f t="shared" si="926"/>
        <v>574.729321428568</v>
      </c>
      <c r="BV266" s="1">
        <f t="shared" si="927"/>
        <v>10.1666666666667</v>
      </c>
      <c r="BW266" s="1">
        <f t="shared" si="928"/>
      </c>
      <c r="BX266" s="45">
        <f t="shared" si="929"/>
        <v>129.840476190475</v>
      </c>
      <c r="BY266" s="5">
        <f t="shared" si="930"/>
        <v>532.9951547619</v>
      </c>
      <c r="BZ266" s="1">
        <f t="shared" si="931"/>
        <v>14.0880952380952</v>
      </c>
      <c r="CB266" s="45">
        <f t="shared" si="932"/>
        <v>115.75238095238</v>
      </c>
      <c r="CC266" s="5">
        <f t="shared" si="933"/>
        <v>475.16352380952</v>
      </c>
      <c r="CD266" s="1">
        <f t="shared" si="934"/>
        <v>7.68095238095238</v>
      </c>
      <c r="CF266" s="45">
        <f t="shared" si="935"/>
        <v>108.071428571428</v>
      </c>
      <c r="CG266" s="5">
        <f t="shared" si="936"/>
        <v>443.633214285712</v>
      </c>
      <c r="CH266" s="1">
        <f t="shared" si="937"/>
        <v>14.0714285714286</v>
      </c>
      <c r="CJ266" s="45">
        <f t="shared" si="938"/>
        <v>93.9999999999994</v>
      </c>
      <c r="CK266" s="5">
        <f t="shared" si="939"/>
        <v>385.869999999998</v>
      </c>
    </row>
    <row r="267" ht="17.0">
      <c r="A267" s="41" t="s">
        <v>30</v>
      </c>
      <c r="B267" s="41" t="s">
        <v>520</v>
      </c>
      <c r="C267" s="41" t="s">
        <v>573</v>
      </c>
      <c r="D267" s="42" t="s">
        <v>574</v>
      </c>
      <c r="E267" s="41">
        <v>11.0</v>
      </c>
      <c r="F267" s="41">
        <v>13.0</v>
      </c>
      <c r="G267" s="41">
        <v>19.0</v>
      </c>
      <c r="H267" s="41">
        <v>9.0</v>
      </c>
      <c r="I267" s="41">
        <v>16.0</v>
      </c>
      <c r="J267" s="41">
        <v>15.0</v>
      </c>
      <c r="K267" s="41">
        <v>16.0</v>
      </c>
      <c r="L267" s="41">
        <v>15.0</v>
      </c>
      <c r="M267" s="41">
        <v>21.0</v>
      </c>
      <c r="N267" s="41">
        <v>21.0</v>
      </c>
      <c r="O267" s="41">
        <v>15.0</v>
      </c>
      <c r="P267" s="41">
        <v>30.0</v>
      </c>
      <c r="Q267" s="41">
        <v>26.0</v>
      </c>
      <c r="R267" s="41">
        <v>20.0</v>
      </c>
      <c r="S267" s="41">
        <v>29.0</v>
      </c>
      <c r="T267" s="41">
        <v>10.0</v>
      </c>
      <c r="U267" s="41">
        <v>6.0</v>
      </c>
      <c r="V267" s="41">
        <v>11.0</v>
      </c>
      <c r="W267" s="41">
        <v>19.0</v>
      </c>
      <c r="X267" s="41">
        <v>18.0</v>
      </c>
      <c r="Y267" s="41">
        <v>1.0</v>
      </c>
      <c r="Z267" s="41">
        <v>-1.0</v>
      </c>
      <c r="AA267" s="41">
        <v>0.0</v>
      </c>
      <c r="AB267" s="41">
        <v>31.0</v>
      </c>
      <c r="AC267" s="41">
        <v>25.0</v>
      </c>
      <c r="AD267" s="41">
        <v>27.0</v>
      </c>
      <c r="AE267" s="41">
        <v>30.0</v>
      </c>
      <c r="AF267" s="41">
        <v>17.0</v>
      </c>
      <c r="AG267" s="41">
        <v>19.0</v>
      </c>
      <c r="AH267" s="41">
        <v>17.0</v>
      </c>
      <c r="AI267" s="41">
        <v>14.0</v>
      </c>
      <c r="AJ267" s="41">
        <v>3.0</v>
      </c>
      <c r="AK267" s="41">
        <v>7.0</v>
      </c>
      <c r="AL267" s="41">
        <v>17.0</v>
      </c>
      <c r="AM267" s="43">
        <v>24.0</v>
      </c>
      <c r="AN267" s="43">
        <v>14.0</v>
      </c>
      <c r="AO267" s="43">
        <v>14.0</v>
      </c>
      <c r="AP267" s="43">
        <v>24.0</v>
      </c>
      <c r="AQ267" s="43">
        <v>12.0</v>
      </c>
      <c r="AR267" s="43">
        <v>12.0</v>
      </c>
      <c r="AS267" s="43">
        <v>27.0</v>
      </c>
      <c r="AT267" s="4">
        <f t="shared" si="4"/>
        <v>185.0</v>
      </c>
      <c r="AU267" s="4">
        <f t="shared" si="5"/>
        <v>82.0</v>
      </c>
      <c r="AV267" s="4">
        <f t="shared" si="6"/>
        <v>90.2</v>
      </c>
      <c r="AW267" s="1">
        <f t="shared" si="911"/>
        <v>10.2761904761905</v>
      </c>
      <c r="AX267" s="1">
        <f t="shared" si="912"/>
        <v>12.845238095238</v>
      </c>
      <c r="AY267" s="1">
        <f t="shared" si="913"/>
        <v>13.8333333333333</v>
      </c>
      <c r="AZ267" s="1">
        <f t="shared" si="914"/>
        <v>19.1690476190476</v>
      </c>
      <c r="BA267" s="1">
        <f t="shared" si="915"/>
        <v>10.0904761904761</v>
      </c>
      <c r="BB267" s="1">
        <f t="shared" si="916"/>
        <v>18.7857142857147</v>
      </c>
      <c r="BC267" s="4">
        <f t="shared" si="728"/>
        <v>85.0000000000002</v>
      </c>
      <c r="BD267" s="3">
        <f>VLOOKUP(D267,FEB23SOH,2,false)</f>
        <v>97.0</v>
      </c>
      <c r="BE267" s="44">
        <f>VLOOKUP(D267,UNITVALUE,4,false)</f>
        <v>4.1055</v>
      </c>
      <c r="BF267" s="44">
        <f t="shared" si="941"/>
        <v>398.2335</v>
      </c>
      <c r="BI267" s="6">
        <f t="shared" si="917"/>
        <v>11.9999999999998</v>
      </c>
      <c r="BJ267" s="1">
        <f>VLOOKUP(C267,MOQ,3,FALSE())</f>
        <v>250.0</v>
      </c>
      <c r="BM267" s="1">
        <f t="shared" si="919"/>
        <v>97.0</v>
      </c>
      <c r="BN267" s="1">
        <f t="shared" si="920"/>
        <v>10.2761904761905</v>
      </c>
      <c r="BP267" s="45">
        <f t="shared" si="921"/>
        <v>86.7238095238095</v>
      </c>
      <c r="BQ267" s="5">
        <f t="shared" si="922"/>
        <v>356.0446</v>
      </c>
      <c r="BR267" s="1">
        <f t="shared" si="923"/>
        <v>12.845238095238</v>
      </c>
      <c r="BS267" s="1">
        <f t="shared" si="924"/>
      </c>
      <c r="BT267" s="45">
        <f t="shared" si="925"/>
        <v>73.8785714285715</v>
      </c>
      <c r="BU267" s="5">
        <f t="shared" si="926"/>
        <v>303.308475</v>
      </c>
      <c r="BV267" s="1">
        <f t="shared" si="927"/>
        <v>13.8333333333333</v>
      </c>
      <c r="BW267" s="1">
        <f t="shared" si="928"/>
      </c>
      <c r="BX267" s="45">
        <f t="shared" si="929"/>
        <v>60.0452380952382</v>
      </c>
      <c r="BY267" s="5">
        <f t="shared" si="930"/>
        <v>246.515725</v>
      </c>
      <c r="BZ267" s="1">
        <f t="shared" si="931"/>
        <v>19.1690476190476</v>
      </c>
      <c r="CB267" s="45">
        <f t="shared" si="932"/>
        <v>40.8761904761906</v>
      </c>
      <c r="CC267" s="5">
        <f t="shared" si="933"/>
        <v>167.8172</v>
      </c>
      <c r="CD267" s="1">
        <f t="shared" si="934"/>
        <v>10.0904761904761</v>
      </c>
      <c r="CF267" s="45">
        <f t="shared" si="935"/>
        <v>30.7857142857145</v>
      </c>
      <c r="CG267" s="5">
        <f t="shared" si="936"/>
        <v>126.39075</v>
      </c>
      <c r="CH267" s="1">
        <f t="shared" si="937"/>
        <v>18.7857142857147</v>
      </c>
      <c r="CJ267" s="45">
        <f t="shared" si="938"/>
        <v>11.9999999999998</v>
      </c>
      <c r="CK267" s="5">
        <f t="shared" si="939"/>
        <v>49.2659999999991</v>
      </c>
    </row>
    <row r="268" ht="17.0">
      <c r="A268" s="41" t="s">
        <v>30</v>
      </c>
      <c r="B268" s="41" t="s">
        <v>520</v>
      </c>
      <c r="C268" s="41" t="s">
        <v>575</v>
      </c>
      <c r="D268" s="42" t="s">
        <v>576</v>
      </c>
      <c r="E268" s="41">
        <v>12.0</v>
      </c>
      <c r="F268" s="41">
        <v>12.0</v>
      </c>
      <c r="G268" s="41">
        <v>19.0</v>
      </c>
      <c r="H268" s="41">
        <v>11.0</v>
      </c>
      <c r="I268" s="41">
        <v>15.0</v>
      </c>
      <c r="J268" s="41">
        <v>12.0</v>
      </c>
      <c r="K268" s="41">
        <v>17.0</v>
      </c>
      <c r="L268" s="41">
        <v>13.0</v>
      </c>
      <c r="M268" s="41">
        <v>18.0</v>
      </c>
      <c r="N268" s="41">
        <v>20.0</v>
      </c>
      <c r="O268" s="41">
        <v>17.0</v>
      </c>
      <c r="P268" s="41">
        <v>31.0</v>
      </c>
      <c r="Q268" s="41">
        <v>33.0</v>
      </c>
      <c r="R268" s="41">
        <v>22.0</v>
      </c>
      <c r="S268" s="41">
        <v>32.0</v>
      </c>
      <c r="T268" s="41">
        <v>25.0</v>
      </c>
      <c r="U268" s="41">
        <v>21.0</v>
      </c>
      <c r="V268" s="41">
        <v>4.0</v>
      </c>
      <c r="W268" s="41">
        <v>2.0</v>
      </c>
      <c r="X268" s="41">
        <v>-2.0</v>
      </c>
      <c r="Y268" s="41">
        <v>0.0</v>
      </c>
      <c r="Z268" s="41">
        <v>0.0</v>
      </c>
      <c r="AA268" s="41">
        <v>0.0</v>
      </c>
      <c r="AB268" s="41">
        <v>38.0</v>
      </c>
      <c r="AC268" s="41">
        <v>29.0</v>
      </c>
      <c r="AD268" s="41">
        <v>30.0</v>
      </c>
      <c r="AE268" s="41">
        <v>21.0</v>
      </c>
      <c r="AF268" s="41">
        <v>16.0</v>
      </c>
      <c r="AG268" s="41">
        <v>14.0</v>
      </c>
      <c r="AH268" s="41">
        <v>13.0</v>
      </c>
      <c r="AI268" s="41">
        <v>18.0</v>
      </c>
      <c r="AJ268" s="41">
        <v>24.0</v>
      </c>
      <c r="AK268" s="41">
        <v>13.0</v>
      </c>
      <c r="AL268" s="41">
        <v>7.0</v>
      </c>
      <c r="AM268" s="43">
        <v>25.0</v>
      </c>
      <c r="AN268" s="43">
        <v>10.0</v>
      </c>
      <c r="AO268" s="43">
        <v>15.0</v>
      </c>
      <c r="AP268" s="43">
        <v>27.0</v>
      </c>
      <c r="AQ268" s="43">
        <v>10.0</v>
      </c>
      <c r="AR268" s="43">
        <v>9.0</v>
      </c>
      <c r="AS268" s="43">
        <v>18.0</v>
      </c>
      <c r="AT268" s="4">
        <f t="shared" si="4"/>
        <v>189.0</v>
      </c>
      <c r="AU268" s="4">
        <f t="shared" si="5"/>
        <v>100.0</v>
      </c>
      <c r="AV268" s="4">
        <f t="shared" si="6"/>
        <v>110.0</v>
      </c>
      <c r="AW268" s="1">
        <f t="shared" si="911"/>
        <v>12.5047619047618</v>
      </c>
      <c r="AX268" s="1">
        <f t="shared" si="912"/>
        <v>15.6309523809523</v>
      </c>
      <c r="AY268" s="1">
        <f t="shared" si="913"/>
        <v>16.8333333333333</v>
      </c>
      <c r="AZ268" s="1">
        <f t="shared" si="914"/>
        <v>23.3261904761903</v>
      </c>
      <c r="BA268" s="1">
        <f t="shared" si="915"/>
        <v>12.0619047619038</v>
      </c>
      <c r="BB268" s="1">
        <f t="shared" si="916"/>
        <v>22.6428571428571</v>
      </c>
      <c r="BC268" s="4">
        <f t="shared" si="728"/>
        <v>103.0</v>
      </c>
      <c r="BD268" s="3">
        <f>VLOOKUP(D268,FEB23SOH,2,false)</f>
        <v>238.0</v>
      </c>
      <c r="BE268" s="44">
        <f>VLOOKUP(D268,UNITVALUE,4,false)</f>
        <v>3.9713</v>
      </c>
      <c r="BF268" s="44">
        <f t="shared" si="941"/>
        <v>945.1694</v>
      </c>
      <c r="BI268" s="6">
        <f t="shared" si="917"/>
        <v>135.0</v>
      </c>
      <c r="BJ268" s="1">
        <f>VLOOKUP(C268,MOQ,3,FALSE())</f>
        <v>250.0</v>
      </c>
      <c r="BM268" s="1">
        <f t="shared" si="919"/>
        <v>238.0</v>
      </c>
      <c r="BN268" s="1">
        <f t="shared" si="920"/>
        <v>12.5047619047618</v>
      </c>
      <c r="BP268" s="45">
        <f t="shared" si="921"/>
        <v>225.495238095238</v>
      </c>
      <c r="BQ268" s="5">
        <f t="shared" si="922"/>
        <v>895.50923904761</v>
      </c>
      <c r="BR268" s="1">
        <f t="shared" si="923"/>
        <v>15.6309523809523</v>
      </c>
      <c r="BS268" s="1">
        <f t="shared" si="924"/>
      </c>
      <c r="BT268" s="45">
        <f t="shared" si="925"/>
        <v>209.86428571429</v>
      </c>
      <c r="BU268" s="5">
        <f t="shared" si="926"/>
        <v>833.43403785716</v>
      </c>
      <c r="BV268" s="1">
        <f t="shared" si="927"/>
        <v>16.8333333333333</v>
      </c>
      <c r="BW268" s="1">
        <f t="shared" si="928"/>
      </c>
      <c r="BX268" s="45">
        <f t="shared" si="929"/>
        <v>193.030952380957</v>
      </c>
      <c r="BY268" s="5">
        <f t="shared" si="930"/>
        <v>766.583821190494</v>
      </c>
      <c r="BZ268" s="1">
        <f t="shared" si="931"/>
        <v>23.3261904761903</v>
      </c>
      <c r="CB268" s="45">
        <f t="shared" si="932"/>
        <v>169.704761904767</v>
      </c>
      <c r="CC268" s="5">
        <f t="shared" si="933"/>
        <v>673.948520952401</v>
      </c>
      <c r="CD268" s="1">
        <f t="shared" si="934"/>
        <v>12.0619047619038</v>
      </c>
      <c r="CF268" s="45">
        <f t="shared" si="935"/>
        <v>157.642857142863</v>
      </c>
      <c r="CG268" s="5">
        <f t="shared" si="936"/>
        <v>626.047078571451</v>
      </c>
      <c r="CH268" s="1">
        <f t="shared" si="937"/>
        <v>22.6428571428571</v>
      </c>
      <c r="CJ268" s="45">
        <f t="shared" si="938"/>
        <v>135.000000000006</v>
      </c>
      <c r="CK268" s="5">
        <f t="shared" si="939"/>
        <v>536.125500000023</v>
      </c>
    </row>
    <row r="269" ht="17.0">
      <c r="A269" s="41" t="s">
        <v>30</v>
      </c>
      <c r="B269" s="41" t="s">
        <v>520</v>
      </c>
      <c r="C269" s="41" t="s">
        <v>577</v>
      </c>
      <c r="D269" s="42" t="s">
        <v>578</v>
      </c>
      <c r="E269" s="41">
        <v>17.0</v>
      </c>
      <c r="F269" s="41">
        <v>9.0</v>
      </c>
      <c r="G269" s="41">
        <v>29.0</v>
      </c>
      <c r="H269" s="41">
        <v>9.0</v>
      </c>
      <c r="I269" s="41">
        <v>20.0</v>
      </c>
      <c r="J269" s="41">
        <v>18.0</v>
      </c>
      <c r="K269" s="41">
        <v>22.0</v>
      </c>
      <c r="L269" s="41">
        <v>20.0</v>
      </c>
      <c r="M269" s="41">
        <v>24.0</v>
      </c>
      <c r="N269" s="41">
        <v>19.0</v>
      </c>
      <c r="O269" s="41">
        <v>24.0</v>
      </c>
      <c r="P269" s="41">
        <v>29.0</v>
      </c>
      <c r="Q269" s="41">
        <v>32.0</v>
      </c>
      <c r="R269" s="41">
        <v>13.0</v>
      </c>
      <c r="S269" s="41">
        <v>7.0</v>
      </c>
      <c r="T269" s="41">
        <v>4.0</v>
      </c>
      <c r="U269" s="41">
        <v>5.0</v>
      </c>
      <c r="V269" s="41">
        <v>10.0</v>
      </c>
      <c r="W269" s="41">
        <v>29.0</v>
      </c>
      <c r="X269" s="41">
        <v>2.0</v>
      </c>
      <c r="Y269" s="41">
        <v>0.0</v>
      </c>
      <c r="Z269" s="41">
        <v>0.0</v>
      </c>
      <c r="AA269" s="41">
        <v>0.0</v>
      </c>
      <c r="AB269" s="41">
        <v>36.0</v>
      </c>
      <c r="AC269" s="41">
        <v>30.0</v>
      </c>
      <c r="AD269" s="41">
        <v>25.0</v>
      </c>
      <c r="AE269" s="41">
        <v>23.0</v>
      </c>
      <c r="AF269" s="41">
        <v>22.0</v>
      </c>
      <c r="AG269" s="41">
        <v>16.0</v>
      </c>
      <c r="AH269" s="41">
        <v>15.0</v>
      </c>
      <c r="AI269" s="41">
        <v>16.0</v>
      </c>
      <c r="AJ269" s="41">
        <v>25.0</v>
      </c>
      <c r="AK269" s="41">
        <v>23.0</v>
      </c>
      <c r="AL269" s="41">
        <v>7.0</v>
      </c>
      <c r="AM269" s="43">
        <v>22.0</v>
      </c>
      <c r="AN269" s="43">
        <v>8.0</v>
      </c>
      <c r="AO269" s="43">
        <v>13.0</v>
      </c>
      <c r="AP269" s="43">
        <v>28.0</v>
      </c>
      <c r="AQ269" s="43">
        <v>20.0</v>
      </c>
      <c r="AR269" s="43">
        <v>17.0</v>
      </c>
      <c r="AS269" s="43">
        <v>21.0</v>
      </c>
      <c r="AT269" s="4">
        <f t="shared" si="4"/>
        <v>215.0</v>
      </c>
      <c r="AU269" s="4">
        <f t="shared" si="5"/>
        <v>108.0</v>
      </c>
      <c r="AV269" s="4">
        <f t="shared" si="6"/>
        <v>118.8</v>
      </c>
      <c r="AW269" s="1">
        <f t="shared" si="911"/>
        <v>13.4952380952381</v>
      </c>
      <c r="AX269" s="1">
        <f t="shared" si="912"/>
        <v>16.8690476190476</v>
      </c>
      <c r="AY269" s="1">
        <f t="shared" si="913"/>
        <v>18.1666666666667</v>
      </c>
      <c r="AZ269" s="1">
        <f t="shared" si="914"/>
        <v>25.1738095238094</v>
      </c>
      <c r="BA269" s="1">
        <f t="shared" si="915"/>
        <v>12.9380952380952</v>
      </c>
      <c r="BB269" s="1">
        <f t="shared" si="916"/>
        <v>24.3571428571428</v>
      </c>
      <c r="BC269" s="4">
        <f t="shared" si="728"/>
        <v>111.0</v>
      </c>
      <c r="BD269" s="3">
        <f>VLOOKUP(D269,FEB23SOH,2,false)</f>
        <v>266.0</v>
      </c>
      <c r="BE269" s="44">
        <f>VLOOKUP(D269,UNITVALUE,4,false)</f>
        <v>4.0299</v>
      </c>
      <c r="BF269" s="44">
        <f t="shared" si="941"/>
        <v>1071.9534</v>
      </c>
      <c r="BI269" s="6">
        <f t="shared" si="917"/>
        <v>155.0</v>
      </c>
      <c r="BJ269" s="1">
        <f>VLOOKUP(C269,MOQ,3,FALSE())</f>
        <v>250.0</v>
      </c>
      <c r="BM269" s="1">
        <f t="shared" si="919"/>
        <v>266.0</v>
      </c>
      <c r="BN269" s="1">
        <f t="shared" si="920"/>
        <v>13.4952380952381</v>
      </c>
      <c r="BP269" s="45">
        <f t="shared" si="921"/>
        <v>252.504761904761</v>
      </c>
      <c r="BQ269" s="5">
        <f t="shared" si="922"/>
        <v>1017.56894</v>
      </c>
      <c r="BR269" s="1">
        <f t="shared" si="923"/>
        <v>16.8690476190476</v>
      </c>
      <c r="BS269" s="1">
        <f t="shared" si="924"/>
      </c>
      <c r="BT269" s="45">
        <f t="shared" si="925"/>
        <v>235.635714285713</v>
      </c>
      <c r="BU269" s="5">
        <f t="shared" si="926"/>
        <v>949.588364999994</v>
      </c>
      <c r="BV269" s="1">
        <f t="shared" si="927"/>
        <v>18.1666666666667</v>
      </c>
      <c r="BW269" s="1">
        <f t="shared" si="928"/>
      </c>
      <c r="BX269" s="45">
        <f t="shared" si="929"/>
        <v>217.469047619046</v>
      </c>
      <c r="BY269" s="5">
        <f t="shared" si="930"/>
        <v>876.378514999993</v>
      </c>
      <c r="BZ269" s="1">
        <f t="shared" si="931"/>
        <v>25.1738095238094</v>
      </c>
      <c r="CB269" s="45">
        <f t="shared" si="932"/>
        <v>192.29523809523</v>
      </c>
      <c r="CC269" s="5">
        <f t="shared" si="933"/>
        <v>774.930579999967</v>
      </c>
      <c r="CD269" s="1">
        <f t="shared" si="934"/>
        <v>12.9380952380952</v>
      </c>
      <c r="CF269" s="45">
        <f t="shared" si="935"/>
        <v>179.357142857134</v>
      </c>
      <c r="CG269" s="5">
        <f t="shared" si="936"/>
        <v>722.791349999964</v>
      </c>
      <c r="CH269" s="1">
        <f t="shared" si="937"/>
        <v>24.3571428571428</v>
      </c>
      <c r="CJ269" s="45">
        <f t="shared" si="938"/>
        <v>154.999999999991</v>
      </c>
      <c r="CK269" s="5">
        <f t="shared" si="939"/>
        <v>624.634499999963</v>
      </c>
    </row>
    <row r="270" ht="17.0">
      <c r="A270" s="41" t="s">
        <v>30</v>
      </c>
      <c r="B270" s="41" t="s">
        <v>520</v>
      </c>
      <c r="C270" s="41" t="s">
        <v>579</v>
      </c>
      <c r="D270" s="42" t="s">
        <v>580</v>
      </c>
      <c r="E270" s="41">
        <v>3.0</v>
      </c>
      <c r="F270" s="41">
        <v>12.0</v>
      </c>
      <c r="G270" s="41">
        <v>13.0</v>
      </c>
      <c r="H270" s="41">
        <v>10.0</v>
      </c>
      <c r="I270" s="41">
        <v>15.0</v>
      </c>
      <c r="J270" s="41">
        <v>12.0</v>
      </c>
      <c r="K270" s="41">
        <v>7.0</v>
      </c>
      <c r="L270" s="41">
        <v>7.0</v>
      </c>
      <c r="M270" s="41">
        <v>11.0</v>
      </c>
      <c r="N270" s="41">
        <v>8.0</v>
      </c>
      <c r="O270" s="41">
        <v>16.0</v>
      </c>
      <c r="P270" s="41">
        <v>19.0</v>
      </c>
      <c r="Q270" s="41">
        <v>17.0</v>
      </c>
      <c r="R270" s="41">
        <v>14.0</v>
      </c>
      <c r="S270" s="41">
        <v>12.0</v>
      </c>
      <c r="T270" s="41">
        <v>13.0</v>
      </c>
      <c r="U270" s="41">
        <v>6.0</v>
      </c>
      <c r="V270" s="41">
        <v>25.0</v>
      </c>
      <c r="W270" s="41">
        <v>10.0</v>
      </c>
      <c r="X270" s="41">
        <v>17.0</v>
      </c>
      <c r="Y270" s="41">
        <v>11.0</v>
      </c>
      <c r="Z270" s="41">
        <v>25.0</v>
      </c>
      <c r="AA270" s="41">
        <v>6.0</v>
      </c>
      <c r="AB270" s="41">
        <v>24.0</v>
      </c>
      <c r="AC270" s="41">
        <v>13.0</v>
      </c>
      <c r="AD270" s="41">
        <v>20.0</v>
      </c>
      <c r="AE270" s="41">
        <v>17.0</v>
      </c>
      <c r="AF270" s="41">
        <v>14.0</v>
      </c>
      <c r="AG270" s="41">
        <v>11.0</v>
      </c>
      <c r="AH270" s="41">
        <v>24.0</v>
      </c>
      <c r="AI270" s="41">
        <v>7.0</v>
      </c>
      <c r="AJ270" s="41">
        <v>16.0</v>
      </c>
      <c r="AK270" s="41">
        <v>12.0</v>
      </c>
      <c r="AL270" s="41">
        <v>7.0</v>
      </c>
      <c r="AM270" s="43">
        <v>18.0</v>
      </c>
      <c r="AN270" s="43">
        <v>5.0</v>
      </c>
      <c r="AO270" s="43">
        <v>5.0</v>
      </c>
      <c r="AP270" s="43">
        <v>24.0</v>
      </c>
      <c r="AQ270" s="43">
        <v>6.0</v>
      </c>
      <c r="AR270" s="43">
        <v>9.0</v>
      </c>
      <c r="AS270" s="43">
        <v>17.0</v>
      </c>
      <c r="AT270" s="4">
        <f t="shared" si="4"/>
        <v>150.0</v>
      </c>
      <c r="AU270" s="4">
        <f t="shared" si="5"/>
        <v>84.0</v>
      </c>
      <c r="AV270" s="4">
        <f t="shared" si="6"/>
        <v>92.4</v>
      </c>
      <c r="AW270" s="1">
        <f t="shared" si="911"/>
        <v>10.5238095238095</v>
      </c>
      <c r="AX270" s="1">
        <f t="shared" si="912"/>
        <v>13.1547619047619</v>
      </c>
      <c r="AY270" s="1">
        <f t="shared" si="913"/>
        <v>14.1666666666667</v>
      </c>
      <c r="AZ270" s="1">
        <f t="shared" si="914"/>
        <v>19.6309523809523</v>
      </c>
      <c r="BA270" s="1">
        <f t="shared" si="915"/>
        <v>10.3095238095238</v>
      </c>
      <c r="BB270" s="1">
        <f t="shared" si="916"/>
        <v>19.2142857142857</v>
      </c>
      <c r="BC270" s="4">
        <f t="shared" si="728"/>
        <v>86.9999999999999</v>
      </c>
      <c r="BD270" s="3">
        <f>VLOOKUP(D270,FEB23SOH,2,false)</f>
        <v>1074.0</v>
      </c>
      <c r="BE270" s="44">
        <f>VLOOKUP(D270,UNITVALUE,4,false)</f>
        <v>4.0157</v>
      </c>
      <c r="BF270" s="44">
        <f t="shared" si="941"/>
        <v>4312.8618</v>
      </c>
      <c r="BI270" s="6">
        <f t="shared" si="917"/>
        <v>987.0</v>
      </c>
      <c r="BJ270" s="1">
        <f>VLOOKUP(C270,MOQ,3,FALSE())</f>
        <v>250.0</v>
      </c>
      <c r="BM270" s="1">
        <f t="shared" si="919"/>
        <v>1074.0</v>
      </c>
      <c r="BN270" s="1">
        <f t="shared" si="920"/>
        <v>10.5238095238095</v>
      </c>
      <c r="BP270" s="45">
        <f t="shared" si="921"/>
        <v>1063.47619047619</v>
      </c>
      <c r="BQ270" s="5">
        <f t="shared" si="922"/>
        <v>4270.60133809523</v>
      </c>
      <c r="BR270" s="1">
        <f t="shared" si="923"/>
        <v>13.1547619047619</v>
      </c>
      <c r="BS270" s="1">
        <f t="shared" si="924"/>
      </c>
      <c r="BT270" s="45">
        <f t="shared" si="925"/>
        <v>1050.32142857142</v>
      </c>
      <c r="BU270" s="5">
        <f t="shared" si="926"/>
        <v>4217.77576071425</v>
      </c>
      <c r="BV270" s="1">
        <f t="shared" si="927"/>
        <v>14.1666666666667</v>
      </c>
      <c r="BW270" s="1">
        <f t="shared" si="928"/>
      </c>
      <c r="BX270" s="45">
        <f t="shared" si="929"/>
        <v>1036.15476190475</v>
      </c>
      <c r="BY270" s="5">
        <f t="shared" si="930"/>
        <v>4160.8866773809</v>
      </c>
      <c r="BZ270" s="1">
        <f t="shared" si="931"/>
        <v>19.6309523809523</v>
      </c>
      <c r="CB270" s="45">
        <f t="shared" si="932"/>
        <v>1016.5238095238</v>
      </c>
      <c r="CC270" s="5">
        <f t="shared" si="933"/>
        <v>4082.05466190472</v>
      </c>
      <c r="CD270" s="1">
        <f t="shared" si="934"/>
        <v>10.3095238095238</v>
      </c>
      <c r="CF270" s="45">
        <f t="shared" si="935"/>
        <v>1006.21428571428</v>
      </c>
      <c r="CG270" s="5">
        <f t="shared" si="936"/>
        <v>4040.65470714283</v>
      </c>
      <c r="CH270" s="1">
        <f t="shared" si="937"/>
        <v>19.2142857142857</v>
      </c>
      <c r="CJ270" s="45">
        <f t="shared" si="938"/>
        <v>986.999999999994</v>
      </c>
      <c r="CK270" s="5">
        <f t="shared" si="939"/>
        <v>3963.49589999998</v>
      </c>
    </row>
    <row r="271" ht="17.0">
      <c r="A271" s="41" t="s">
        <v>30</v>
      </c>
      <c r="B271" s="41" t="s">
        <v>520</v>
      </c>
      <c r="C271" s="41" t="s">
        <v>581</v>
      </c>
      <c r="D271" s="42" t="s">
        <v>582</v>
      </c>
      <c r="E271" s="41">
        <v>3.0</v>
      </c>
      <c r="F271" s="41">
        <v>5.0</v>
      </c>
      <c r="G271" s="41">
        <v>3.0</v>
      </c>
      <c r="H271" s="41">
        <v>4.0</v>
      </c>
      <c r="I271" s="41">
        <v>6.0</v>
      </c>
      <c r="J271" s="41">
        <v>3.0</v>
      </c>
      <c r="K271" s="41">
        <v>6.0</v>
      </c>
      <c r="L271" s="41">
        <v>6.0</v>
      </c>
      <c r="M271" s="41">
        <v>1.0</v>
      </c>
      <c r="N271" s="41">
        <v>2.0</v>
      </c>
      <c r="O271" s="41">
        <v>5.0</v>
      </c>
      <c r="P271" s="41">
        <v>4.0</v>
      </c>
      <c r="Q271" s="41">
        <v>7.0</v>
      </c>
      <c r="R271" s="41">
        <v>3.0</v>
      </c>
      <c r="S271" s="41">
        <v>7.0</v>
      </c>
      <c r="T271" s="41">
        <v>5.0</v>
      </c>
      <c r="U271" s="41">
        <v>1.0</v>
      </c>
      <c r="V271" s="41">
        <v>9.0</v>
      </c>
      <c r="W271" s="41">
        <v>4.0</v>
      </c>
      <c r="X271" s="41">
        <v>3.0</v>
      </c>
      <c r="Y271" s="41">
        <v>4.0</v>
      </c>
      <c r="Z271" s="41">
        <v>8.0</v>
      </c>
      <c r="AA271" s="41">
        <v>4.0</v>
      </c>
      <c r="AB271" s="41">
        <v>6.0</v>
      </c>
      <c r="AC271" s="41">
        <v>2.0</v>
      </c>
      <c r="AD271" s="41">
        <v>10.0</v>
      </c>
      <c r="AE271" s="41">
        <v>4.0</v>
      </c>
      <c r="AF271" s="41">
        <v>4.0</v>
      </c>
      <c r="AG271" s="41">
        <v>2.0</v>
      </c>
      <c r="AH271" s="41">
        <v>7.0</v>
      </c>
      <c r="AI271" s="41">
        <v>2.0</v>
      </c>
      <c r="AJ271" s="41">
        <v>4.0</v>
      </c>
      <c r="AK271" s="41">
        <v>4.0</v>
      </c>
      <c r="AL271" s="41">
        <v>1.0</v>
      </c>
      <c r="AM271" s="43">
        <v>6.0</v>
      </c>
      <c r="AN271" s="43">
        <v>3.0</v>
      </c>
      <c r="AO271" s="43">
        <v>3.0</v>
      </c>
      <c r="AP271" s="43">
        <v>9.0</v>
      </c>
      <c r="AQ271" s="43">
        <v>1.0</v>
      </c>
      <c r="AR271" s="43">
        <v>2.0</v>
      </c>
      <c r="AS271" s="43">
        <v>1.0</v>
      </c>
      <c r="AT271" s="4">
        <f t="shared" si="4"/>
        <v>43.0</v>
      </c>
      <c r="AU271" s="4">
        <f t="shared" si="5"/>
        <v>24.0</v>
      </c>
      <c r="AV271" s="4">
        <f t="shared" si="6"/>
        <v>26.4</v>
      </c>
      <c r="AW271" s="1">
        <f t="shared" si="911"/>
        <v>3.09523809523809</v>
      </c>
      <c r="AX271" s="1">
        <f t="shared" si="912"/>
        <v>3.86904761904761</v>
      </c>
      <c r="AY271" s="1">
        <f t="shared" si="913"/>
        <v>4.16666666666667</v>
      </c>
      <c r="AZ271" s="1">
        <f t="shared" si="914"/>
        <v>5.77380952380952</v>
      </c>
      <c r="BA271" s="1">
        <f t="shared" si="915"/>
        <v>3.73809523809523</v>
      </c>
      <c r="BB271" s="1">
        <f t="shared" si="916"/>
        <v>6.35714285714285</v>
      </c>
      <c r="BC271" s="4">
        <f t="shared" si="728"/>
        <v>27.0</v>
      </c>
      <c r="BD271" s="3">
        <f>VLOOKUP(D271,FEB23SOH,2,false)</f>
        <v>292.0</v>
      </c>
      <c r="BE271" s="44">
        <f>VLOOKUP(D271,UNITVALUE,4,false)</f>
        <v>4.2659</v>
      </c>
      <c r="BF271" s="44">
        <f t="shared" si="941"/>
        <v>1245.6428</v>
      </c>
      <c r="BI271" s="6">
        <f t="shared" si="917"/>
        <v>265.0</v>
      </c>
      <c r="BJ271" s="1">
        <f>VLOOKUP(C271,MOQ,3,FALSE())</f>
        <v>250.0</v>
      </c>
      <c r="BM271" s="1">
        <f t="shared" si="919"/>
        <v>292.0</v>
      </c>
      <c r="BN271" s="1">
        <f t="shared" si="920"/>
        <v>3.09523809523809</v>
      </c>
      <c r="BP271" s="45">
        <f t="shared" si="921"/>
        <v>288.904761904761</v>
      </c>
      <c r="BQ271" s="5">
        <f t="shared" si="922"/>
        <v>1232.43882380952</v>
      </c>
      <c r="BR271" s="1">
        <f t="shared" si="923"/>
        <v>3.86904761904761</v>
      </c>
      <c r="BS271" s="1">
        <f t="shared" si="924"/>
      </c>
      <c r="BT271" s="45">
        <f t="shared" si="925"/>
        <v>285.035714285713</v>
      </c>
      <c r="BU271" s="5">
        <f t="shared" si="926"/>
        <v>1215.93385357142</v>
      </c>
      <c r="BV271" s="1">
        <f t="shared" si="927"/>
        <v>4.16666666666667</v>
      </c>
      <c r="BW271" s="1">
        <f t="shared" si="928"/>
      </c>
      <c r="BX271" s="45">
        <f t="shared" si="929"/>
        <v>280.869047619046</v>
      </c>
      <c r="BY271" s="5">
        <f t="shared" si="930"/>
        <v>1198.15927023809</v>
      </c>
      <c r="BZ271" s="1">
        <f t="shared" si="931"/>
        <v>5.77380952380952</v>
      </c>
      <c r="CB271" s="45">
        <f t="shared" si="932"/>
        <v>275.09523809523</v>
      </c>
      <c r="CC271" s="5">
        <f t="shared" si="933"/>
        <v>1173.52877619044</v>
      </c>
      <c r="CD271" s="1">
        <f t="shared" si="934"/>
        <v>3.73809523809523</v>
      </c>
      <c r="CF271" s="45">
        <f t="shared" si="935"/>
        <v>271.357142857134</v>
      </c>
      <c r="CG271" s="5">
        <f t="shared" si="936"/>
        <v>1157.58243571424</v>
      </c>
      <c r="CH271" s="1">
        <f t="shared" si="937"/>
        <v>6.35714285714285</v>
      </c>
      <c r="CJ271" s="45">
        <f t="shared" si="938"/>
        <v>264.999999999991</v>
      </c>
      <c r="CK271" s="5">
        <f t="shared" si="939"/>
        <v>1130.46349999996</v>
      </c>
    </row>
    <row r="272" ht="17.0">
      <c r="A272" s="41" t="s">
        <v>30</v>
      </c>
      <c r="B272" s="41" t="s">
        <v>520</v>
      </c>
      <c r="C272" s="41" t="s">
        <v>583</v>
      </c>
      <c r="D272" s="42" t="s">
        <v>584</v>
      </c>
      <c r="E272" s="41">
        <v>6.0</v>
      </c>
      <c r="F272" s="41">
        <v>4.0</v>
      </c>
      <c r="G272" s="41">
        <v>5.0</v>
      </c>
      <c r="H272" s="41">
        <v>4.0</v>
      </c>
      <c r="I272" s="41">
        <v>9.0</v>
      </c>
      <c r="J272" s="41">
        <v>3.0</v>
      </c>
      <c r="K272" s="41">
        <v>7.0</v>
      </c>
      <c r="L272" s="41">
        <v>9.0</v>
      </c>
      <c r="M272" s="41">
        <v>8.0</v>
      </c>
      <c r="N272" s="41">
        <v>6.0</v>
      </c>
      <c r="O272" s="41">
        <v>9.0</v>
      </c>
      <c r="P272" s="41">
        <v>6.0</v>
      </c>
      <c r="Q272" s="41">
        <v>6.0</v>
      </c>
      <c r="R272" s="41">
        <v>13.0</v>
      </c>
      <c r="S272" s="41">
        <v>5.0</v>
      </c>
      <c r="T272" s="41">
        <v>10.0</v>
      </c>
      <c r="U272" s="41">
        <v>7.0</v>
      </c>
      <c r="V272" s="41">
        <v>11.0</v>
      </c>
      <c r="W272" s="41">
        <v>7.0</v>
      </c>
      <c r="X272" s="41">
        <v>5.0</v>
      </c>
      <c r="Y272" s="41">
        <v>9.0</v>
      </c>
      <c r="Z272" s="41">
        <v>9.0</v>
      </c>
      <c r="AA272" s="41">
        <v>2.0</v>
      </c>
      <c r="AB272" s="41">
        <v>6.0</v>
      </c>
      <c r="AC272" s="41">
        <v>13.0</v>
      </c>
      <c r="AD272" s="41">
        <v>8.0</v>
      </c>
      <c r="AE272" s="41">
        <v>6.0</v>
      </c>
      <c r="AF272" s="41">
        <v>11.0</v>
      </c>
      <c r="AG272" s="41">
        <v>1.0</v>
      </c>
      <c r="AH272" s="41">
        <v>7.0</v>
      </c>
      <c r="AI272" s="41">
        <v>7.0</v>
      </c>
      <c r="AJ272" s="41">
        <v>3.0</v>
      </c>
      <c r="AK272" s="41">
        <v>8.0</v>
      </c>
      <c r="AL272" s="41">
        <v>3.0</v>
      </c>
      <c r="AM272" s="43">
        <v>11.0</v>
      </c>
      <c r="AN272" s="43">
        <v>4.0</v>
      </c>
      <c r="AO272" s="43">
        <v>10.0</v>
      </c>
      <c r="AP272" s="43">
        <v>12.0</v>
      </c>
      <c r="AQ272" s="43">
        <v>5.0</v>
      </c>
      <c r="AR272" s="43">
        <v>4.0</v>
      </c>
      <c r="AS272" s="43">
        <v>4.0</v>
      </c>
      <c r="AT272" s="4">
        <f t="shared" si="4"/>
        <v>78.0</v>
      </c>
      <c r="AU272" s="4">
        <f t="shared" si="5"/>
        <v>39.0</v>
      </c>
      <c r="AV272" s="4">
        <f t="shared" si="6"/>
        <v>42.9</v>
      </c>
      <c r="AW272" s="1">
        <f t="shared" si="911"/>
        <v>4.95238095238094</v>
      </c>
      <c r="AX272" s="1">
        <f t="shared" si="912"/>
        <v>6.19047619047619</v>
      </c>
      <c r="AY272" s="1">
        <f t="shared" si="913"/>
        <v>6.66666666666667</v>
      </c>
      <c r="AZ272" s="1">
        <f t="shared" si="914"/>
        <v>9.23809523809523</v>
      </c>
      <c r="BA272" s="1">
        <f t="shared" si="915"/>
        <v>5.38095238095238</v>
      </c>
      <c r="BB272" s="1">
        <f t="shared" si="916"/>
        <v>9.57142857142861</v>
      </c>
      <c r="BC272" s="4">
        <f t="shared" si="728"/>
        <v>42.0</v>
      </c>
      <c r="BD272" s="3">
        <f>VLOOKUP(D272,FEB23SOH,2,false)</f>
        <v>180.0</v>
      </c>
      <c r="BE272" s="44">
        <f>VLOOKUP(D272,UNITVALUE,4,false)</f>
        <v>4.3447</v>
      </c>
      <c r="BF272" s="44">
        <f t="shared" si="941"/>
        <v>782.046</v>
      </c>
      <c r="BI272" s="6">
        <f t="shared" si="917"/>
        <v>138.0</v>
      </c>
      <c r="BJ272" s="1">
        <f>VLOOKUP(C272,MOQ,3,FALSE())</f>
        <v>250.0</v>
      </c>
      <c r="BM272" s="1">
        <f t="shared" si="919"/>
        <v>180.0</v>
      </c>
      <c r="BN272" s="1">
        <f t="shared" si="920"/>
        <v>4.95238095238094</v>
      </c>
      <c r="BP272" s="45">
        <f t="shared" si="921"/>
        <v>175.047619047619</v>
      </c>
      <c r="BQ272" s="5">
        <f t="shared" si="922"/>
        <v>760.52939047619</v>
      </c>
      <c r="BR272" s="1">
        <f t="shared" si="923"/>
        <v>6.19047619047619</v>
      </c>
      <c r="BS272" s="1">
        <f t="shared" si="924"/>
      </c>
      <c r="BT272" s="45">
        <f t="shared" si="925"/>
        <v>168.857142857142</v>
      </c>
      <c r="BU272" s="5">
        <f t="shared" si="926"/>
        <v>733.633628571424</v>
      </c>
      <c r="BV272" s="1">
        <f t="shared" si="927"/>
        <v>6.66666666666667</v>
      </c>
      <c r="BW272" s="1">
        <f t="shared" si="928"/>
      </c>
      <c r="BX272" s="45">
        <f t="shared" si="929"/>
        <v>162.190476190475</v>
      </c>
      <c r="BY272" s="5">
        <f t="shared" si="930"/>
        <v>704.668961904757</v>
      </c>
      <c r="BZ272" s="1">
        <f t="shared" si="931"/>
        <v>9.23809523809523</v>
      </c>
      <c r="CB272" s="45">
        <f t="shared" si="932"/>
        <v>152.95238095238</v>
      </c>
      <c r="CC272" s="5">
        <f t="shared" si="933"/>
        <v>664.532209523805</v>
      </c>
      <c r="CD272" s="1">
        <f t="shared" si="934"/>
        <v>5.38095238095238</v>
      </c>
      <c r="CF272" s="45">
        <f t="shared" si="935"/>
        <v>147.571428571428</v>
      </c>
      <c r="CG272" s="5">
        <f t="shared" si="936"/>
        <v>641.153585714283</v>
      </c>
      <c r="CH272" s="1">
        <f t="shared" si="937"/>
        <v>9.57142857142861</v>
      </c>
      <c r="CJ272" s="45">
        <f t="shared" si="938"/>
        <v>137.999999999999</v>
      </c>
      <c r="CK272" s="5">
        <f t="shared" si="939"/>
        <v>599.568599999996</v>
      </c>
    </row>
    <row r="273" ht="17.0">
      <c r="A273" s="41" t="s">
        <v>30</v>
      </c>
      <c r="B273" s="41" t="s">
        <v>520</v>
      </c>
      <c r="C273" s="41" t="s">
        <v>585</v>
      </c>
      <c r="D273" s="42" t="s">
        <v>586</v>
      </c>
      <c r="E273" s="41">
        <v>5.0</v>
      </c>
      <c r="F273" s="41">
        <v>10.0</v>
      </c>
      <c r="G273" s="41">
        <v>7.0</v>
      </c>
      <c r="H273" s="41">
        <v>8.0</v>
      </c>
      <c r="I273" s="41">
        <v>9.0</v>
      </c>
      <c r="J273" s="41">
        <v>11.0</v>
      </c>
      <c r="K273" s="41">
        <v>12.0</v>
      </c>
      <c r="L273" s="41">
        <v>11.0</v>
      </c>
      <c r="M273" s="41">
        <v>10.0</v>
      </c>
      <c r="N273" s="41">
        <v>7.0</v>
      </c>
      <c r="O273" s="41">
        <v>6.0</v>
      </c>
      <c r="P273" s="41">
        <v>13.0</v>
      </c>
      <c r="Q273" s="41">
        <v>21.0</v>
      </c>
      <c r="R273" s="41">
        <v>15.0</v>
      </c>
      <c r="S273" s="41">
        <v>11.0</v>
      </c>
      <c r="T273" s="41">
        <v>21.0</v>
      </c>
      <c r="U273" s="41">
        <v>17.0</v>
      </c>
      <c r="V273" s="41">
        <v>18.0</v>
      </c>
      <c r="W273" s="41">
        <v>9.0</v>
      </c>
      <c r="X273" s="41">
        <v>15.0</v>
      </c>
      <c r="Y273" s="41">
        <v>14.0</v>
      </c>
      <c r="Z273" s="41">
        <v>20.0</v>
      </c>
      <c r="AA273" s="41">
        <v>4.0</v>
      </c>
      <c r="AB273" s="41">
        <v>18.0</v>
      </c>
      <c r="AC273" s="41">
        <v>18.0</v>
      </c>
      <c r="AD273" s="41">
        <v>17.0</v>
      </c>
      <c r="AE273" s="41">
        <v>5.0</v>
      </c>
      <c r="AF273" s="41">
        <v>14.0</v>
      </c>
      <c r="AG273" s="41">
        <v>2.0</v>
      </c>
      <c r="AH273" s="41">
        <v>4.0</v>
      </c>
      <c r="AI273" s="41">
        <v>6.0</v>
      </c>
      <c r="AJ273" s="41">
        <v>10.0</v>
      </c>
      <c r="AK273" s="41">
        <v>11.0</v>
      </c>
      <c r="AL273" s="41">
        <v>10.0</v>
      </c>
      <c r="AM273" s="43">
        <v>24.0</v>
      </c>
      <c r="AN273" s="43">
        <v>5.0</v>
      </c>
      <c r="AO273" s="43">
        <v>0.0</v>
      </c>
      <c r="AP273" s="43">
        <v>17.0</v>
      </c>
      <c r="AQ273" s="43">
        <v>10.0</v>
      </c>
      <c r="AR273" s="43">
        <v>5.0</v>
      </c>
      <c r="AS273" s="43">
        <v>5.0</v>
      </c>
      <c r="AT273" s="4">
        <f t="shared" si="4"/>
        <v>107.0</v>
      </c>
      <c r="AU273" s="4">
        <f t="shared" si="5"/>
        <v>65.0</v>
      </c>
      <c r="AV273" s="4">
        <f t="shared" si="6"/>
        <v>71.5</v>
      </c>
      <c r="AW273" s="1">
        <f t="shared" si="911"/>
        <v>8.17142857142856</v>
      </c>
      <c r="AX273" s="1">
        <f t="shared" si="912"/>
        <v>10.2142857142857</v>
      </c>
      <c r="AY273" s="1">
        <f t="shared" si="913"/>
        <v>11.0</v>
      </c>
      <c r="AZ273" s="1">
        <f t="shared" si="914"/>
        <v>15.2428571428571</v>
      </c>
      <c r="BA273" s="1">
        <f t="shared" si="915"/>
        <v>8.22857142857142</v>
      </c>
      <c r="BB273" s="1">
        <f t="shared" si="916"/>
        <v>15.1428571428571</v>
      </c>
      <c r="BC273" s="4">
        <f t="shared" si="728"/>
        <v>67.9999999999999</v>
      </c>
      <c r="BD273" s="3">
        <f>VLOOKUP(D273,FEB23SOH,2,false)</f>
        <v>203.0</v>
      </c>
      <c r="BE273" s="44">
        <f>VLOOKUP(D273,UNITVALUE,4,false)</f>
        <v>4.3867</v>
      </c>
      <c r="BF273" s="44">
        <f t="shared" si="941"/>
        <v>890.5001</v>
      </c>
      <c r="BI273" s="6">
        <f t="shared" si="917"/>
        <v>135.0</v>
      </c>
      <c r="BJ273" s="1">
        <f>VLOOKUP(C273,MOQ,3,FALSE())</f>
        <v>250.0</v>
      </c>
      <c r="BM273" s="1">
        <f t="shared" si="919"/>
        <v>203.0</v>
      </c>
      <c r="BN273" s="1">
        <f t="shared" si="920"/>
        <v>8.17142857142856</v>
      </c>
      <c r="BP273" s="45">
        <f t="shared" si="921"/>
        <v>194.828571428571</v>
      </c>
      <c r="BQ273" s="5">
        <f t="shared" si="922"/>
        <v>854.654494285712</v>
      </c>
      <c r="BR273" s="1">
        <f t="shared" si="923"/>
        <v>10.2142857142857</v>
      </c>
      <c r="BS273" s="1">
        <f t="shared" si="924"/>
      </c>
      <c r="BT273" s="45">
        <f t="shared" si="925"/>
        <v>184.614285714285</v>
      </c>
      <c r="BU273" s="5">
        <f t="shared" si="926"/>
        <v>809.847487142854</v>
      </c>
      <c r="BV273" s="1">
        <f t="shared" si="927"/>
        <v>11.0</v>
      </c>
      <c r="BW273" s="1">
        <f t="shared" si="928"/>
      </c>
      <c r="BX273" s="45">
        <f t="shared" si="929"/>
        <v>173.614285714285</v>
      </c>
      <c r="BY273" s="5">
        <f t="shared" si="930"/>
        <v>761.593787142854</v>
      </c>
      <c r="BZ273" s="1">
        <f t="shared" si="931"/>
        <v>15.2428571428571</v>
      </c>
      <c r="CB273" s="45">
        <f t="shared" si="932"/>
        <v>158.371428571428</v>
      </c>
      <c r="CC273" s="5">
        <f t="shared" si="933"/>
        <v>694.727945714283</v>
      </c>
      <c r="CD273" s="1">
        <f t="shared" si="934"/>
        <v>8.22857142857142</v>
      </c>
      <c r="CF273" s="45">
        <f t="shared" si="935"/>
        <v>150.142857142857</v>
      </c>
      <c r="CG273" s="5">
        <f t="shared" si="936"/>
        <v>658.63167142857</v>
      </c>
      <c r="CH273" s="1">
        <f t="shared" si="937"/>
        <v>15.1428571428571</v>
      </c>
      <c r="CJ273" s="45">
        <f t="shared" si="938"/>
        <v>135.0</v>
      </c>
      <c r="CK273" s="5">
        <f t="shared" si="939"/>
        <v>592.2045</v>
      </c>
    </row>
    <row r="274" ht="17.0">
      <c r="A274" s="41" t="s">
        <v>30</v>
      </c>
      <c r="B274" s="41" t="s">
        <v>520</v>
      </c>
      <c r="C274" s="41" t="s">
        <v>587</v>
      </c>
      <c r="D274" s="42" t="s">
        <v>588</v>
      </c>
      <c r="E274" s="41">
        <v>9.0</v>
      </c>
      <c r="F274" s="41">
        <v>11.0</v>
      </c>
      <c r="G274" s="41">
        <v>13.0</v>
      </c>
      <c r="H274" s="41">
        <v>14.0</v>
      </c>
      <c r="I274" s="41">
        <v>14.0</v>
      </c>
      <c r="J274" s="41">
        <v>7.0</v>
      </c>
      <c r="K274" s="41">
        <v>13.0</v>
      </c>
      <c r="L274" s="41">
        <v>8.0</v>
      </c>
      <c r="M274" s="41">
        <v>13.0</v>
      </c>
      <c r="N274" s="41">
        <v>12.0</v>
      </c>
      <c r="O274" s="41">
        <v>12.0</v>
      </c>
      <c r="P274" s="41">
        <v>16.0</v>
      </c>
      <c r="Q274" s="41">
        <v>17.0</v>
      </c>
      <c r="R274" s="41">
        <v>15.0</v>
      </c>
      <c r="S274" s="41">
        <v>16.0</v>
      </c>
      <c r="T274" s="41">
        <v>24.0</v>
      </c>
      <c r="U274" s="41">
        <v>16.0</v>
      </c>
      <c r="V274" s="41">
        <v>23.0</v>
      </c>
      <c r="W274" s="41">
        <v>13.0</v>
      </c>
      <c r="X274" s="41">
        <v>17.0</v>
      </c>
      <c r="Y274" s="41">
        <v>12.0</v>
      </c>
      <c r="Z274" s="41">
        <v>24.0</v>
      </c>
      <c r="AA274" s="41">
        <v>8.0</v>
      </c>
      <c r="AB274" s="41">
        <v>16.0</v>
      </c>
      <c r="AC274" s="41">
        <v>14.0</v>
      </c>
      <c r="AD274" s="41">
        <v>17.0</v>
      </c>
      <c r="AE274" s="41">
        <v>9.0</v>
      </c>
      <c r="AF274" s="41">
        <v>16.0</v>
      </c>
      <c r="AG274" s="41">
        <v>16.0</v>
      </c>
      <c r="AH274" s="41">
        <v>9.0</v>
      </c>
      <c r="AI274" s="41">
        <v>7.0</v>
      </c>
      <c r="AJ274" s="41">
        <v>13.0</v>
      </c>
      <c r="AK274" s="41">
        <v>8.0</v>
      </c>
      <c r="AL274" s="41">
        <v>8.0</v>
      </c>
      <c r="AM274" s="43">
        <v>21.0</v>
      </c>
      <c r="AN274" s="43">
        <v>10.0</v>
      </c>
      <c r="AO274" s="43">
        <v>6.0</v>
      </c>
      <c r="AP274" s="43">
        <v>18.0</v>
      </c>
      <c r="AQ274" s="43">
        <v>9.0</v>
      </c>
      <c r="AR274" s="43">
        <v>4.0</v>
      </c>
      <c r="AS274" s="43">
        <v>1.0</v>
      </c>
      <c r="AT274" s="4">
        <f t="shared" si="4"/>
        <v>114.0</v>
      </c>
      <c r="AU274" s="4">
        <f t="shared" si="5"/>
        <v>66.0</v>
      </c>
      <c r="AV274" s="4">
        <f t="shared" si="6"/>
        <v>72.6</v>
      </c>
      <c r="AW274" s="1">
        <f t="shared" si="911"/>
        <v>8.29523809523809</v>
      </c>
      <c r="AX274" s="1">
        <f t="shared" si="912"/>
        <v>10.3690476190476</v>
      </c>
      <c r="AY274" s="1">
        <f t="shared" si="913"/>
        <v>11.1666666666667</v>
      </c>
      <c r="AZ274" s="1">
        <f t="shared" si="914"/>
        <v>15.4738095238094</v>
      </c>
      <c r="BA274" s="1">
        <f t="shared" si="915"/>
        <v>8.33809523809523</v>
      </c>
      <c r="BB274" s="1">
        <f t="shared" si="916"/>
        <v>15.3571428571428</v>
      </c>
      <c r="BC274" s="4">
        <f t="shared" si="728"/>
        <v>68.9999999999998</v>
      </c>
      <c r="BD274" s="3">
        <f>VLOOKUP(D274,FEB23SOH,2,false)</f>
        <v>177.0</v>
      </c>
      <c r="BE274" s="44">
        <f>VLOOKUP(D274,UNITVALUE,4,false)</f>
        <v>4.5339</v>
      </c>
      <c r="BF274" s="44">
        <f t="shared" si="941"/>
        <v>802.5003</v>
      </c>
      <c r="BI274" s="6">
        <f t="shared" si="917"/>
        <v>108.0</v>
      </c>
      <c r="BJ274" s="1">
        <f>VLOOKUP(C274,MOQ,3,FALSE())</f>
        <v>250.0</v>
      </c>
      <c r="BM274" s="1">
        <f t="shared" si="919"/>
        <v>177.0</v>
      </c>
      <c r="BN274" s="1">
        <f t="shared" si="920"/>
        <v>8.29523809523809</v>
      </c>
      <c r="BP274" s="45">
        <f t="shared" si="921"/>
        <v>168.704761904761</v>
      </c>
      <c r="BQ274" s="5">
        <f t="shared" si="922"/>
        <v>764.890519999996</v>
      </c>
      <c r="BR274" s="1">
        <f t="shared" si="923"/>
        <v>10.3690476190476</v>
      </c>
      <c r="BS274" s="1">
        <f t="shared" si="924"/>
      </c>
      <c r="BT274" s="45">
        <f t="shared" si="925"/>
        <v>158.335714285713</v>
      </c>
      <c r="BU274" s="5">
        <f t="shared" si="926"/>
        <v>717.878294999994</v>
      </c>
      <c r="BV274" s="1">
        <f t="shared" si="927"/>
        <v>11.1666666666667</v>
      </c>
      <c r="BW274" s="1">
        <f t="shared" si="928"/>
      </c>
      <c r="BX274" s="45">
        <f t="shared" si="929"/>
        <v>147.169047619046</v>
      </c>
      <c r="BY274" s="5">
        <f t="shared" si="930"/>
        <v>667.249744999992</v>
      </c>
      <c r="BZ274" s="1">
        <f t="shared" si="931"/>
        <v>15.4738095238094</v>
      </c>
      <c r="CB274" s="45">
        <f t="shared" si="932"/>
        <v>131.695238095237</v>
      </c>
      <c r="CC274" s="5">
        <f t="shared" si="933"/>
        <v>597.093039999995</v>
      </c>
      <c r="CD274" s="1">
        <f t="shared" si="934"/>
        <v>8.33809523809523</v>
      </c>
      <c r="CF274" s="45">
        <f t="shared" si="935"/>
        <v>123.357142857141</v>
      </c>
      <c r="CG274" s="5">
        <f t="shared" si="936"/>
        <v>559.288949999991</v>
      </c>
      <c r="CH274" s="1">
        <f t="shared" si="937"/>
        <v>15.3571428571428</v>
      </c>
      <c r="CJ274" s="45">
        <f t="shared" si="938"/>
        <v>107.999999999998</v>
      </c>
      <c r="CK274" s="5">
        <f t="shared" si="939"/>
        <v>489.66119999999</v>
      </c>
    </row>
    <row r="275" ht="17.0">
      <c r="A275" s="41" t="s">
        <v>30</v>
      </c>
      <c r="B275" s="41" t="s">
        <v>520</v>
      </c>
      <c r="C275" s="41" t="s">
        <v>589</v>
      </c>
      <c r="D275" s="42" t="s">
        <v>590</v>
      </c>
      <c r="E275" s="41">
        <v>14.0</v>
      </c>
      <c r="F275" s="41">
        <v>7.0</v>
      </c>
      <c r="G275" s="41">
        <v>11.0</v>
      </c>
      <c r="H275" s="41">
        <v>8.0</v>
      </c>
      <c r="I275" s="41">
        <v>9.0</v>
      </c>
      <c r="J275" s="41">
        <v>8.0</v>
      </c>
      <c r="K275" s="41">
        <v>16.0</v>
      </c>
      <c r="L275" s="41">
        <v>10.0</v>
      </c>
      <c r="M275" s="41">
        <v>12.0</v>
      </c>
      <c r="N275" s="41">
        <v>13.0</v>
      </c>
      <c r="O275" s="41">
        <v>10.0</v>
      </c>
      <c r="P275" s="41">
        <v>23.0</v>
      </c>
      <c r="Q275" s="41">
        <v>14.0</v>
      </c>
      <c r="R275" s="41">
        <v>12.0</v>
      </c>
      <c r="S275" s="41">
        <v>15.0</v>
      </c>
      <c r="T275" s="41">
        <v>17.0</v>
      </c>
      <c r="U275" s="41">
        <v>10.0</v>
      </c>
      <c r="V275" s="41">
        <v>19.0</v>
      </c>
      <c r="W275" s="41">
        <v>15.0</v>
      </c>
      <c r="X275" s="41">
        <v>9.0</v>
      </c>
      <c r="Y275" s="41">
        <v>13.0</v>
      </c>
      <c r="Z275" s="41">
        <v>19.0</v>
      </c>
      <c r="AA275" s="41">
        <v>9.0</v>
      </c>
      <c r="AB275" s="41">
        <v>24.0</v>
      </c>
      <c r="AC275" s="41">
        <v>15.0</v>
      </c>
      <c r="AD275" s="41">
        <v>9.0</v>
      </c>
      <c r="AE275" s="41">
        <v>15.0</v>
      </c>
      <c r="AF275" s="41">
        <v>9.0</v>
      </c>
      <c r="AG275" s="41">
        <v>15.0</v>
      </c>
      <c r="AH275" s="41">
        <v>10.0</v>
      </c>
      <c r="AI275" s="41">
        <v>6.0</v>
      </c>
      <c r="AJ275" s="41">
        <v>6.0</v>
      </c>
      <c r="AK275" s="41">
        <v>12.0</v>
      </c>
      <c r="AL275" s="41">
        <v>3.0</v>
      </c>
      <c r="AM275" s="43">
        <v>21.0</v>
      </c>
      <c r="AN275" s="43">
        <v>6.0</v>
      </c>
      <c r="AO275" s="43">
        <v>6.0</v>
      </c>
      <c r="AP275" s="43">
        <v>15.0</v>
      </c>
      <c r="AQ275" s="43">
        <v>8.0</v>
      </c>
      <c r="AR275" s="43">
        <v>8.0</v>
      </c>
      <c r="AS275" s="43">
        <v>4.0</v>
      </c>
      <c r="AT275" s="4">
        <f t="shared" si="4"/>
        <v>105.0</v>
      </c>
      <c r="AU275" s="4">
        <f t="shared" si="5"/>
        <v>58.0</v>
      </c>
      <c r="AV275" s="4">
        <f t="shared" si="6"/>
        <v>63.8</v>
      </c>
      <c r="AW275" s="1">
        <f t="shared" si="911"/>
        <v>7.3047619047619</v>
      </c>
      <c r="AX275" s="1">
        <f t="shared" si="912"/>
        <v>9.13095238095238</v>
      </c>
      <c r="AY275" s="1">
        <f t="shared" si="913"/>
        <v>9.8333333333333</v>
      </c>
      <c r="AZ275" s="1">
        <f t="shared" si="914"/>
        <v>13.6261904761903</v>
      </c>
      <c r="BA275" s="1">
        <f t="shared" si="915"/>
        <v>7.46190476190476</v>
      </c>
      <c r="BB275" s="1">
        <f t="shared" si="916"/>
        <v>13.6428571428571</v>
      </c>
      <c r="BC275" s="4">
        <f t="shared" si="728"/>
        <v>60.9999999999997</v>
      </c>
      <c r="BD275" s="3">
        <f>VLOOKUP(D275,FEB23SOH,2,false)</f>
        <v>168.0</v>
      </c>
      <c r="BE275" s="44">
        <f>VLOOKUP(D275,UNITVALUE,4,false)</f>
        <v>4.5338</v>
      </c>
      <c r="BF275" s="44">
        <f t="shared" si="941"/>
        <v>761.6784</v>
      </c>
      <c r="BI275" s="6">
        <f t="shared" si="917"/>
        <v>107.0</v>
      </c>
      <c r="BJ275" s="1">
        <f>VLOOKUP(C275,MOQ,3,FALSE())</f>
        <v>250.0</v>
      </c>
      <c r="BM275" s="1">
        <f t="shared" si="919"/>
        <v>168.0</v>
      </c>
      <c r="BN275" s="1">
        <f t="shared" si="920"/>
        <v>7.3047619047619</v>
      </c>
      <c r="BP275" s="45">
        <f t="shared" si="921"/>
        <v>160.695238095238</v>
      </c>
      <c r="BQ275" s="5">
        <f t="shared" si="922"/>
        <v>728.56007047619</v>
      </c>
      <c r="BR275" s="1">
        <f t="shared" si="923"/>
        <v>9.13095238095238</v>
      </c>
      <c r="BS275" s="1">
        <f t="shared" si="924"/>
      </c>
      <c r="BT275" s="45">
        <f t="shared" si="925"/>
        <v>151.564285714286</v>
      </c>
      <c r="BU275" s="5">
        <f t="shared" si="926"/>
        <v>687.16215857143</v>
      </c>
      <c r="BV275" s="1">
        <f t="shared" si="927"/>
        <v>9.8333333333333</v>
      </c>
      <c r="BW275" s="1">
        <f t="shared" si="928"/>
      </c>
      <c r="BX275" s="45">
        <f t="shared" si="929"/>
        <v>141.730952380952</v>
      </c>
      <c r="BY275" s="5">
        <f t="shared" si="930"/>
        <v>642.57979190476</v>
      </c>
      <c r="BZ275" s="1">
        <f t="shared" si="931"/>
        <v>13.6261904761903</v>
      </c>
      <c r="CB275" s="45">
        <f t="shared" si="932"/>
        <v>128.104761904761</v>
      </c>
      <c r="CC275" s="5">
        <f t="shared" si="933"/>
        <v>580.801369523806</v>
      </c>
      <c r="CD275" s="1">
        <f t="shared" si="934"/>
        <v>7.46190476190476</v>
      </c>
      <c r="CF275" s="45">
        <f t="shared" si="935"/>
        <v>120.642857142856</v>
      </c>
      <c r="CG275" s="5">
        <f t="shared" si="936"/>
        <v>546.97058571428</v>
      </c>
      <c r="CH275" s="1">
        <f t="shared" si="937"/>
        <v>13.6428571428571</v>
      </c>
      <c r="CJ275" s="45">
        <f t="shared" si="938"/>
        <v>107.0</v>
      </c>
      <c r="CK275" s="5">
        <f t="shared" si="939"/>
        <v>485.1166</v>
      </c>
    </row>
    <row r="276" ht="17.0">
      <c r="A276" s="41" t="s">
        <v>30</v>
      </c>
      <c r="B276" s="41" t="s">
        <v>520</v>
      </c>
      <c r="C276" s="41" t="s">
        <v>591</v>
      </c>
      <c r="D276" s="42" t="s">
        <v>592</v>
      </c>
      <c r="E276" s="41">
        <v>12.0</v>
      </c>
      <c r="F276" s="41">
        <v>9.0</v>
      </c>
      <c r="G276" s="41">
        <v>8.0</v>
      </c>
      <c r="H276" s="41">
        <v>7.0</v>
      </c>
      <c r="I276" s="41">
        <v>3.0</v>
      </c>
      <c r="J276" s="41">
        <v>11.0</v>
      </c>
      <c r="K276" s="41">
        <v>14.0</v>
      </c>
      <c r="L276" s="41">
        <v>14.0</v>
      </c>
      <c r="M276" s="41">
        <v>17.0</v>
      </c>
      <c r="N276" s="41">
        <v>9.0</v>
      </c>
      <c r="O276" s="41">
        <v>10.0</v>
      </c>
      <c r="P276" s="41">
        <v>16.0</v>
      </c>
      <c r="Q276" s="41">
        <v>16.0</v>
      </c>
      <c r="R276" s="41">
        <v>10.0</v>
      </c>
      <c r="S276" s="41">
        <v>2.0</v>
      </c>
      <c r="T276" s="41">
        <v>13.0</v>
      </c>
      <c r="U276" s="41">
        <v>10.0</v>
      </c>
      <c r="V276" s="41">
        <v>21.0</v>
      </c>
      <c r="W276" s="41">
        <v>14.0</v>
      </c>
      <c r="X276" s="41">
        <v>10.0</v>
      </c>
      <c r="Y276" s="41">
        <v>12.0</v>
      </c>
      <c r="Z276" s="41">
        <v>22.0</v>
      </c>
      <c r="AA276" s="41">
        <v>8.0</v>
      </c>
      <c r="AB276" s="41">
        <v>17.0</v>
      </c>
      <c r="AC276" s="41">
        <v>17.0</v>
      </c>
      <c r="AD276" s="41">
        <v>17.0</v>
      </c>
      <c r="AE276" s="41">
        <v>8.0</v>
      </c>
      <c r="AF276" s="41">
        <v>15.0</v>
      </c>
      <c r="AG276" s="41">
        <v>7.0</v>
      </c>
      <c r="AH276" s="41">
        <v>8.0</v>
      </c>
      <c r="AI276" s="41">
        <v>6.0</v>
      </c>
      <c r="AJ276" s="41">
        <v>10.0</v>
      </c>
      <c r="AK276" s="41">
        <v>12.0</v>
      </c>
      <c r="AL276" s="41">
        <v>6.0</v>
      </c>
      <c r="AM276" s="43">
        <v>10.0</v>
      </c>
      <c r="AN276" s="43">
        <v>8.0</v>
      </c>
      <c r="AO276" s="43">
        <v>7.0</v>
      </c>
      <c r="AP276" s="43">
        <v>11.0</v>
      </c>
      <c r="AQ276" s="43">
        <v>10.0</v>
      </c>
      <c r="AR276" s="43">
        <v>5.0</v>
      </c>
      <c r="AS276" s="43">
        <v>7.0</v>
      </c>
      <c r="AT276" s="4">
        <f t="shared" si="4"/>
        <v>100.0</v>
      </c>
      <c r="AU276" s="4">
        <f t="shared" si="5"/>
        <v>52.0</v>
      </c>
      <c r="AV276" s="4">
        <f t="shared" si="6"/>
        <v>57.2</v>
      </c>
      <c r="AW276" s="1">
        <f t="shared" si="911"/>
        <v>6.56190476190475</v>
      </c>
      <c r="AX276" s="1">
        <f t="shared" si="912"/>
        <v>8.20238095238094</v>
      </c>
      <c r="AY276" s="1">
        <f t="shared" si="913"/>
        <v>8.8333333333333</v>
      </c>
      <c r="AZ276" s="1">
        <f t="shared" si="914"/>
        <v>12.2404761904761</v>
      </c>
      <c r="BA276" s="1">
        <f t="shared" si="915"/>
        <v>6.80476190476191</v>
      </c>
      <c r="BB276" s="1">
        <f t="shared" si="916"/>
        <v>12.3571428571428</v>
      </c>
      <c r="BC276" s="4">
        <f t="shared" si="728"/>
        <v>54.9999999999998</v>
      </c>
      <c r="BD276" s="3">
        <f>VLOOKUP(D276,FEB23SOH,2,false)</f>
        <v>207.0</v>
      </c>
      <c r="BE276" s="44">
        <f>VLOOKUP(D276,UNITVALUE,4,false)</f>
        <v>4.3866</v>
      </c>
      <c r="BF276" s="44">
        <f t="shared" si="941"/>
        <v>908.0262</v>
      </c>
      <c r="BI276" s="6">
        <f t="shared" si="917"/>
        <v>152.0</v>
      </c>
      <c r="BJ276" s="1">
        <f>VLOOKUP(C276,MOQ,3,FALSE())</f>
        <v>250.0</v>
      </c>
      <c r="BM276" s="1">
        <f t="shared" si="919"/>
        <v>207.0</v>
      </c>
      <c r="BN276" s="1">
        <f t="shared" si="920"/>
        <v>6.56190476190475</v>
      </c>
      <c r="BP276" s="45">
        <f t="shared" si="921"/>
        <v>200.438095238095</v>
      </c>
      <c r="BQ276" s="5">
        <f t="shared" si="922"/>
        <v>879.241748571428</v>
      </c>
      <c r="BR276" s="1">
        <f t="shared" si="923"/>
        <v>8.20238095238094</v>
      </c>
      <c r="BS276" s="1">
        <f t="shared" si="924"/>
      </c>
      <c r="BT276" s="45">
        <f t="shared" si="925"/>
        <v>192.235714285714</v>
      </c>
      <c r="BU276" s="5">
        <f t="shared" si="926"/>
        <v>843.261184285713</v>
      </c>
      <c r="BV276" s="1">
        <f t="shared" si="927"/>
        <v>8.8333333333333</v>
      </c>
      <c r="BW276" s="1">
        <f t="shared" si="928"/>
      </c>
      <c r="BX276" s="45">
        <f t="shared" si="929"/>
        <v>183.40238095238</v>
      </c>
      <c r="BY276" s="5">
        <f t="shared" si="930"/>
        <v>804.51288428571</v>
      </c>
      <c r="BZ276" s="1">
        <f t="shared" si="931"/>
        <v>12.2404761904761</v>
      </c>
      <c r="CB276" s="45">
        <f t="shared" si="932"/>
        <v>171.161904761903</v>
      </c>
      <c r="CC276" s="5">
        <f t="shared" si="933"/>
        <v>750.818811428563</v>
      </c>
      <c r="CD276" s="1">
        <f t="shared" si="934"/>
        <v>6.80476190476191</v>
      </c>
      <c r="CF276" s="45">
        <f t="shared" si="935"/>
        <v>164.357142857141</v>
      </c>
      <c r="CG276" s="5">
        <f t="shared" si="936"/>
        <v>720.969042857134</v>
      </c>
      <c r="CH276" s="1">
        <f t="shared" si="937"/>
        <v>12.3571428571428</v>
      </c>
      <c r="CJ276" s="45">
        <f t="shared" si="938"/>
        <v>151.999999999998</v>
      </c>
      <c r="CK276" s="5">
        <f t="shared" si="939"/>
        <v>666.763199999991</v>
      </c>
    </row>
    <row r="277" ht="17.0">
      <c r="A277" s="46" t="s">
        <v>30</v>
      </c>
      <c r="B277" s="46" t="s">
        <v>520</v>
      </c>
      <c r="C277" s="75" t="s">
        <v>593</v>
      </c>
      <c r="D277" s="47" t="s">
        <v>594</v>
      </c>
      <c r="E277" s="41">
        <v>6.0</v>
      </c>
      <c r="F277" s="41">
        <v>11.0</v>
      </c>
      <c r="G277" s="41">
        <v>9.0</v>
      </c>
      <c r="H277" s="41">
        <v>4.0</v>
      </c>
      <c r="I277" s="41">
        <v>3.0</v>
      </c>
      <c r="J277" s="41">
        <v>6.0</v>
      </c>
      <c r="K277" s="41">
        <v>9.0</v>
      </c>
      <c r="L277" s="41">
        <v>5.0</v>
      </c>
      <c r="M277" s="41">
        <v>2.0</v>
      </c>
      <c r="N277" s="41">
        <v>3.0</v>
      </c>
      <c r="O277" s="41">
        <v>10.0</v>
      </c>
      <c r="P277" s="41">
        <v>0.0</v>
      </c>
      <c r="Q277" s="41">
        <v>5.0</v>
      </c>
      <c r="R277" s="41">
        <v>2.0</v>
      </c>
      <c r="S277" s="41">
        <v>0.0</v>
      </c>
      <c r="T277" s="41">
        <v>1.0</v>
      </c>
      <c r="U277" s="41">
        <v>3.0</v>
      </c>
      <c r="V277" s="41">
        <v>0.0</v>
      </c>
      <c r="W277" s="41">
        <v>1.0</v>
      </c>
      <c r="X277" s="41">
        <v>0.0</v>
      </c>
      <c r="Y277" s="41">
        <v>0.0</v>
      </c>
      <c r="Z277" s="41">
        <v>1.0</v>
      </c>
      <c r="AA277" s="41">
        <v>0.0</v>
      </c>
      <c r="AB277" s="41">
        <v>4.0</v>
      </c>
      <c r="AC277" s="41">
        <v>2.0</v>
      </c>
      <c r="AD277" s="41">
        <v>1.0</v>
      </c>
      <c r="AE277" s="41">
        <v>2.0</v>
      </c>
      <c r="AF277" s="41">
        <v>0.0</v>
      </c>
      <c r="AG277" s="41">
        <v>1.0</v>
      </c>
      <c r="AH277" s="41">
        <v>0.0</v>
      </c>
      <c r="AI277" s="41">
        <v>0.0</v>
      </c>
      <c r="AJ277" s="41">
        <v>1.0</v>
      </c>
      <c r="AK277" s="41">
        <v>0.0</v>
      </c>
      <c r="AL277" s="41">
        <v>0.0</v>
      </c>
      <c r="AM277" s="43">
        <v>0.0</v>
      </c>
      <c r="AN277" s="43">
        <v>0.0</v>
      </c>
      <c r="AO277" s="43">
        <v>1.0</v>
      </c>
      <c r="AP277" s="43">
        <v>4.0</v>
      </c>
      <c r="AQ277" s="43">
        <v>1.0</v>
      </c>
      <c r="AR277" s="43">
        <v>1.0</v>
      </c>
      <c r="AS277" s="43">
        <v>2.0</v>
      </c>
      <c r="AT277" s="4">
        <f t="shared" si="4"/>
        <v>10.0</v>
      </c>
      <c r="AU277" s="4">
        <f t="shared" si="5"/>
        <v>1.0</v>
      </c>
      <c r="AV277" s="4">
        <f t="shared" si="6"/>
        <v>1.1</v>
      </c>
      <c r="AW277" s="48">
        <f>AV277*$AW$4/$AV$4</f>
        <v>0.123809523809523</v>
      </c>
      <c r="AX277" s="48">
        <f>AV277*$AX$4/$AV$4</f>
        <v>0.154761904761904</v>
      </c>
      <c r="AY277" s="48">
        <f>AV277*$AY$4/$AV$4</f>
        <v>0.166666666666667</v>
      </c>
      <c r="AZ277" s="48">
        <f>AV277*$AZ$4/$AV$4</f>
        <v>0.23095238095238</v>
      </c>
      <c r="BA277" s="48">
        <f>AV277*$BA$4/$AV$4</f>
        <v>0.10952380952381</v>
      </c>
      <c r="BB277" s="48">
        <f>AV277*$BB$4/$AV$4</f>
        <v>0.214285714285714</v>
      </c>
      <c r="BC277" s="4">
        <f t="shared" si="728"/>
        <v>0.999999999999998</v>
      </c>
      <c r="BD277" s="3">
        <f>VLOOKUP(D277,FEB23SOH,2,false)</f>
        <v>2.0</v>
      </c>
      <c r="BE277" s="44">
        <f>VLOOKUP(D277,UNITVALUE,4,false)</f>
        <v>216.725</v>
      </c>
      <c r="BF277" s="44">
        <f t="shared" si="941"/>
        <v>433.45</v>
      </c>
      <c r="BJ277" s="49"/>
      <c r="BK277" s="50"/>
      <c r="BP277" s="45"/>
      <c r="BT277" s="45"/>
      <c r="BU277" s="5"/>
      <c r="BX277" s="45"/>
      <c r="BY277" s="5"/>
      <c r="CB277" s="45"/>
      <c r="CC277" s="5"/>
      <c r="CF277" s="45"/>
      <c r="CG277" s="5"/>
      <c r="CJ277" s="45"/>
      <c r="CK277" s="5"/>
      <c r="CL277" s="49"/>
      <c r="CM277" s="49"/>
      <c r="CN277" s="49"/>
      <c r="CO277" s="49"/>
      <c r="CP277" s="49"/>
      <c r="CQ277" s="49"/>
      <c r="CR277" s="49"/>
      <c r="CS277" s="49"/>
      <c r="CT277" s="49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  <c r="DK277" s="49"/>
    </row>
    <row r="278" ht="17.0">
      <c r="A278" s="46" t="s">
        <v>30</v>
      </c>
      <c r="B278" s="46" t="s">
        <v>520</v>
      </c>
      <c r="C278" s="75" t="s">
        <v>595</v>
      </c>
      <c r="D278" s="47" t="s">
        <v>596</v>
      </c>
      <c r="E278" s="41">
        <v>0.0</v>
      </c>
      <c r="F278" s="41">
        <v>0.0</v>
      </c>
      <c r="G278" s="41">
        <v>0.0</v>
      </c>
      <c r="H278" s="41">
        <v>0.0</v>
      </c>
      <c r="I278" s="41">
        <v>1.0</v>
      </c>
      <c r="J278" s="41">
        <v>2.0</v>
      </c>
      <c r="K278" s="41">
        <v>3.0</v>
      </c>
      <c r="L278" s="41">
        <v>3.0</v>
      </c>
      <c r="M278" s="41">
        <v>0.0</v>
      </c>
      <c r="N278" s="41">
        <v>2.0</v>
      </c>
      <c r="O278" s="41">
        <v>0.0</v>
      </c>
      <c r="P278" s="41">
        <v>1.0</v>
      </c>
      <c r="Q278" s="41">
        <v>1.0</v>
      </c>
      <c r="R278" s="41">
        <v>1.0</v>
      </c>
      <c r="S278" s="41">
        <v>0.0</v>
      </c>
      <c r="T278" s="41">
        <v>0.0</v>
      </c>
      <c r="U278" s="41">
        <v>1.0</v>
      </c>
      <c r="V278" s="41">
        <v>0.0</v>
      </c>
      <c r="W278" s="41">
        <v>0.0</v>
      </c>
      <c r="X278" s="41">
        <v>0.0</v>
      </c>
      <c r="Y278" s="41">
        <v>0.0</v>
      </c>
      <c r="Z278" s="41">
        <v>0.0</v>
      </c>
      <c r="AA278" s="41">
        <v>0.0</v>
      </c>
      <c r="AB278" s="41">
        <v>0.0</v>
      </c>
      <c r="AC278" s="41">
        <v>2.0</v>
      </c>
      <c r="AD278" s="41">
        <v>0.0</v>
      </c>
      <c r="AE278" s="41">
        <v>0.0</v>
      </c>
      <c r="AF278" s="41">
        <v>0.0</v>
      </c>
      <c r="AG278" s="41">
        <v>0.0</v>
      </c>
      <c r="AH278" s="41">
        <v>1.0</v>
      </c>
      <c r="AI278" s="41">
        <v>0.0</v>
      </c>
      <c r="AJ278" s="41">
        <v>0.0</v>
      </c>
      <c r="AK278" s="41">
        <v>0.0</v>
      </c>
      <c r="AL278" s="41">
        <v>0.0</v>
      </c>
      <c r="AM278" s="43">
        <v>0.0</v>
      </c>
      <c r="AN278" s="43">
        <v>0.0</v>
      </c>
      <c r="AO278" s="43">
        <v>1.0</v>
      </c>
      <c r="AP278" s="43">
        <v>1.0</v>
      </c>
      <c r="AQ278" s="43">
        <v>0.0</v>
      </c>
      <c r="AR278" s="43">
        <v>0.0</v>
      </c>
      <c r="AS278" s="43">
        <v>1.0</v>
      </c>
      <c r="AT278" s="4">
        <f t="shared" si="4"/>
        <v>4.0</v>
      </c>
      <c r="AU278" s="4">
        <f t="shared" si="5"/>
        <v>1.0</v>
      </c>
      <c r="AV278" s="4">
        <f t="shared" si="6"/>
        <v>1.1</v>
      </c>
      <c r="AW278" s="76">
        <v>0.0</v>
      </c>
      <c r="AX278" s="76">
        <v>0.0</v>
      </c>
      <c r="AY278" s="76">
        <v>0.0</v>
      </c>
      <c r="AZ278" s="76">
        <v>0.0</v>
      </c>
      <c r="BA278" s="76">
        <v>1.0</v>
      </c>
      <c r="BB278" s="76">
        <v>1.0</v>
      </c>
      <c r="BC278" s="4">
        <f t="shared" si="728"/>
        <v>2.0</v>
      </c>
      <c r="BD278" s="3">
        <f>VLOOKUP(D278,FEB23SOH,2,false)</f>
        <v>2.0</v>
      </c>
      <c r="BE278" s="44">
        <f>VLOOKUP(D278,UNITVALUE,4,false)</f>
        <v>139.545</v>
      </c>
      <c r="BF278" s="44">
        <f t="shared" si="941"/>
        <v>279.09</v>
      </c>
      <c r="BJ278" s="1">
        <f>VLOOKUP(C278,MOQ,3,FALSE())</f>
      </c>
      <c r="BP278" s="45"/>
      <c r="BT278" s="45"/>
      <c r="BU278" s="5"/>
      <c r="BX278" s="45"/>
      <c r="BY278" s="5"/>
      <c r="CB278" s="45"/>
      <c r="CC278" s="5"/>
      <c r="CF278" s="45"/>
      <c r="CG278" s="5"/>
      <c r="CJ278" s="45"/>
      <c r="CK278" s="5"/>
      <c r="CL278" s="49"/>
      <c r="CM278" s="49"/>
      <c r="CN278" s="49"/>
      <c r="CO278" s="49"/>
      <c r="CP278" s="49"/>
      <c r="CQ278" s="49"/>
      <c r="CR278" s="49"/>
      <c r="CS278" s="49"/>
      <c r="CT278" s="49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  <c r="DK278" s="49"/>
    </row>
    <row r="279" ht="17.0">
      <c r="A279" s="41" t="s">
        <v>30</v>
      </c>
      <c r="B279" s="10" t="s">
        <v>597</v>
      </c>
      <c r="C279" s="41" t="s">
        <v>598</v>
      </c>
      <c r="D279" s="42" t="s">
        <v>599</v>
      </c>
      <c r="E279" s="41">
        <v>116.0</v>
      </c>
      <c r="F279" s="41">
        <v>28.0</v>
      </c>
      <c r="G279" s="41">
        <v>0.0</v>
      </c>
      <c r="H279" s="41">
        <v>0.0</v>
      </c>
      <c r="I279" s="41">
        <v>32.0</v>
      </c>
      <c r="J279" s="41">
        <v>44.0</v>
      </c>
      <c r="K279" s="41">
        <v>88.0</v>
      </c>
      <c r="L279" s="41">
        <v>57.0</v>
      </c>
      <c r="M279" s="41">
        <v>44.0</v>
      </c>
      <c r="N279" s="41">
        <v>64.0</v>
      </c>
      <c r="O279" s="41">
        <v>56.0</v>
      </c>
      <c r="P279" s="41">
        <v>12.0</v>
      </c>
      <c r="Q279" s="41">
        <v>1.0</v>
      </c>
      <c r="R279" s="41">
        <v>86.0</v>
      </c>
      <c r="S279" s="41">
        <v>19.0</v>
      </c>
      <c r="T279" s="41">
        <v>32.0</v>
      </c>
      <c r="U279" s="41">
        <v>68.0</v>
      </c>
      <c r="V279" s="41">
        <v>185.0</v>
      </c>
      <c r="W279" s="41">
        <v>69.0</v>
      </c>
      <c r="X279" s="41">
        <v>0.0</v>
      </c>
      <c r="Y279" s="41">
        <v>28.0</v>
      </c>
      <c r="Z279" s="41">
        <v>103.0</v>
      </c>
      <c r="AA279" s="41">
        <v>64.0</v>
      </c>
      <c r="AB279" s="41">
        <v>124.0</v>
      </c>
      <c r="AC279" s="41">
        <v>72.0</v>
      </c>
      <c r="AD279" s="41">
        <v>92.0</v>
      </c>
      <c r="AE279" s="41">
        <v>20.0</v>
      </c>
      <c r="AF279" s="41">
        <v>32.0</v>
      </c>
      <c r="AG279" s="41">
        <v>92.0</v>
      </c>
      <c r="AH279" s="41">
        <v>76.0</v>
      </c>
      <c r="AI279" s="41">
        <v>68.0</v>
      </c>
      <c r="AJ279" s="41">
        <v>64.0</v>
      </c>
      <c r="AK279" s="41">
        <v>48.0</v>
      </c>
      <c r="AL279" s="41">
        <v>36.0</v>
      </c>
      <c r="AM279" s="43">
        <v>32.0</v>
      </c>
      <c r="AN279" s="43">
        <v>76.0</v>
      </c>
      <c r="AO279" s="43">
        <v>56.0</v>
      </c>
      <c r="AP279" s="43">
        <v>60.0</v>
      </c>
      <c r="AQ279" s="43">
        <v>52.0</v>
      </c>
      <c r="AR279" s="43">
        <v>32.0</v>
      </c>
      <c r="AS279" s="43">
        <v>49.0</v>
      </c>
      <c r="AT279" s="4">
        <f t="shared" si="4"/>
        <v>649.0</v>
      </c>
      <c r="AU279" s="4">
        <f t="shared" si="5"/>
        <v>324.0</v>
      </c>
      <c r="AV279" s="4">
        <f t="shared" si="6"/>
        <v>356.4</v>
      </c>
      <c r="AW279" s="1">
        <f>AV279*$AW$4/$AV$4</f>
        <v>40.1142857142857</v>
      </c>
      <c r="AX279" s="1">
        <f>AV279*$AX$4/$AV$4</f>
        <v>50.1428571428571</v>
      </c>
      <c r="AY279" s="1">
        <f>AV279*$AY$4/$AV$4</f>
        <v>54.0</v>
      </c>
      <c r="AZ279" s="1">
        <f>AV279*$AZ$4/$AV$4</f>
        <v>74.8285714285714</v>
      </c>
      <c r="BA279" s="1">
        <f>AV279*$BA$4/$AV$4</f>
        <v>35.4857142857142</v>
      </c>
      <c r="BB279" s="1">
        <f>AV279*$BB$4/$AV$4</f>
        <v>69.4285714285714</v>
      </c>
      <c r="BC279" s="4">
        <f t="shared" si="728"/>
        <v>324.0</v>
      </c>
      <c r="BD279" s="3">
        <f>VLOOKUP(D279,FEB23SOH,2,false)</f>
        <v>233.0</v>
      </c>
      <c r="BE279" s="44">
        <f>VLOOKUP(D279,UNITVALUE,4,false)</f>
        <v>3.3739</v>
      </c>
      <c r="BF279" s="44">
        <f t="shared" si="941"/>
        <v>786.1187</v>
      </c>
      <c r="BI279" s="6">
        <f t="shared" ref="BI279:BI289" si="955">BD279+BG279+BH279-BC279</f>
        <v>-91.0</v>
      </c>
      <c r="BJ279" s="1">
        <f>VLOOKUP(C279,MOQ,3,FALSE())</f>
        <v>500.0</v>
      </c>
      <c r="BK279" s="53" t="s">
        <v>0</v>
      </c>
      <c r="BL279" s="8" t="s">
        <v>9</v>
      </c>
      <c r="BM279" s="1">
        <f t="shared" ref="BM279:BM289" si="956">BD279</f>
        <v>233.0</v>
      </c>
      <c r="BN279" s="1">
        <f t="shared" ref="BN279:BN289" si="957">AW279</f>
        <v>40.1142857142857</v>
      </c>
      <c r="BP279" s="45">
        <f t="shared" ref="BP279:BP289" si="958">BM279+BO279-BN279</f>
        <v>192.885714285714</v>
      </c>
      <c r="BQ279" s="5">
        <f t="shared" ref="BQ279:BQ289" si="959">BP279*BE279</f>
        <v>650.77711142857</v>
      </c>
      <c r="BR279" s="1">
        <f t="shared" ref="BR279:BR289" si="960">AX279</f>
        <v>50.1428571428571</v>
      </c>
      <c r="BS279" s="1">
        <f t="shared" ref="BS279:BS289" si="961">BG279</f>
      </c>
      <c r="BT279" s="45">
        <f t="shared" ref="BT279:BT289" si="962">BP279+BS279-BR279</f>
        <v>142.742857142857</v>
      </c>
      <c r="BU279" s="5">
        <f>BT279*BE279</f>
        <v>481.600125714285</v>
      </c>
      <c r="BV279" s="1">
        <f t="shared" ref="BV279:BV289" si="964">AY279</f>
        <v>54.0</v>
      </c>
      <c r="BW279" s="1">
        <f t="shared" ref="BW279:BW289" si="965">BG279</f>
      </c>
      <c r="BX279" s="45">
        <f t="shared" ref="BX279:BX289" si="966">BT279+BW279-BV279</f>
        <v>88.742857142857</v>
      </c>
      <c r="BY279" s="5">
        <f>BX279*BE279</f>
        <v>299.409525714285</v>
      </c>
      <c r="BZ279" s="1">
        <f t="shared" ref="BZ279:BZ289" si="968">AZ279</f>
        <v>74.8285714285714</v>
      </c>
      <c r="CB279" s="45">
        <f t="shared" ref="CB279:CB289" si="969">BX279+CA279-BZ279</f>
        <v>13.9142857142856</v>
      </c>
      <c r="CC279" s="5">
        <f>CB279*BE279</f>
        <v>46.9454085714281</v>
      </c>
      <c r="CD279" s="1">
        <f t="shared" ref="CD279:CD289" si="971">BA279</f>
        <v>35.4857142857142</v>
      </c>
      <c r="CF279" s="45">
        <f t="shared" ref="CF279:CF289" si="972">CB279+CE279-CD279</f>
        <v>-21.5714285714286</v>
      </c>
      <c r="CG279" s="5">
        <f>CF279*BE279</f>
        <v>-72.7798428571428</v>
      </c>
      <c r="CH279" s="1">
        <f t="shared" ref="CH279:CH289" si="974">BB279</f>
        <v>69.4285714285714</v>
      </c>
      <c r="CJ279" s="45">
        <f t="shared" ref="CJ279:CJ289" si="975">CF279+CI279-CH279</f>
        <v>-91.0</v>
      </c>
      <c r="CK279" s="5">
        <f>CJ279*BE279</f>
        <v>-307.0249</v>
      </c>
    </row>
    <row r="280" ht="17.0">
      <c r="A280" s="41" t="s">
        <v>30</v>
      </c>
      <c r="B280" s="10" t="s">
        <v>597</v>
      </c>
      <c r="C280" s="41" t="s">
        <v>600</v>
      </c>
      <c r="D280" s="55" t="s">
        <v>601</v>
      </c>
      <c r="E280" s="41">
        <v>0.0</v>
      </c>
      <c r="F280" s="41">
        <v>0.0</v>
      </c>
      <c r="G280" s="41">
        <v>0.0</v>
      </c>
      <c r="H280" s="41">
        <v>0.0</v>
      </c>
      <c r="I280" s="41">
        <v>24.0</v>
      </c>
      <c r="J280" s="41">
        <v>47.0</v>
      </c>
      <c r="K280" s="41">
        <v>76.0</v>
      </c>
      <c r="L280" s="41">
        <v>61.0</v>
      </c>
      <c r="M280" s="41">
        <v>24.0</v>
      </c>
      <c r="N280" s="41">
        <v>52.0</v>
      </c>
      <c r="O280" s="41">
        <v>33.0</v>
      </c>
      <c r="P280" s="41">
        <v>56.0</v>
      </c>
      <c r="Q280" s="41">
        <v>9.0</v>
      </c>
      <c r="R280" s="41">
        <v>68.0</v>
      </c>
      <c r="S280" s="41">
        <v>34.0</v>
      </c>
      <c r="T280" s="41">
        <v>20.0</v>
      </c>
      <c r="U280" s="41">
        <v>44.0</v>
      </c>
      <c r="V280" s="41">
        <v>88.0</v>
      </c>
      <c r="W280" s="41">
        <v>52.0</v>
      </c>
      <c r="X280" s="41">
        <v>56.0</v>
      </c>
      <c r="Y280" s="41">
        <v>36.0</v>
      </c>
      <c r="Z280" s="41">
        <v>28.0</v>
      </c>
      <c r="AA280" s="41">
        <v>28.0</v>
      </c>
      <c r="AB280" s="41">
        <v>44.0</v>
      </c>
      <c r="AC280" s="41">
        <v>40.0</v>
      </c>
      <c r="AD280" s="41">
        <v>28.0</v>
      </c>
      <c r="AE280" s="41">
        <v>32.0</v>
      </c>
      <c r="AF280" s="41">
        <v>12.0</v>
      </c>
      <c r="AG280" s="41">
        <v>40.0</v>
      </c>
      <c r="AH280" s="41">
        <v>28.0</v>
      </c>
      <c r="AI280" s="41">
        <v>20.0</v>
      </c>
      <c r="AJ280" s="41">
        <v>16.0</v>
      </c>
      <c r="AK280" s="41">
        <v>24.0</v>
      </c>
      <c r="AL280" s="41">
        <v>24.0</v>
      </c>
      <c r="AM280" s="43">
        <v>20.0</v>
      </c>
      <c r="AN280" s="43">
        <v>36.0</v>
      </c>
      <c r="AO280" s="43">
        <v>56.0</v>
      </c>
      <c r="AP280" s="43">
        <v>36.0</v>
      </c>
      <c r="AQ280" s="43">
        <v>20.0</v>
      </c>
      <c r="AR280" s="43">
        <v>4.0</v>
      </c>
      <c r="AS280" s="43">
        <v>0.0</v>
      </c>
      <c r="AT280" s="4">
        <f t="shared" si="4"/>
        <v>284.0</v>
      </c>
      <c r="AU280" s="4">
        <f t="shared" si="5"/>
        <v>132.0</v>
      </c>
      <c r="AV280" s="4">
        <f t="shared" si="6"/>
        <v>145.2</v>
      </c>
      <c r="AW280" s="1">
        <f t="shared" ref="AW280:AW288" si="977">AV280*$AW$4/$AV$4+4*$AW$290</f>
        <v>16.3428571428571</v>
      </c>
      <c r="AX280" s="1">
        <f t="shared" ref="AX280:AX288" si="978">AV280*$AX$4/$AV$4+4*$AX$290</f>
        <v>20.4285714285714</v>
      </c>
      <c r="AY280" s="1">
        <f t="shared" ref="AY280:AY288" si="979">AV280*$AY$4/$AV$4+4*$AY$290</f>
        <v>22.0</v>
      </c>
      <c r="AZ280" s="1">
        <f t="shared" ref="AZ280:AZ288" si="980">AV280*$AZ$4/$AV$4+4*$AZ$290</f>
        <v>30.4857142857142</v>
      </c>
      <c r="BA280" s="1">
        <f t="shared" ref="BA280:BA288" si="981">AV280*$BA$4/$AV$4+4*$BA$290</f>
        <v>14.4571428571429</v>
      </c>
      <c r="BB280" s="1">
        <f t="shared" ref="BB280:BB288" si="982">AV280*$BB$4/$AV$4+4*$BB$290</f>
        <v>28.2857142857142</v>
      </c>
      <c r="BC280" s="4">
        <f t="shared" si="728"/>
        <v>132.0</v>
      </c>
      <c r="BD280" s="3">
        <f>VLOOKUP(D280,FEB23SOH,2,false)</f>
        <v>0.0</v>
      </c>
      <c r="BE280" s="44">
        <f>VLOOKUP(D280,UNITVALUE,4,false)</f>
      </c>
      <c r="BF280" s="44">
        <f t="shared" si="941"/>
        <v>0.0</v>
      </c>
      <c r="BI280" s="6">
        <f t="shared" si="955"/>
        <v>-132.0</v>
      </c>
      <c r="BJ280" s="1">
        <f>VLOOKUP(C280,MOQ,3,FALSE())</f>
        <v>500.0</v>
      </c>
      <c r="BK280" s="53" t="s">
        <v>0</v>
      </c>
      <c r="BL280" s="8" t="s">
        <v>68</v>
      </c>
      <c r="BM280" s="1">
        <f t="shared" si="956"/>
        <v>0.0</v>
      </c>
      <c r="BN280" s="1">
        <f t="shared" si="957"/>
        <v>16.3428571428571</v>
      </c>
      <c r="BP280" s="45">
        <f t="shared" si="958"/>
        <v>-16.3428571428571</v>
      </c>
      <c r="BQ280" s="5">
        <f t="shared" si="959"/>
        <v>0.0</v>
      </c>
      <c r="BR280" s="1">
        <f t="shared" si="960"/>
        <v>20.4285714285714</v>
      </c>
      <c r="BS280" s="1">
        <f t="shared" si="961"/>
      </c>
      <c r="BT280" s="45">
        <f t="shared" si="962"/>
        <v>-36.7714285714285</v>
      </c>
      <c r="BU280" s="5"/>
      <c r="BV280" s="1">
        <f t="shared" si="964"/>
        <v>22.0</v>
      </c>
      <c r="BW280" s="1">
        <f t="shared" si="965"/>
      </c>
      <c r="BX280" s="45">
        <f t="shared" si="966"/>
        <v>-58.7714285714285</v>
      </c>
      <c r="BY280" s="5"/>
      <c r="BZ280" s="1">
        <f t="shared" si="968"/>
        <v>30.4857142857142</v>
      </c>
      <c r="CB280" s="45">
        <f t="shared" si="969"/>
        <v>-89.2571428571427</v>
      </c>
      <c r="CC280" s="5"/>
      <c r="CD280" s="1">
        <f t="shared" si="971"/>
        <v>14.4571428571429</v>
      </c>
      <c r="CF280" s="45">
        <f t="shared" si="972"/>
        <v>-103.714285714284</v>
      </c>
      <c r="CG280" s="5"/>
      <c r="CH280" s="1">
        <f t="shared" si="974"/>
        <v>28.2857142857142</v>
      </c>
      <c r="CJ280" s="45">
        <f t="shared" si="975"/>
        <v>-131.999999999998</v>
      </c>
      <c r="CK280" s="5"/>
    </row>
    <row r="281" ht="17.0">
      <c r="A281" s="41" t="s">
        <v>30</v>
      </c>
      <c r="B281" s="10" t="s">
        <v>597</v>
      </c>
      <c r="C281" s="41" t="s">
        <v>602</v>
      </c>
      <c r="D281" s="55" t="s">
        <v>603</v>
      </c>
      <c r="E281" s="41">
        <v>0.0</v>
      </c>
      <c r="F281" s="41">
        <v>0.0</v>
      </c>
      <c r="G281" s="41">
        <v>0.0</v>
      </c>
      <c r="H281" s="41">
        <v>0.0</v>
      </c>
      <c r="I281" s="41">
        <v>24.0</v>
      </c>
      <c r="J281" s="41">
        <v>48.0</v>
      </c>
      <c r="K281" s="41">
        <v>76.0</v>
      </c>
      <c r="L281" s="41">
        <v>73.0</v>
      </c>
      <c r="M281" s="41">
        <v>20.0</v>
      </c>
      <c r="N281" s="41">
        <v>47.0</v>
      </c>
      <c r="O281" s="41">
        <v>17.0</v>
      </c>
      <c r="P281" s="41">
        <v>21.0</v>
      </c>
      <c r="Q281" s="41">
        <v>43.0</v>
      </c>
      <c r="R281" s="41">
        <v>25.0</v>
      </c>
      <c r="S281" s="41">
        <v>8.0</v>
      </c>
      <c r="T281" s="41">
        <v>21.0</v>
      </c>
      <c r="U281" s="41">
        <v>28.0</v>
      </c>
      <c r="V281" s="41">
        <v>60.0</v>
      </c>
      <c r="W281" s="41">
        <v>48.0</v>
      </c>
      <c r="X281" s="41">
        <v>14.0</v>
      </c>
      <c r="Y281" s="41">
        <v>7.0</v>
      </c>
      <c r="Z281" s="41">
        <v>10.0</v>
      </c>
      <c r="AA281" s="41">
        <v>12.0</v>
      </c>
      <c r="AB281" s="41">
        <v>36.0</v>
      </c>
      <c r="AC281" s="41">
        <v>24.0</v>
      </c>
      <c r="AD281" s="41">
        <v>32.0</v>
      </c>
      <c r="AE281" s="41">
        <v>12.0</v>
      </c>
      <c r="AF281" s="41">
        <v>0.0</v>
      </c>
      <c r="AG281" s="41">
        <v>20.0</v>
      </c>
      <c r="AH281" s="41">
        <v>52.0</v>
      </c>
      <c r="AI281" s="41">
        <v>28.0</v>
      </c>
      <c r="AJ281" s="41">
        <v>32.0</v>
      </c>
      <c r="AK281" s="41">
        <v>44.0</v>
      </c>
      <c r="AL281" s="41">
        <v>12.0</v>
      </c>
      <c r="AM281" s="43">
        <v>8.0</v>
      </c>
      <c r="AN281" s="43">
        <v>16.0</v>
      </c>
      <c r="AO281" s="43">
        <v>16.0</v>
      </c>
      <c r="AP281" s="43">
        <v>4.0</v>
      </c>
      <c r="AQ281" s="43">
        <v>8.0</v>
      </c>
      <c r="AR281" s="43">
        <v>0.0</v>
      </c>
      <c r="AS281" s="43">
        <v>29.0</v>
      </c>
      <c r="AT281" s="4">
        <f t="shared" si="4"/>
        <v>249.0</v>
      </c>
      <c r="AU281" s="4">
        <f t="shared" si="5"/>
        <v>176.0</v>
      </c>
      <c r="AV281" s="4">
        <f t="shared" si="6"/>
        <v>193.6</v>
      </c>
      <c r="AW281" s="1">
        <f t="shared" si="977"/>
        <v>21.7904761904761</v>
      </c>
      <c r="AX281" s="1">
        <f t="shared" si="978"/>
        <v>27.2380952380952</v>
      </c>
      <c r="AY281" s="1">
        <f t="shared" si="979"/>
        <v>29.3333333333333</v>
      </c>
      <c r="AZ281" s="1">
        <f t="shared" si="980"/>
        <v>40.647619047619</v>
      </c>
      <c r="BA281" s="1">
        <f t="shared" si="981"/>
        <v>19.2761904761904</v>
      </c>
      <c r="BB281" s="1">
        <f t="shared" si="982"/>
        <v>37.7142857142857</v>
      </c>
      <c r="BC281" s="4">
        <f t="shared" si="728"/>
        <v>176.0</v>
      </c>
      <c r="BD281" s="3">
        <f>VLOOKUP(D281,FEB23SOH,2,false)</f>
        <v>338.0</v>
      </c>
      <c r="BE281" s="44">
        <f>VLOOKUP(D281,UNITVALUE,4,false)</f>
        <v>3.323</v>
      </c>
      <c r="BF281" s="44">
        <f t="shared" si="941"/>
        <v>1123.174</v>
      </c>
      <c r="BI281" s="6">
        <f t="shared" si="955"/>
        <v>162.0</v>
      </c>
      <c r="BJ281" s="1">
        <f>VLOOKUP(C281,MOQ,3,FALSE())</f>
        <v>500.0</v>
      </c>
      <c r="BK281" s="53" t="s">
        <v>0</v>
      </c>
      <c r="BM281" s="1">
        <f t="shared" si="956"/>
        <v>338.0</v>
      </c>
      <c r="BN281" s="1">
        <f t="shared" si="957"/>
        <v>21.7904761904761</v>
      </c>
      <c r="BP281" s="45">
        <f t="shared" si="958"/>
        <v>316.209523809523</v>
      </c>
      <c r="BQ281" s="5">
        <f t="shared" si="959"/>
        <v>1050.76424761904</v>
      </c>
      <c r="BR281" s="1">
        <f t="shared" si="960"/>
        <v>27.2380952380952</v>
      </c>
      <c r="BS281" s="1">
        <f t="shared" si="961"/>
      </c>
      <c r="BT281" s="45">
        <f t="shared" si="962"/>
        <v>288.971428571428</v>
      </c>
      <c r="BU281" s="5">
        <f t="shared" ref="BU281:BU289" si="983">BT281*BE281</f>
        <v>960.252057142855</v>
      </c>
      <c r="BV281" s="1">
        <f t="shared" si="964"/>
        <v>29.3333333333333</v>
      </c>
      <c r="BW281" s="1">
        <f t="shared" si="965"/>
      </c>
      <c r="BX281" s="45">
        <f t="shared" si="966"/>
        <v>259.638095238094</v>
      </c>
      <c r="BY281" s="5">
        <f t="shared" ref="BY281:BY286" si="984">BX281*BE281</f>
        <v>862.777390476186</v>
      </c>
      <c r="BZ281" s="1">
        <f t="shared" si="968"/>
        <v>40.647619047619</v>
      </c>
      <c r="CB281" s="45">
        <f t="shared" si="969"/>
        <v>218.990476190475</v>
      </c>
      <c r="CC281" s="5">
        <f t="shared" ref="CC281:CC286" si="985">CB281*BE281</f>
        <v>727.705352380948</v>
      </c>
      <c r="CD281" s="1">
        <f t="shared" si="971"/>
        <v>19.2761904761904</v>
      </c>
      <c r="CF281" s="45">
        <f t="shared" si="972"/>
        <v>199.714285714284</v>
      </c>
      <c r="CG281" s="5">
        <f t="shared" ref="CG281:CG286" si="986">CF281*BE281</f>
        <v>663.650571428566</v>
      </c>
      <c r="CH281" s="1">
        <f t="shared" si="974"/>
        <v>37.7142857142857</v>
      </c>
      <c r="CJ281" s="45">
        <f t="shared" si="975"/>
        <v>161.999999999998</v>
      </c>
      <c r="CK281" s="5">
        <f t="shared" ref="CK281:CK282" si="987">CJ281*BE281</f>
        <v>538.325999999993</v>
      </c>
    </row>
    <row r="282" ht="17.0">
      <c r="A282" s="41" t="s">
        <v>30</v>
      </c>
      <c r="B282" s="10" t="s">
        <v>597</v>
      </c>
      <c r="C282" s="41" t="s">
        <v>604</v>
      </c>
      <c r="D282" s="55" t="s">
        <v>605</v>
      </c>
      <c r="E282" s="41">
        <v>0.0</v>
      </c>
      <c r="F282" s="41">
        <v>0.0</v>
      </c>
      <c r="G282" s="41">
        <v>0.0</v>
      </c>
      <c r="H282" s="41">
        <v>0.0</v>
      </c>
      <c r="I282" s="41">
        <v>0.0</v>
      </c>
      <c r="J282" s="41">
        <v>0.0</v>
      </c>
      <c r="K282" s="41">
        <v>0.0</v>
      </c>
      <c r="L282" s="41">
        <v>0.0</v>
      </c>
      <c r="M282" s="41">
        <v>0.0</v>
      </c>
      <c r="N282" s="41">
        <v>0.0</v>
      </c>
      <c r="O282" s="41">
        <v>41.0</v>
      </c>
      <c r="P282" s="41">
        <v>48.0</v>
      </c>
      <c r="Q282" s="41">
        <v>80.0</v>
      </c>
      <c r="R282" s="41">
        <v>65.0</v>
      </c>
      <c r="S282" s="41">
        <v>12.0</v>
      </c>
      <c r="T282" s="41">
        <v>16.0</v>
      </c>
      <c r="U282" s="41">
        <v>24.0</v>
      </c>
      <c r="V282" s="41">
        <v>61.0</v>
      </c>
      <c r="W282" s="41">
        <v>36.0</v>
      </c>
      <c r="X282" s="41">
        <v>29.0</v>
      </c>
      <c r="Y282" s="41">
        <v>8.0</v>
      </c>
      <c r="Z282" s="41">
        <v>6.0</v>
      </c>
      <c r="AA282" s="41">
        <v>16.0</v>
      </c>
      <c r="AB282" s="41">
        <v>12.0</v>
      </c>
      <c r="AC282" s="41">
        <v>8.0</v>
      </c>
      <c r="AD282" s="41">
        <v>16.0</v>
      </c>
      <c r="AE282" s="41">
        <v>8.0</v>
      </c>
      <c r="AF282" s="41">
        <v>4.0</v>
      </c>
      <c r="AG282" s="41">
        <v>16.0</v>
      </c>
      <c r="AH282" s="41">
        <v>4.0</v>
      </c>
      <c r="AI282" s="41">
        <v>4.0</v>
      </c>
      <c r="AJ282" s="41">
        <v>0.0</v>
      </c>
      <c r="AK282" s="41">
        <v>4.0</v>
      </c>
      <c r="AL282" s="41">
        <v>8.0</v>
      </c>
      <c r="AM282" s="43">
        <v>0.0</v>
      </c>
      <c r="AN282" s="43">
        <v>8.0</v>
      </c>
      <c r="AO282" s="43">
        <v>12.0</v>
      </c>
      <c r="AP282" s="43">
        <v>8.0</v>
      </c>
      <c r="AQ282" s="43">
        <v>0.0</v>
      </c>
      <c r="AR282" s="43">
        <v>0.0</v>
      </c>
      <c r="AS282" s="43">
        <v>10.0</v>
      </c>
      <c r="AT282" s="4">
        <f t="shared" si="4"/>
        <v>58.0</v>
      </c>
      <c r="AU282" s="4">
        <f t="shared" si="5"/>
        <v>20.0</v>
      </c>
      <c r="AV282" s="4">
        <f t="shared" si="6"/>
        <v>22.0</v>
      </c>
      <c r="AW282" s="1">
        <f t="shared" si="977"/>
        <v>2.4761904761904</v>
      </c>
      <c r="AX282" s="1">
        <f t="shared" si="978"/>
        <v>3.0952380952381</v>
      </c>
      <c r="AY282" s="1">
        <f t="shared" si="979"/>
        <v>3.33333333333333</v>
      </c>
      <c r="AZ282" s="1">
        <f t="shared" si="980"/>
        <v>4.61904761904761</v>
      </c>
      <c r="BA282" s="1">
        <f t="shared" si="981"/>
        <v>2.19047619047619</v>
      </c>
      <c r="BB282" s="1">
        <f t="shared" si="982"/>
        <v>4.28571428571429</v>
      </c>
      <c r="BC282" s="4">
        <f t="shared" si="728"/>
        <v>19.9999999999999</v>
      </c>
      <c r="BD282" s="3">
        <f>VLOOKUP(D282,FEB23SOH,2,false)</f>
        <v>346.0</v>
      </c>
      <c r="BE282" s="44">
        <f>VLOOKUP(D282,UNITVALUE,4,false)</f>
        <v>3.4113</v>
      </c>
      <c r="BF282" s="44">
        <f t="shared" si="941"/>
        <v>1180.3098</v>
      </c>
      <c r="BI282" s="6">
        <f t="shared" si="955"/>
        <v>326.0</v>
      </c>
      <c r="BJ282" s="1">
        <f>VLOOKUP(C282,MOQ,3,FALSE())</f>
        <v>500.0</v>
      </c>
      <c r="BK282" s="53" t="s">
        <v>0</v>
      </c>
      <c r="BM282" s="1">
        <f t="shared" si="956"/>
        <v>346.0</v>
      </c>
      <c r="BN282" s="1">
        <f t="shared" si="957"/>
        <v>2.4761904761904</v>
      </c>
      <c r="BP282" s="45">
        <f t="shared" si="958"/>
        <v>343.52380952381</v>
      </c>
      <c r="BQ282" s="5">
        <f t="shared" si="959"/>
        <v>1171.86277142857</v>
      </c>
      <c r="BR282" s="1">
        <f t="shared" si="960"/>
        <v>3.0952380952381</v>
      </c>
      <c r="BS282" s="1">
        <f t="shared" si="961"/>
      </c>
      <c r="BT282" s="45">
        <f t="shared" si="962"/>
        <v>340.428571428571</v>
      </c>
      <c r="BU282" s="5">
        <f t="shared" si="983"/>
        <v>1161.30398571428</v>
      </c>
      <c r="BV282" s="1">
        <f t="shared" si="964"/>
        <v>3.33333333333333</v>
      </c>
      <c r="BW282" s="1">
        <f t="shared" si="965"/>
      </c>
      <c r="BX282" s="45">
        <f t="shared" si="966"/>
        <v>337.095238095238</v>
      </c>
      <c r="BY282" s="5">
        <f t="shared" si="984"/>
        <v>1149.93298571429</v>
      </c>
      <c r="BZ282" s="1">
        <f t="shared" si="968"/>
        <v>4.61904761904761</v>
      </c>
      <c r="CB282" s="45">
        <f t="shared" si="969"/>
        <v>332.47619047619</v>
      </c>
      <c r="CC282" s="5">
        <f t="shared" si="985"/>
        <v>1134.17602857142</v>
      </c>
      <c r="CD282" s="1">
        <f t="shared" si="971"/>
        <v>2.19047619047619</v>
      </c>
      <c r="CF282" s="45">
        <f t="shared" si="972"/>
        <v>330.285714285713</v>
      </c>
      <c r="CG282" s="5">
        <f t="shared" si="986"/>
        <v>1126.70365714285</v>
      </c>
      <c r="CH282" s="1">
        <f t="shared" si="974"/>
        <v>4.28571428571429</v>
      </c>
      <c r="CJ282" s="45">
        <f t="shared" si="975"/>
        <v>326.0</v>
      </c>
      <c r="CK282" s="5">
        <f t="shared" si="987"/>
        <v>1112.0838</v>
      </c>
    </row>
    <row r="283" ht="17.0">
      <c r="A283" s="41" t="s">
        <v>30</v>
      </c>
      <c r="B283" s="41" t="s">
        <v>597</v>
      </c>
      <c r="C283" s="41" t="s">
        <v>606</v>
      </c>
      <c r="D283" s="55" t="s">
        <v>607</v>
      </c>
      <c r="E283" s="41">
        <v>0.0</v>
      </c>
      <c r="F283" s="41">
        <v>0.0</v>
      </c>
      <c r="G283" s="41">
        <v>0.0</v>
      </c>
      <c r="H283" s="41">
        <v>0.0</v>
      </c>
      <c r="I283" s="41">
        <v>36.0</v>
      </c>
      <c r="J283" s="41">
        <v>96.0</v>
      </c>
      <c r="K283" s="41">
        <v>108.0</v>
      </c>
      <c r="L283" s="41">
        <v>93.0</v>
      </c>
      <c r="M283" s="41">
        <v>48.0</v>
      </c>
      <c r="N283" s="41">
        <v>36.0</v>
      </c>
      <c r="O283" s="41">
        <v>78.0</v>
      </c>
      <c r="P283" s="41">
        <v>76.0</v>
      </c>
      <c r="Q283" s="41">
        <v>140.0</v>
      </c>
      <c r="R283" s="41">
        <v>148.0</v>
      </c>
      <c r="S283" s="41">
        <v>3.0</v>
      </c>
      <c r="T283" s="41">
        <v>0.0</v>
      </c>
      <c r="U283" s="41">
        <v>1.0</v>
      </c>
      <c r="V283" s="41">
        <v>180.0</v>
      </c>
      <c r="W283" s="41">
        <v>165.0</v>
      </c>
      <c r="X283" s="41">
        <v>147.0</v>
      </c>
      <c r="Y283" s="41">
        <v>64.0</v>
      </c>
      <c r="Z283" s="41">
        <v>122.0</v>
      </c>
      <c r="AA283" s="41">
        <v>96.0</v>
      </c>
      <c r="AB283" s="41">
        <v>128.0</v>
      </c>
      <c r="AC283" s="41">
        <v>80.0</v>
      </c>
      <c r="AD283" s="41">
        <v>100.0</v>
      </c>
      <c r="AE283" s="41">
        <v>52.0</v>
      </c>
      <c r="AF283" s="41">
        <v>32.0</v>
      </c>
      <c r="AG283" s="41">
        <v>96.0</v>
      </c>
      <c r="AH283" s="41">
        <v>72.0</v>
      </c>
      <c r="AI283" s="41">
        <v>68.0</v>
      </c>
      <c r="AJ283" s="41">
        <v>48.0</v>
      </c>
      <c r="AK283" s="41">
        <v>84.0</v>
      </c>
      <c r="AL283" s="41">
        <v>60.0</v>
      </c>
      <c r="AM283" s="43">
        <v>32.0</v>
      </c>
      <c r="AN283" s="43">
        <v>56.0</v>
      </c>
      <c r="AO283" s="43">
        <v>80.0</v>
      </c>
      <c r="AP283" s="43">
        <v>60.0</v>
      </c>
      <c r="AQ283" s="43">
        <v>48.0</v>
      </c>
      <c r="AR283" s="43">
        <v>24.0</v>
      </c>
      <c r="AS283" s="43">
        <v>49.0</v>
      </c>
      <c r="AT283" s="4">
        <f t="shared" si="4"/>
        <v>681.0</v>
      </c>
      <c r="AU283" s="4">
        <f t="shared" si="5"/>
        <v>364.0</v>
      </c>
      <c r="AV283" s="4">
        <f t="shared" si="6"/>
        <v>400.4</v>
      </c>
      <c r="AW283" s="1">
        <f t="shared" si="977"/>
        <v>45.0666666666667</v>
      </c>
      <c r="AX283" s="1">
        <f t="shared" si="978"/>
        <v>56.3333333333333</v>
      </c>
      <c r="AY283" s="1">
        <f t="shared" si="979"/>
        <v>60.6666666666667</v>
      </c>
      <c r="AZ283" s="1">
        <f t="shared" si="980"/>
        <v>84.0666666666667</v>
      </c>
      <c r="BA283" s="1">
        <f t="shared" si="981"/>
        <v>39.8666666666667</v>
      </c>
      <c r="BB283" s="1">
        <f t="shared" si="982"/>
        <v>78.0</v>
      </c>
      <c r="BC283" s="4">
        <f t="shared" si="728"/>
        <v>364.0</v>
      </c>
      <c r="BD283" s="3">
        <f>VLOOKUP(D283,FEB23SOH,2,false)</f>
        <v>233.0</v>
      </c>
      <c r="BE283" s="44">
        <f>VLOOKUP(D283,UNITVALUE,4,false)</f>
        <v>3.3091</v>
      </c>
      <c r="BF283" s="44">
        <f t="shared" si="941"/>
        <v>771.0203</v>
      </c>
      <c r="BG283" s="1">
        <f>VLOOKUP(D283,ETAMAR7,2,false)</f>
        <v>500.0</v>
      </c>
      <c r="BI283" s="6">
        <f t="shared" si="955"/>
        <v>369.0</v>
      </c>
      <c r="BJ283" s="1">
        <f>VLOOKUP(C283,MOQ,3,FALSE())</f>
        <v>500.0</v>
      </c>
      <c r="BM283" s="1">
        <f t="shared" si="956"/>
        <v>233.0</v>
      </c>
      <c r="BN283" s="1">
        <f t="shared" si="957"/>
        <v>45.0666666666667</v>
      </c>
      <c r="BP283" s="45">
        <f t="shared" si="958"/>
        <v>187.933333333333</v>
      </c>
      <c r="BQ283" s="5">
        <f t="shared" si="959"/>
        <v>621.890193333332</v>
      </c>
      <c r="BR283" s="1">
        <f t="shared" si="960"/>
        <v>56.3333333333333</v>
      </c>
      <c r="BS283" s="1">
        <f t="shared" si="961"/>
        <v>500.0</v>
      </c>
      <c r="BT283" s="45">
        <f t="shared" si="962"/>
        <v>631.599999999999</v>
      </c>
      <c r="BU283" s="5">
        <f t="shared" si="983"/>
        <v>2090.02756</v>
      </c>
      <c r="BV283" s="1">
        <f t="shared" si="964"/>
        <v>60.6666666666667</v>
      </c>
      <c r="BW283" s="1">
        <f t="shared" si="965"/>
        <v>500.0</v>
      </c>
      <c r="BX283" s="45">
        <f t="shared" si="966"/>
        <v>1070.93333333333</v>
      </c>
      <c r="BY283" s="5">
        <f t="shared" si="984"/>
        <v>3543.82549333332</v>
      </c>
      <c r="BZ283" s="1">
        <f t="shared" si="968"/>
        <v>84.0666666666667</v>
      </c>
      <c r="CB283" s="45">
        <f t="shared" si="969"/>
        <v>986.866666666663</v>
      </c>
      <c r="CC283" s="5">
        <f t="shared" si="985"/>
        <v>3265.64048666665</v>
      </c>
      <c r="CD283" s="1">
        <f t="shared" si="971"/>
        <v>39.8666666666667</v>
      </c>
      <c r="CF283" s="45">
        <f t="shared" si="972"/>
        <v>946.999999999996</v>
      </c>
      <c r="CG283" s="5">
        <f t="shared" si="986"/>
        <v>3133.71769999999</v>
      </c>
      <c r="CH283" s="1">
        <f t="shared" si="974"/>
        <v>78.0</v>
      </c>
      <c r="CJ283" s="45">
        <f t="shared" si="975"/>
        <v>868.999999999996</v>
      </c>
      <c r="CK283" s="5"/>
    </row>
    <row r="284" ht="17.0">
      <c r="A284" s="41" t="s">
        <v>30</v>
      </c>
      <c r="B284" s="10" t="s">
        <v>597</v>
      </c>
      <c r="C284" s="41" t="s">
        <v>608</v>
      </c>
      <c r="D284" s="55" t="s">
        <v>609</v>
      </c>
      <c r="E284" s="41">
        <v>0.0</v>
      </c>
      <c r="F284" s="41">
        <v>0.0</v>
      </c>
      <c r="G284" s="41">
        <v>0.0</v>
      </c>
      <c r="H284" s="41">
        <v>0.0</v>
      </c>
      <c r="I284" s="41">
        <v>0.0</v>
      </c>
      <c r="J284" s="41">
        <v>0.0</v>
      </c>
      <c r="K284" s="41">
        <v>0.0</v>
      </c>
      <c r="L284" s="41">
        <v>0.0</v>
      </c>
      <c r="M284" s="41">
        <v>0.0</v>
      </c>
      <c r="N284" s="41">
        <v>0.0</v>
      </c>
      <c r="O284" s="41">
        <v>37.0</v>
      </c>
      <c r="P284" s="41">
        <v>36.0</v>
      </c>
      <c r="Q284" s="41">
        <v>48.0</v>
      </c>
      <c r="R284" s="41">
        <v>33.0</v>
      </c>
      <c r="S284" s="41">
        <v>9.0</v>
      </c>
      <c r="T284" s="41">
        <v>36.0</v>
      </c>
      <c r="U284" s="41">
        <v>40.0</v>
      </c>
      <c r="V284" s="41">
        <v>124.0</v>
      </c>
      <c r="W284" s="41">
        <v>56.0</v>
      </c>
      <c r="X284" s="41">
        <v>6.0</v>
      </c>
      <c r="Y284" s="41">
        <v>13.0</v>
      </c>
      <c r="Z284" s="41">
        <v>18.0</v>
      </c>
      <c r="AA284" s="41">
        <v>24.0</v>
      </c>
      <c r="AB284" s="41">
        <v>12.0</v>
      </c>
      <c r="AC284" s="41">
        <v>28.0</v>
      </c>
      <c r="AD284" s="41">
        <v>28.0</v>
      </c>
      <c r="AE284" s="41">
        <v>16.0</v>
      </c>
      <c r="AF284" s="41">
        <v>4.0</v>
      </c>
      <c r="AG284" s="41">
        <v>24.0</v>
      </c>
      <c r="AH284" s="41">
        <v>12.0</v>
      </c>
      <c r="AI284" s="41">
        <v>16.0</v>
      </c>
      <c r="AJ284" s="41">
        <v>20.0</v>
      </c>
      <c r="AK284" s="41">
        <v>12.0</v>
      </c>
      <c r="AL284" s="41">
        <v>20.0</v>
      </c>
      <c r="AM284" s="43">
        <v>4.0</v>
      </c>
      <c r="AN284" s="43">
        <v>12.0</v>
      </c>
      <c r="AO284" s="43">
        <v>17.0</v>
      </c>
      <c r="AP284" s="43">
        <v>20.0</v>
      </c>
      <c r="AQ284" s="43">
        <v>8.0</v>
      </c>
      <c r="AR284" s="43">
        <v>4.0</v>
      </c>
      <c r="AS284" s="43">
        <v>10.0</v>
      </c>
      <c r="AT284" s="4">
        <f t="shared" si="4"/>
        <v>155.0</v>
      </c>
      <c r="AU284" s="4">
        <f t="shared" si="5"/>
        <v>84.0</v>
      </c>
      <c r="AV284" s="4">
        <f t="shared" si="6"/>
        <v>92.4</v>
      </c>
      <c r="AW284" s="1">
        <f t="shared" si="977"/>
        <v>10.4</v>
      </c>
      <c r="AX284" s="1">
        <f t="shared" si="978"/>
        <v>13.0</v>
      </c>
      <c r="AY284" s="1">
        <f t="shared" si="979"/>
        <v>14.0</v>
      </c>
      <c r="AZ284" s="1">
        <f t="shared" si="980"/>
        <v>19.4</v>
      </c>
      <c r="BA284" s="1">
        <f t="shared" si="981"/>
        <v>9.2</v>
      </c>
      <c r="BB284" s="1">
        <f t="shared" si="982"/>
        <v>18.0</v>
      </c>
      <c r="BC284" s="4">
        <f t="shared" si="728"/>
        <v>84.0</v>
      </c>
      <c r="BD284" s="3">
        <f>VLOOKUP(D284,FEB23SOH,2,false)</f>
        <v>163.0</v>
      </c>
      <c r="BE284" s="44">
        <f>VLOOKUP(D284,UNITVALUE,4,false)</f>
        <v>3.3234</v>
      </c>
      <c r="BF284" s="44">
        <f t="shared" si="941"/>
        <v>541.7142</v>
      </c>
      <c r="BI284" s="6">
        <f t="shared" si="955"/>
        <v>79.0</v>
      </c>
      <c r="BJ284" s="1">
        <f>VLOOKUP(C284,MOQ,3,FALSE())</f>
        <v>500.0</v>
      </c>
      <c r="BK284" s="53" t="s">
        <v>0</v>
      </c>
      <c r="BM284" s="1">
        <f t="shared" si="956"/>
        <v>163.0</v>
      </c>
      <c r="BN284" s="1">
        <f t="shared" si="957"/>
        <v>10.4</v>
      </c>
      <c r="BP284" s="45">
        <f t="shared" si="958"/>
        <v>152.6</v>
      </c>
      <c r="BQ284" s="5">
        <f t="shared" si="959"/>
        <v>507.15084</v>
      </c>
      <c r="BR284" s="1">
        <f t="shared" si="960"/>
        <v>13.0</v>
      </c>
      <c r="BS284" s="1">
        <f t="shared" si="961"/>
      </c>
      <c r="BT284" s="45">
        <f t="shared" si="962"/>
        <v>139.6</v>
      </c>
      <c r="BU284" s="5">
        <f t="shared" si="983"/>
        <v>463.94664</v>
      </c>
      <c r="BV284" s="1">
        <f t="shared" si="964"/>
        <v>14.0</v>
      </c>
      <c r="BW284" s="1">
        <f t="shared" si="965"/>
      </c>
      <c r="BX284" s="45">
        <f t="shared" si="966"/>
        <v>125.6</v>
      </c>
      <c r="BY284" s="5">
        <f t="shared" si="984"/>
        <v>417.41904</v>
      </c>
      <c r="BZ284" s="1">
        <f t="shared" si="968"/>
        <v>19.4</v>
      </c>
      <c r="CB284" s="45">
        <f t="shared" si="969"/>
        <v>106.2</v>
      </c>
      <c r="CC284" s="5">
        <f t="shared" si="985"/>
        <v>352.94508</v>
      </c>
      <c r="CD284" s="1">
        <f t="shared" si="971"/>
        <v>9.2</v>
      </c>
      <c r="CF284" s="45">
        <f t="shared" si="972"/>
        <v>97.0</v>
      </c>
      <c r="CG284" s="5">
        <f t="shared" si="986"/>
        <v>322.3698</v>
      </c>
      <c r="CH284" s="1">
        <f t="shared" si="974"/>
        <v>18.0</v>
      </c>
      <c r="CJ284" s="45">
        <f t="shared" si="975"/>
        <v>79.0</v>
      </c>
      <c r="CK284" s="5">
        <f t="shared" ref="CK284:CK286" si="989">CJ284*BE284</f>
        <v>262.5486</v>
      </c>
    </row>
    <row r="285" ht="17.0">
      <c r="A285" s="41" t="s">
        <v>30</v>
      </c>
      <c r="B285" s="10" t="s">
        <v>597</v>
      </c>
      <c r="C285" s="41" t="s">
        <v>610</v>
      </c>
      <c r="D285" s="55" t="s">
        <v>611</v>
      </c>
      <c r="E285" s="41">
        <v>0.0</v>
      </c>
      <c r="F285" s="41">
        <v>0.0</v>
      </c>
      <c r="G285" s="41">
        <v>0.0</v>
      </c>
      <c r="H285" s="41">
        <v>0.0</v>
      </c>
      <c r="I285" s="41">
        <v>0.0</v>
      </c>
      <c r="J285" s="41">
        <v>0.0</v>
      </c>
      <c r="K285" s="41">
        <v>0.0</v>
      </c>
      <c r="L285" s="41">
        <v>0.0</v>
      </c>
      <c r="M285" s="41">
        <v>0.0</v>
      </c>
      <c r="N285" s="41">
        <v>0.0</v>
      </c>
      <c r="O285" s="41">
        <v>41.0</v>
      </c>
      <c r="P285" s="41">
        <v>28.0</v>
      </c>
      <c r="Q285" s="41">
        <v>48.0</v>
      </c>
      <c r="R285" s="41">
        <v>26.0</v>
      </c>
      <c r="S285" s="41">
        <v>4.0</v>
      </c>
      <c r="T285" s="41">
        <v>12.0</v>
      </c>
      <c r="U285" s="41">
        <v>12.0</v>
      </c>
      <c r="V285" s="41">
        <v>28.0</v>
      </c>
      <c r="W285" s="41">
        <v>0.0</v>
      </c>
      <c r="X285" s="41">
        <v>0.0</v>
      </c>
      <c r="Y285" s="41">
        <v>4.0</v>
      </c>
      <c r="Z285" s="41">
        <v>2.0</v>
      </c>
      <c r="AA285" s="41">
        <v>8.0</v>
      </c>
      <c r="AB285" s="41">
        <v>20.0</v>
      </c>
      <c r="AC285" s="41">
        <v>4.0</v>
      </c>
      <c r="AD285" s="41">
        <v>9.0</v>
      </c>
      <c r="AE285" s="41">
        <v>0.0</v>
      </c>
      <c r="AF285" s="41">
        <v>0.0</v>
      </c>
      <c r="AG285" s="41">
        <v>9.0</v>
      </c>
      <c r="AH285" s="41">
        <v>4.0</v>
      </c>
      <c r="AI285" s="41">
        <v>0.0</v>
      </c>
      <c r="AJ285" s="41">
        <v>4.0</v>
      </c>
      <c r="AK285" s="41">
        <v>0.0</v>
      </c>
      <c r="AL285" s="41">
        <v>4.0</v>
      </c>
      <c r="AM285" s="43">
        <v>0.0</v>
      </c>
      <c r="AN285" s="43">
        <v>12.0</v>
      </c>
      <c r="AO285" s="43">
        <v>16.0</v>
      </c>
      <c r="AP285" s="43">
        <v>8.0</v>
      </c>
      <c r="AQ285" s="43">
        <v>8.0</v>
      </c>
      <c r="AR285" s="43">
        <v>4.0</v>
      </c>
      <c r="AS285" s="43">
        <v>10.0</v>
      </c>
      <c r="AT285" s="4">
        <f t="shared" si="4"/>
        <v>70.0</v>
      </c>
      <c r="AU285" s="4">
        <f t="shared" si="5"/>
        <v>12.0</v>
      </c>
      <c r="AV285" s="4">
        <f t="shared" si="6"/>
        <v>13.2</v>
      </c>
      <c r="AW285" s="1">
        <f t="shared" si="977"/>
        <v>1.48571428571429</v>
      </c>
      <c r="AX285" s="1">
        <f t="shared" si="978"/>
        <v>1.85714285714286</v>
      </c>
      <c r="AY285" s="1">
        <f t="shared" si="979"/>
        <v>2.0</v>
      </c>
      <c r="AZ285" s="1">
        <f t="shared" si="980"/>
        <v>2.77142857142857</v>
      </c>
      <c r="BA285" s="1">
        <f t="shared" si="981"/>
        <v>1.31428571428571</v>
      </c>
      <c r="BB285" s="1">
        <f t="shared" si="982"/>
        <v>2.57142857142857</v>
      </c>
      <c r="BC285" s="4">
        <f t="shared" si="728"/>
        <v>12.0</v>
      </c>
      <c r="BD285" s="3">
        <f>VLOOKUP(D285,FEB23SOH,2,false)</f>
        <v>81.0</v>
      </c>
      <c r="BE285" s="44">
        <f>VLOOKUP(D285,UNITVALUE,4,false)</f>
        <v>3.1023</v>
      </c>
      <c r="BF285" s="44">
        <f t="shared" si="941"/>
        <v>251.2863</v>
      </c>
      <c r="BI285" s="6">
        <f t="shared" si="955"/>
        <v>69.0</v>
      </c>
      <c r="BJ285" s="1">
        <f>VLOOKUP(C285,MOQ,3,FALSE())</f>
        <v>500.0</v>
      </c>
      <c r="BK285" s="53" t="s">
        <v>0</v>
      </c>
      <c r="BM285" s="1">
        <f t="shared" si="956"/>
        <v>81.0</v>
      </c>
      <c r="BN285" s="1">
        <f t="shared" si="957"/>
        <v>1.48571428571429</v>
      </c>
      <c r="BP285" s="45">
        <f t="shared" si="958"/>
        <v>79.5142857142857</v>
      </c>
      <c r="BQ285" s="5">
        <f t="shared" si="959"/>
        <v>246.677168571429</v>
      </c>
      <c r="BR285" s="1">
        <f t="shared" si="960"/>
        <v>1.85714285714286</v>
      </c>
      <c r="BS285" s="1">
        <f t="shared" si="961"/>
      </c>
      <c r="BT285" s="45">
        <f t="shared" si="962"/>
        <v>77.6571428571428</v>
      </c>
      <c r="BU285" s="5">
        <f t="shared" si="983"/>
        <v>240.915754285714</v>
      </c>
      <c r="BV285" s="1">
        <f t="shared" si="964"/>
        <v>2.0</v>
      </c>
      <c r="BW285" s="1">
        <f t="shared" si="965"/>
      </c>
      <c r="BX285" s="45">
        <f t="shared" si="966"/>
        <v>75.6571428571428</v>
      </c>
      <c r="BY285" s="5">
        <f t="shared" si="984"/>
        <v>234.711154285714</v>
      </c>
      <c r="BZ285" s="1">
        <f t="shared" si="968"/>
        <v>2.77142857142857</v>
      </c>
      <c r="CB285" s="45">
        <f t="shared" si="969"/>
        <v>72.8857142857142</v>
      </c>
      <c r="CC285" s="5">
        <f t="shared" si="985"/>
        <v>226.113351428571</v>
      </c>
      <c r="CD285" s="1">
        <f t="shared" si="971"/>
        <v>1.31428571428571</v>
      </c>
      <c r="CF285" s="45">
        <f t="shared" si="972"/>
        <v>71.5714285714284</v>
      </c>
      <c r="CG285" s="5">
        <f t="shared" si="986"/>
        <v>222.036042857142</v>
      </c>
      <c r="CH285" s="1">
        <f t="shared" si="974"/>
        <v>2.57142857142857</v>
      </c>
      <c r="CJ285" s="45">
        <f t="shared" si="975"/>
        <v>68.9999999999998</v>
      </c>
      <c r="CK285" s="5">
        <f t="shared" si="989"/>
        <v>214.058699999999</v>
      </c>
    </row>
    <row r="286" ht="17.0">
      <c r="A286" s="41" t="s">
        <v>30</v>
      </c>
      <c r="B286" s="10" t="s">
        <v>597</v>
      </c>
      <c r="C286" s="41" t="s">
        <v>612</v>
      </c>
      <c r="D286" s="55" t="s">
        <v>613</v>
      </c>
      <c r="E286" s="41">
        <v>0.0</v>
      </c>
      <c r="F286" s="41">
        <v>0.0</v>
      </c>
      <c r="G286" s="41">
        <v>0.0</v>
      </c>
      <c r="H286" s="41">
        <v>0.0</v>
      </c>
      <c r="I286" s="41">
        <v>0.0</v>
      </c>
      <c r="J286" s="41">
        <v>0.0</v>
      </c>
      <c r="K286" s="41">
        <v>0.0</v>
      </c>
      <c r="L286" s="41">
        <v>0.0</v>
      </c>
      <c r="M286" s="41">
        <v>0.0</v>
      </c>
      <c r="N286" s="41">
        <v>0.0</v>
      </c>
      <c r="O286" s="41">
        <v>41.0</v>
      </c>
      <c r="P286" s="41">
        <v>55.0</v>
      </c>
      <c r="Q286" s="41">
        <v>77.0</v>
      </c>
      <c r="R286" s="41">
        <v>81.0</v>
      </c>
      <c r="S286" s="41">
        <v>27.0</v>
      </c>
      <c r="T286" s="41">
        <v>32.0</v>
      </c>
      <c r="U286" s="41">
        <v>84.0</v>
      </c>
      <c r="V286" s="41">
        <v>104.0</v>
      </c>
      <c r="W286" s="41">
        <v>76.0</v>
      </c>
      <c r="X286" s="41">
        <v>76.0</v>
      </c>
      <c r="Y286" s="41">
        <v>43.0</v>
      </c>
      <c r="Z286" s="41">
        <v>51.0</v>
      </c>
      <c r="AA286" s="41">
        <v>24.0</v>
      </c>
      <c r="AB286" s="41">
        <v>32.0</v>
      </c>
      <c r="AC286" s="41">
        <v>40.0</v>
      </c>
      <c r="AD286" s="41">
        <v>20.0</v>
      </c>
      <c r="AE286" s="41">
        <v>29.0</v>
      </c>
      <c r="AF286" s="41">
        <v>4.0</v>
      </c>
      <c r="AG286" s="41">
        <v>24.0</v>
      </c>
      <c r="AH286" s="41">
        <v>4.0</v>
      </c>
      <c r="AI286" s="41">
        <v>8.0</v>
      </c>
      <c r="AJ286" s="41">
        <v>20.0</v>
      </c>
      <c r="AK286" s="41">
        <v>36.0</v>
      </c>
      <c r="AL286" s="41">
        <v>8.0</v>
      </c>
      <c r="AM286" s="43">
        <v>12.0</v>
      </c>
      <c r="AN286" s="43">
        <v>28.0</v>
      </c>
      <c r="AO286" s="43">
        <v>24.0</v>
      </c>
      <c r="AP286" s="43">
        <v>36.0</v>
      </c>
      <c r="AQ286" s="43">
        <v>12.0</v>
      </c>
      <c r="AR286" s="43">
        <v>4.0</v>
      </c>
      <c r="AS286" s="43">
        <v>24.0</v>
      </c>
      <c r="AT286" s="4">
        <f t="shared" si="4"/>
        <v>216.0</v>
      </c>
      <c r="AU286" s="4">
        <f t="shared" si="5"/>
        <v>88.0</v>
      </c>
      <c r="AV286" s="4">
        <f t="shared" si="6"/>
        <v>96.8</v>
      </c>
      <c r="AW286" s="1">
        <f t="shared" si="977"/>
        <v>10.895238095238</v>
      </c>
      <c r="AX286" s="1">
        <f t="shared" si="978"/>
        <v>13.6190476190476</v>
      </c>
      <c r="AY286" s="1">
        <f t="shared" si="979"/>
        <v>14.6666666666667</v>
      </c>
      <c r="AZ286" s="1">
        <f t="shared" si="980"/>
        <v>20.3238095238095</v>
      </c>
      <c r="BA286" s="1">
        <f t="shared" si="981"/>
        <v>9.63809523809523</v>
      </c>
      <c r="BB286" s="1">
        <f t="shared" si="982"/>
        <v>18.8571428571429</v>
      </c>
      <c r="BC286" s="4">
        <f t="shared" si="728"/>
        <v>87.9999999999999</v>
      </c>
      <c r="BD286" s="3">
        <f>VLOOKUP(D286,FEB23SOH,2,false)</f>
        <v>776.0</v>
      </c>
      <c r="BE286" s="44">
        <f>VLOOKUP(D286,UNITVALUE,4,false)</f>
        <v>3.3144</v>
      </c>
      <c r="BF286" s="44">
        <f t="shared" si="941"/>
        <v>2571.9744</v>
      </c>
      <c r="BI286" s="6">
        <f t="shared" si="955"/>
        <v>688.0</v>
      </c>
      <c r="BJ286" s="1">
        <f>VLOOKUP(C286,MOQ,3,FALSE())</f>
        <v>500.0</v>
      </c>
      <c r="BK286" s="53" t="s">
        <v>0</v>
      </c>
      <c r="BM286" s="1">
        <f t="shared" si="956"/>
        <v>776.0</v>
      </c>
      <c r="BN286" s="1">
        <f t="shared" si="957"/>
        <v>10.895238095238</v>
      </c>
      <c r="BP286" s="45">
        <f t="shared" si="958"/>
        <v>765.104761904762</v>
      </c>
      <c r="BQ286" s="5">
        <f t="shared" si="959"/>
        <v>2535.86322285714</v>
      </c>
      <c r="BR286" s="1">
        <f t="shared" si="960"/>
        <v>13.6190476190476</v>
      </c>
      <c r="BS286" s="1">
        <f t="shared" si="961"/>
      </c>
      <c r="BT286" s="45">
        <f t="shared" si="962"/>
        <v>751.485714285714</v>
      </c>
      <c r="BU286" s="5">
        <f t="shared" si="983"/>
        <v>2490.72425142857</v>
      </c>
      <c r="BV286" s="1">
        <f t="shared" si="964"/>
        <v>14.6666666666667</v>
      </c>
      <c r="BW286" s="1">
        <f t="shared" si="965"/>
      </c>
      <c r="BX286" s="45">
        <f t="shared" si="966"/>
        <v>736.819047619047</v>
      </c>
      <c r="BY286" s="5">
        <f t="shared" si="984"/>
        <v>2442.11305142857</v>
      </c>
      <c r="BZ286" s="1">
        <f t="shared" si="968"/>
        <v>20.3238095238095</v>
      </c>
      <c r="CB286" s="45">
        <f t="shared" si="969"/>
        <v>716.495238095238</v>
      </c>
      <c r="CC286" s="5">
        <f t="shared" si="985"/>
        <v>2374.75181714286</v>
      </c>
      <c r="CD286" s="1">
        <f t="shared" si="971"/>
        <v>9.63809523809523</v>
      </c>
      <c r="CF286" s="45">
        <f t="shared" si="972"/>
        <v>706.857142857142</v>
      </c>
      <c r="CG286" s="5">
        <f t="shared" si="986"/>
        <v>2342.80731428571</v>
      </c>
      <c r="CH286" s="1">
        <f t="shared" si="974"/>
        <v>18.8571428571429</v>
      </c>
      <c r="CJ286" s="45">
        <f t="shared" si="975"/>
        <v>687.999999999999</v>
      </c>
      <c r="CK286" s="5">
        <f t="shared" si="989"/>
        <v>2280.3072</v>
      </c>
    </row>
    <row r="287" ht="17.0">
      <c r="A287" s="41" t="s">
        <v>30</v>
      </c>
      <c r="B287" s="10" t="s">
        <v>597</v>
      </c>
      <c r="C287" s="41" t="s">
        <v>614</v>
      </c>
      <c r="D287" s="55" t="s">
        <v>615</v>
      </c>
      <c r="E287" s="41">
        <v>0.0</v>
      </c>
      <c r="F287" s="41">
        <v>0.0</v>
      </c>
      <c r="G287" s="41">
        <v>0.0</v>
      </c>
      <c r="H287" s="41">
        <v>0.0</v>
      </c>
      <c r="I287" s="41">
        <v>0.0</v>
      </c>
      <c r="J287" s="41">
        <v>0.0</v>
      </c>
      <c r="K287" s="41">
        <v>0.0</v>
      </c>
      <c r="L287" s="41">
        <v>0.0</v>
      </c>
      <c r="M287" s="41">
        <v>0.0</v>
      </c>
      <c r="N287" s="41">
        <v>0.0</v>
      </c>
      <c r="O287" s="41">
        <v>0.0</v>
      </c>
      <c r="P287" s="41">
        <v>0.0</v>
      </c>
      <c r="Q287" s="41">
        <v>0.0</v>
      </c>
      <c r="R287" s="41">
        <v>0.0</v>
      </c>
      <c r="S287" s="41">
        <v>0.0</v>
      </c>
      <c r="T287" s="41">
        <v>0.0</v>
      </c>
      <c r="U287" s="41">
        <v>0.0</v>
      </c>
      <c r="V287" s="41">
        <v>144.0</v>
      </c>
      <c r="W287" s="41">
        <v>132.0</v>
      </c>
      <c r="X287" s="41">
        <v>141.0</v>
      </c>
      <c r="Y287" s="41">
        <v>68.0</v>
      </c>
      <c r="Z287" s="41">
        <v>90.0</v>
      </c>
      <c r="AA287" s="41">
        <v>44.0</v>
      </c>
      <c r="AB287" s="41">
        <v>88.0</v>
      </c>
      <c r="AC287" s="41">
        <v>72.0</v>
      </c>
      <c r="AD287" s="41">
        <v>80.0</v>
      </c>
      <c r="AE287" s="41">
        <v>48.0</v>
      </c>
      <c r="AF287" s="41">
        <v>12.0</v>
      </c>
      <c r="AG287" s="41">
        <v>52.0</v>
      </c>
      <c r="AH287" s="41">
        <v>32.0</v>
      </c>
      <c r="AI287" s="41">
        <v>56.0</v>
      </c>
      <c r="AJ287" s="41">
        <v>36.0</v>
      </c>
      <c r="AK287" s="41">
        <v>48.0</v>
      </c>
      <c r="AL287" s="41">
        <v>20.0</v>
      </c>
      <c r="AM287" s="43">
        <v>16.0</v>
      </c>
      <c r="AN287" s="43">
        <v>60.0</v>
      </c>
      <c r="AO287" s="43">
        <v>40.0</v>
      </c>
      <c r="AP287" s="43">
        <v>32.0</v>
      </c>
      <c r="AQ287" s="43">
        <v>21.0</v>
      </c>
      <c r="AR287" s="43">
        <v>24.0</v>
      </c>
      <c r="AS287" s="43">
        <v>34.0</v>
      </c>
      <c r="AT287" s="4">
        <f t="shared" si="4"/>
        <v>419.0</v>
      </c>
      <c r="AU287" s="4">
        <f t="shared" si="5"/>
        <v>208.0</v>
      </c>
      <c r="AV287" s="4">
        <f t="shared" si="6"/>
        <v>228.8</v>
      </c>
      <c r="AW287" s="1">
        <f t="shared" si="977"/>
        <v>25.752380952381</v>
      </c>
      <c r="AX287" s="1">
        <f t="shared" si="978"/>
        <v>32.1904761904761</v>
      </c>
      <c r="AY287" s="1">
        <f t="shared" si="979"/>
        <v>34.6666666666667</v>
      </c>
      <c r="AZ287" s="1">
        <f t="shared" si="980"/>
        <v>48.0380952380952</v>
      </c>
      <c r="BA287" s="1">
        <f t="shared" si="981"/>
        <v>22.7809523809523</v>
      </c>
      <c r="BB287" s="1">
        <f t="shared" si="982"/>
        <v>44.5714285714286</v>
      </c>
      <c r="BC287" s="4">
        <f t="shared" si="728"/>
        <v>208.0</v>
      </c>
      <c r="BD287" s="3">
        <f>VLOOKUP(D287,FEB23SOH,2,false)</f>
        <v>80.0</v>
      </c>
      <c r="BE287" s="44">
        <f>VLOOKUP(D287,UNITVALUE,4,false)</f>
        <v>3.3075</v>
      </c>
      <c r="BF287" s="44">
        <f t="shared" si="941"/>
        <v>264.6</v>
      </c>
      <c r="BI287" s="6">
        <f t="shared" si="955"/>
        <v>-128.0</v>
      </c>
      <c r="BJ287" s="1">
        <f>VLOOKUP(C287,MOQ,3,FALSE())</f>
        <v>500.0</v>
      </c>
      <c r="BK287" s="53" t="s">
        <v>0</v>
      </c>
      <c r="BL287" s="8" t="s">
        <v>7</v>
      </c>
      <c r="BM287" s="1">
        <f t="shared" si="956"/>
        <v>80.0</v>
      </c>
      <c r="BN287" s="1">
        <f t="shared" si="957"/>
        <v>25.752380952381</v>
      </c>
      <c r="BP287" s="45">
        <f t="shared" si="958"/>
        <v>54.247619047619</v>
      </c>
      <c r="BQ287" s="5">
        <f t="shared" si="959"/>
        <v>179.424</v>
      </c>
      <c r="BR287" s="1">
        <f t="shared" si="960"/>
        <v>32.1904761904761</v>
      </c>
      <c r="BS287" s="1">
        <f t="shared" si="961"/>
      </c>
      <c r="BT287" s="45">
        <f t="shared" si="962"/>
        <v>22.0571428571429</v>
      </c>
      <c r="BU287" s="5">
        <f t="shared" si="983"/>
        <v>72.9540000000001</v>
      </c>
      <c r="BV287" s="1">
        <f t="shared" si="964"/>
        <v>34.6666666666667</v>
      </c>
      <c r="BW287" s="1">
        <f t="shared" si="965"/>
      </c>
      <c r="BX287" s="45">
        <f t="shared" si="966"/>
        <v>-12.6095238095238</v>
      </c>
      <c r="BY287" s="5"/>
      <c r="BZ287" s="1">
        <f t="shared" si="968"/>
        <v>48.0380952380952</v>
      </c>
      <c r="CB287" s="45">
        <f t="shared" si="969"/>
        <v>-60.647619047619</v>
      </c>
      <c r="CC287" s="5"/>
      <c r="CD287" s="1">
        <f t="shared" si="971"/>
        <v>22.7809523809523</v>
      </c>
      <c r="CF287" s="45">
        <f t="shared" si="972"/>
        <v>-83.4285714285713</v>
      </c>
      <c r="CG287" s="5"/>
      <c r="CH287" s="1">
        <f t="shared" si="974"/>
        <v>44.5714285714286</v>
      </c>
      <c r="CJ287" s="45">
        <f t="shared" si="975"/>
        <v>-127.9999999998</v>
      </c>
      <c r="CK287" s="5"/>
    </row>
    <row r="288" ht="17.0">
      <c r="A288" s="41" t="s">
        <v>30</v>
      </c>
      <c r="B288" s="10" t="s">
        <v>597</v>
      </c>
      <c r="C288" s="41" t="s">
        <v>616</v>
      </c>
      <c r="D288" s="55" t="s">
        <v>617</v>
      </c>
      <c r="E288" s="41">
        <v>0.0</v>
      </c>
      <c r="F288" s="41">
        <v>0.0</v>
      </c>
      <c r="G288" s="41">
        <v>0.0</v>
      </c>
      <c r="H288" s="41">
        <v>0.0</v>
      </c>
      <c r="I288" s="41">
        <v>0.0</v>
      </c>
      <c r="J288" s="41">
        <v>0.0</v>
      </c>
      <c r="K288" s="41">
        <v>0.0</v>
      </c>
      <c r="L288" s="41">
        <v>0.0</v>
      </c>
      <c r="M288" s="41">
        <v>0.0</v>
      </c>
      <c r="N288" s="41">
        <v>0.0</v>
      </c>
      <c r="O288" s="41">
        <v>0.0</v>
      </c>
      <c r="P288" s="41">
        <v>0.0</v>
      </c>
      <c r="Q288" s="41">
        <v>0.0</v>
      </c>
      <c r="R288" s="41">
        <v>0.0</v>
      </c>
      <c r="S288" s="41">
        <v>0.0</v>
      </c>
      <c r="T288" s="41">
        <v>0.0</v>
      </c>
      <c r="U288" s="41">
        <v>0.0</v>
      </c>
      <c r="V288" s="41">
        <v>124.0</v>
      </c>
      <c r="W288" s="41">
        <v>132.0</v>
      </c>
      <c r="X288" s="41">
        <v>141.0</v>
      </c>
      <c r="Y288" s="41">
        <v>68.0</v>
      </c>
      <c r="Z288" s="41">
        <v>66.0</v>
      </c>
      <c r="AA288" s="41">
        <v>76.0</v>
      </c>
      <c r="AB288" s="41">
        <v>136.0</v>
      </c>
      <c r="AC288" s="41">
        <v>80.0</v>
      </c>
      <c r="AD288" s="41">
        <v>120.0</v>
      </c>
      <c r="AE288" s="41">
        <v>48.0</v>
      </c>
      <c r="AF288" s="41">
        <v>40.0</v>
      </c>
      <c r="AG288" s="41">
        <v>80.0</v>
      </c>
      <c r="AH288" s="41">
        <v>60.0</v>
      </c>
      <c r="AI288" s="41">
        <v>52.0</v>
      </c>
      <c r="AJ288" s="41">
        <v>28.0</v>
      </c>
      <c r="AK288" s="41">
        <v>60.0</v>
      </c>
      <c r="AL288" s="41">
        <v>28.0</v>
      </c>
      <c r="AM288" s="43">
        <v>28.0</v>
      </c>
      <c r="AN288" s="43">
        <v>65.0</v>
      </c>
      <c r="AO288" s="43">
        <v>72.0</v>
      </c>
      <c r="AP288" s="43">
        <v>44.0</v>
      </c>
      <c r="AQ288" s="43">
        <v>39.0</v>
      </c>
      <c r="AR288" s="43">
        <v>28.0</v>
      </c>
      <c r="AS288" s="43">
        <v>10.0</v>
      </c>
      <c r="AT288" s="4">
        <f t="shared" si="4"/>
        <v>514.0</v>
      </c>
      <c r="AU288" s="4">
        <f t="shared" si="5"/>
        <v>256.0</v>
      </c>
      <c r="AV288" s="4">
        <f t="shared" si="6"/>
        <v>281.6</v>
      </c>
      <c r="AW288" s="1">
        <f t="shared" si="977"/>
        <v>31.695238095238</v>
      </c>
      <c r="AX288" s="1">
        <f t="shared" si="978"/>
        <v>39.6190476190476</v>
      </c>
      <c r="AY288" s="1">
        <f t="shared" si="979"/>
        <v>42.6666666666667</v>
      </c>
      <c r="AZ288" s="1">
        <f t="shared" si="980"/>
        <v>59.1238095238095</v>
      </c>
      <c r="BA288" s="1">
        <f t="shared" si="981"/>
        <v>28.0380952380952</v>
      </c>
      <c r="BB288" s="1">
        <f t="shared" si="982"/>
        <v>54.8571428571429</v>
      </c>
      <c r="BC288" s="4">
        <f t="shared" si="728"/>
        <v>256.0</v>
      </c>
      <c r="BD288" s="3">
        <f>VLOOKUP(D288,FEB23SOH,2,false)</f>
        <v>341.0</v>
      </c>
      <c r="BE288" s="44">
        <f>VLOOKUP(D288,UNITVALUE,4,false)</f>
        <v>3.517</v>
      </c>
      <c r="BF288" s="44">
        <f t="shared" si="941"/>
        <v>1199.297</v>
      </c>
      <c r="BI288" s="6">
        <f t="shared" si="955"/>
        <v>85.0</v>
      </c>
      <c r="BJ288" s="1">
        <f>VLOOKUP(C288,MOQ,3,FALSE())</f>
        <v>500.0</v>
      </c>
      <c r="BK288" s="53" t="s">
        <v>0</v>
      </c>
      <c r="BM288" s="1">
        <f t="shared" si="956"/>
        <v>341.0</v>
      </c>
      <c r="BN288" s="1">
        <f t="shared" si="957"/>
        <v>31.695238095238</v>
      </c>
      <c r="BP288" s="45">
        <f t="shared" si="958"/>
        <v>309.304761904762</v>
      </c>
      <c r="BQ288" s="5">
        <f t="shared" si="959"/>
        <v>1087.82484761904</v>
      </c>
      <c r="BR288" s="1">
        <f t="shared" si="960"/>
        <v>39.6190476190476</v>
      </c>
      <c r="BS288" s="1">
        <f t="shared" si="961"/>
      </c>
      <c r="BT288" s="45">
        <f t="shared" si="962"/>
        <v>269.685714285714</v>
      </c>
      <c r="BU288" s="5">
        <f t="shared" si="983"/>
        <v>948.484657142856</v>
      </c>
      <c r="BV288" s="1">
        <f t="shared" si="964"/>
        <v>42.6666666666667</v>
      </c>
      <c r="BW288" s="1">
        <f t="shared" si="965"/>
      </c>
      <c r="BX288" s="45">
        <f t="shared" si="966"/>
        <v>227.019047619047</v>
      </c>
      <c r="BY288" s="5">
        <f t="shared" ref="BY288:BY289" si="990">BX288*BE288</f>
        <v>798.425990476188</v>
      </c>
      <c r="BZ288" s="1">
        <f t="shared" si="968"/>
        <v>59.1238095238095</v>
      </c>
      <c r="CB288" s="45">
        <f t="shared" si="969"/>
        <v>167.895238095238</v>
      </c>
      <c r="CC288" s="5">
        <f t="shared" ref="CC288:CC289" si="991">CB288*BE288</f>
        <v>590.487552380952</v>
      </c>
      <c r="CD288" s="1">
        <f t="shared" si="971"/>
        <v>28.0380952380952</v>
      </c>
      <c r="CF288" s="45">
        <f t="shared" si="972"/>
        <v>139.857142857142</v>
      </c>
      <c r="CG288" s="5">
        <f t="shared" ref="CG288:CG289" si="992">CF288*BE288</f>
        <v>491.877571428568</v>
      </c>
      <c r="CH288" s="1">
        <f t="shared" si="974"/>
        <v>54.8571428571429</v>
      </c>
      <c r="CJ288" s="45">
        <f t="shared" si="975"/>
        <v>84.9999999999991</v>
      </c>
      <c r="CK288" s="5">
        <f t="shared" ref="CK288:CK289" si="993">CJ288*BE288</f>
        <v>298.945</v>
      </c>
    </row>
    <row r="289" ht="17.0">
      <c r="A289" s="41" t="s">
        <v>30</v>
      </c>
      <c r="B289" s="10" t="s">
        <v>597</v>
      </c>
      <c r="C289" s="41" t="s">
        <v>618</v>
      </c>
      <c r="D289" s="42" t="s">
        <v>619</v>
      </c>
      <c r="E289" s="41">
        <v>0.0</v>
      </c>
      <c r="F289" s="41">
        <v>0.0</v>
      </c>
      <c r="G289" s="41">
        <v>0.0</v>
      </c>
      <c r="H289" s="41">
        <v>0.0</v>
      </c>
      <c r="I289" s="41">
        <v>0.0</v>
      </c>
      <c r="J289" s="41">
        <v>0.0</v>
      </c>
      <c r="K289" s="41">
        <v>0.0</v>
      </c>
      <c r="L289" s="41">
        <v>0.0</v>
      </c>
      <c r="M289" s="41">
        <v>0.0</v>
      </c>
      <c r="N289" s="41">
        <v>0.0</v>
      </c>
      <c r="O289" s="41">
        <v>0.0</v>
      </c>
      <c r="P289" s="41">
        <v>0.0</v>
      </c>
      <c r="Q289" s="41">
        <v>0.0</v>
      </c>
      <c r="R289" s="41">
        <v>0.0</v>
      </c>
      <c r="S289" s="41">
        <v>0.0</v>
      </c>
      <c r="T289" s="41">
        <v>0.0</v>
      </c>
      <c r="U289" s="41">
        <v>0.0</v>
      </c>
      <c r="V289" s="41">
        <v>0.0</v>
      </c>
      <c r="W289" s="41">
        <v>0.0</v>
      </c>
      <c r="X289" s="41">
        <v>0.0</v>
      </c>
      <c r="Y289" s="41">
        <v>4.0</v>
      </c>
      <c r="Z289" s="41">
        <v>30.0</v>
      </c>
      <c r="AA289" s="41">
        <v>8.0</v>
      </c>
      <c r="AB289" s="41">
        <v>24.0</v>
      </c>
      <c r="AC289" s="41">
        <v>8.0</v>
      </c>
      <c r="AD289" s="41">
        <v>16.0</v>
      </c>
      <c r="AE289" s="41">
        <v>4.0</v>
      </c>
      <c r="AF289" s="41">
        <v>0.0</v>
      </c>
      <c r="AG289" s="41">
        <v>24.0</v>
      </c>
      <c r="AH289" s="41">
        <v>4.0</v>
      </c>
      <c r="AI289" s="41">
        <v>16.0</v>
      </c>
      <c r="AJ289" s="41">
        <v>32.0</v>
      </c>
      <c r="AK289" s="41">
        <v>16.0</v>
      </c>
      <c r="AL289" s="41">
        <v>16.0</v>
      </c>
      <c r="AM289" s="43">
        <v>0.0</v>
      </c>
      <c r="AN289" s="43">
        <v>20.0</v>
      </c>
      <c r="AO289" s="43">
        <v>4.0</v>
      </c>
      <c r="AP289" s="43">
        <v>4.0</v>
      </c>
      <c r="AQ289" s="43">
        <v>4.0</v>
      </c>
      <c r="AR289" s="43">
        <v>0.0</v>
      </c>
      <c r="AS289" s="43">
        <v>5.0</v>
      </c>
      <c r="AT289" s="4">
        <f t="shared" si="4"/>
        <v>121.0</v>
      </c>
      <c r="AU289" s="4">
        <f t="shared" si="5"/>
        <v>84.0</v>
      </c>
      <c r="AV289" s="4">
        <f t="shared" si="6"/>
        <v>92.4</v>
      </c>
      <c r="AW289" s="1">
        <f t="shared" ref="AW289:AW303" si="994">AV289*$AW$4/$AV$4</f>
        <v>10.4</v>
      </c>
      <c r="AX289" s="1">
        <f t="shared" ref="AX289:AX303" si="995">AV289*$AX$4/$AV$4</f>
        <v>13.0</v>
      </c>
      <c r="AY289" s="1">
        <f t="shared" ref="AY289:AY303" si="996">AV289*$AY$4/$AV$4</f>
        <v>14.0</v>
      </c>
      <c r="AZ289" s="1">
        <f t="shared" ref="AZ289:AZ303" si="997">AV289*$AZ$4/$AV$4</f>
        <v>19.4</v>
      </c>
      <c r="BA289" s="1">
        <f t="shared" ref="BA289:BA303" si="998">AV289*$BA$4/$AV$4</f>
        <v>9.2</v>
      </c>
      <c r="BB289" s="1">
        <f t="shared" ref="BB289:BB303" si="999">AV289*$BB$4/$AV$4</f>
        <v>18.0</v>
      </c>
      <c r="BC289" s="4">
        <f t="shared" si="728"/>
        <v>84.0</v>
      </c>
      <c r="BD289" s="3">
        <f>VLOOKUP(D289,FEB23SOH,2,false)</f>
        <v>262.0</v>
      </c>
      <c r="BE289" s="44">
        <f>VLOOKUP(D289,UNITVALUE,4,false)</f>
        <v>3.3231</v>
      </c>
      <c r="BF289" s="44">
        <f t="shared" si="941"/>
        <v>870.6522</v>
      </c>
      <c r="BI289" s="6">
        <f t="shared" si="955"/>
        <v>178.0</v>
      </c>
      <c r="BJ289" s="1">
        <v>500.0</v>
      </c>
      <c r="BK289" s="53" t="s">
        <v>0</v>
      </c>
      <c r="BM289" s="1">
        <f t="shared" si="956"/>
        <v>262.0</v>
      </c>
      <c r="BN289" s="1">
        <f t="shared" si="957"/>
        <v>10.4</v>
      </c>
      <c r="BP289" s="45">
        <f t="shared" si="958"/>
        <v>251.6</v>
      </c>
      <c r="BQ289" s="5">
        <f t="shared" si="959"/>
        <v>836.09196</v>
      </c>
      <c r="BR289" s="1">
        <f t="shared" si="960"/>
        <v>13.0</v>
      </c>
      <c r="BS289" s="1">
        <f t="shared" si="961"/>
      </c>
      <c r="BT289" s="45">
        <f t="shared" si="962"/>
        <v>238.6</v>
      </c>
      <c r="BU289" s="5">
        <f t="shared" si="983"/>
        <v>792.89166</v>
      </c>
      <c r="BV289" s="1">
        <f t="shared" si="964"/>
        <v>14.0</v>
      </c>
      <c r="BW289" s="1">
        <f t="shared" si="965"/>
      </c>
      <c r="BX289" s="45">
        <f t="shared" si="966"/>
        <v>224.6</v>
      </c>
      <c r="BY289" s="5">
        <f t="shared" si="990"/>
        <v>746.36826</v>
      </c>
      <c r="BZ289" s="1">
        <f t="shared" si="968"/>
        <v>19.4</v>
      </c>
      <c r="CB289" s="45">
        <f t="shared" si="969"/>
        <v>205.2</v>
      </c>
      <c r="CC289" s="5">
        <f t="shared" si="991"/>
        <v>681.90012</v>
      </c>
      <c r="CD289" s="1">
        <f t="shared" si="971"/>
        <v>9.2</v>
      </c>
      <c r="CF289" s="45">
        <f t="shared" si="972"/>
        <v>196.0</v>
      </c>
      <c r="CG289" s="5">
        <f t="shared" si="992"/>
        <v>651.3276</v>
      </c>
      <c r="CH289" s="1">
        <f t="shared" si="974"/>
        <v>18.0</v>
      </c>
      <c r="CJ289" s="45">
        <f t="shared" si="975"/>
        <v>178.0</v>
      </c>
      <c r="CK289" s="5">
        <f t="shared" si="993"/>
        <v>591.5118</v>
      </c>
    </row>
    <row r="290" ht="17.0">
      <c r="A290" s="46" t="s">
        <v>30</v>
      </c>
      <c r="B290" s="46" t="s">
        <v>597</v>
      </c>
      <c r="C290" s="46" t="s">
        <v>620</v>
      </c>
      <c r="D290" s="47" t="s">
        <v>621</v>
      </c>
      <c r="E290" s="41">
        <v>0.0</v>
      </c>
      <c r="F290" s="41">
        <v>0.0</v>
      </c>
      <c r="G290" s="41">
        <v>0.0</v>
      </c>
      <c r="H290" s="41">
        <v>0.0</v>
      </c>
      <c r="I290" s="41">
        <v>5.0</v>
      </c>
      <c r="J290" s="41">
        <v>5.0</v>
      </c>
      <c r="K290" s="41">
        <v>7.0</v>
      </c>
      <c r="L290" s="41">
        <v>1.0</v>
      </c>
      <c r="M290" s="41">
        <v>2.0</v>
      </c>
      <c r="N290" s="41">
        <v>3.0</v>
      </c>
      <c r="O290" s="41">
        <v>2.0</v>
      </c>
      <c r="P290" s="41">
        <v>2.0</v>
      </c>
      <c r="Q290" s="41">
        <v>5.0</v>
      </c>
      <c r="R290" s="41">
        <v>2.0</v>
      </c>
      <c r="S290" s="41">
        <v>0.0</v>
      </c>
      <c r="T290" s="41">
        <v>0.0</v>
      </c>
      <c r="U290" s="41">
        <v>5.0</v>
      </c>
      <c r="V290" s="41">
        <v>3.0</v>
      </c>
      <c r="W290" s="41">
        <v>1.0</v>
      </c>
      <c r="X290" s="41">
        <v>0.0</v>
      </c>
      <c r="Y290" s="41">
        <v>1.0</v>
      </c>
      <c r="Z290" s="41">
        <v>0.0</v>
      </c>
      <c r="AA290" s="41">
        <v>0.0</v>
      </c>
      <c r="AB290" s="41">
        <v>0.0</v>
      </c>
      <c r="AC290" s="41">
        <v>0.0</v>
      </c>
      <c r="AD290" s="41">
        <v>1.0</v>
      </c>
      <c r="AE290" s="41">
        <v>0.0</v>
      </c>
      <c r="AF290" s="41">
        <v>2.0</v>
      </c>
      <c r="AG290" s="41">
        <v>1.0</v>
      </c>
      <c r="AH290" s="41">
        <v>0.0</v>
      </c>
      <c r="AI290" s="41">
        <v>0.0</v>
      </c>
      <c r="AJ290" s="41">
        <v>0.0</v>
      </c>
      <c r="AK290" s="41">
        <v>0.0</v>
      </c>
      <c r="AL290" s="41">
        <v>0.0</v>
      </c>
      <c r="AM290" s="43">
        <v>0.0</v>
      </c>
      <c r="AN290" s="43">
        <v>0.0</v>
      </c>
      <c r="AO290" s="43">
        <v>0.0</v>
      </c>
      <c r="AP290" s="43">
        <v>0.0</v>
      </c>
      <c r="AQ290" s="43">
        <v>0.0</v>
      </c>
      <c r="AR290" s="43">
        <v>0.0</v>
      </c>
      <c r="AS290" s="43">
        <v>0.0</v>
      </c>
      <c r="AT290" s="4">
        <f t="shared" si="4"/>
        <v>0.0</v>
      </c>
      <c r="AU290" s="4">
        <f t="shared" si="5"/>
        <v>0.0</v>
      </c>
      <c r="AV290" s="4">
        <f t="shared" si="6"/>
        <v>0.0</v>
      </c>
      <c r="AW290" s="48">
        <f t="shared" si="994"/>
        <v>0.0</v>
      </c>
      <c r="AX290" s="48">
        <f t="shared" si="995"/>
        <v>0.0</v>
      </c>
      <c r="AY290" s="48">
        <f t="shared" si="996"/>
        <v>0.0</v>
      </c>
      <c r="AZ290" s="48">
        <f t="shared" si="997"/>
        <v>0.0</v>
      </c>
      <c r="BA290" s="48">
        <f t="shared" si="998"/>
        <v>0.0</v>
      </c>
      <c r="BB290" s="48">
        <f t="shared" si="999"/>
        <v>0.0</v>
      </c>
      <c r="BC290" s="4">
        <f t="shared" si="728"/>
        <v>0.0</v>
      </c>
      <c r="BD290" s="3">
        <f>VLOOKUP(D290,FEB23SOH,2,false)</f>
        <v>1.0</v>
      </c>
      <c r="BE290" s="44">
        <f>VLOOKUP(D290,UNITVALUE,4,false)</f>
        <v>154.96</v>
      </c>
      <c r="BF290" s="44">
        <f t="shared" si="941"/>
        <v>154.96</v>
      </c>
      <c r="BJ290" s="1">
        <f>VLOOKUP(C290,MOQ,3,FALSE())</f>
      </c>
      <c r="BK290" s="50"/>
      <c r="BP290" s="45"/>
      <c r="BT290" s="45"/>
      <c r="BU290" s="5"/>
      <c r="BX290" s="45"/>
      <c r="BY290" s="5"/>
      <c r="CB290" s="45"/>
      <c r="CC290" s="5"/>
      <c r="CF290" s="45"/>
      <c r="CG290" s="5"/>
      <c r="CJ290" s="45"/>
      <c r="CK290" s="5"/>
      <c r="CL290" s="49"/>
      <c r="CM290" s="49"/>
      <c r="CN290" s="49"/>
      <c r="CO290" s="49"/>
      <c r="CP290" s="49"/>
      <c r="CQ290" s="49"/>
      <c r="CR290" s="49"/>
      <c r="CS290" s="49"/>
      <c r="CT290" s="49"/>
      <c r="CU290" s="49"/>
      <c r="CV290" s="49"/>
      <c r="CW290" s="49"/>
      <c r="CX290" s="49"/>
      <c r="CY290" s="49"/>
      <c r="CZ290" s="49"/>
      <c r="DA290" s="49"/>
      <c r="DB290" s="49"/>
      <c r="DC290" s="49"/>
      <c r="DD290" s="49"/>
      <c r="DE290" s="49"/>
      <c r="DF290" s="49"/>
      <c r="DG290" s="49"/>
      <c r="DH290" s="49"/>
      <c r="DI290" s="49"/>
      <c r="DJ290" s="49"/>
      <c r="DK290" s="49"/>
    </row>
    <row r="291" ht="17.0">
      <c r="A291" s="41" t="s">
        <v>30</v>
      </c>
      <c r="B291" s="41" t="s">
        <v>622</v>
      </c>
      <c r="C291" s="41" t="s">
        <v>623</v>
      </c>
      <c r="D291" s="42" t="s">
        <v>624</v>
      </c>
      <c r="E291" s="41">
        <v>24.0</v>
      </c>
      <c r="F291" s="41">
        <v>24.0</v>
      </c>
      <c r="G291" s="41">
        <v>0.0</v>
      </c>
      <c r="H291" s="41">
        <v>4.0</v>
      </c>
      <c r="I291" s="41">
        <v>20.0</v>
      </c>
      <c r="J291" s="41">
        <v>8.0</v>
      </c>
      <c r="K291" s="41">
        <v>56.0</v>
      </c>
      <c r="L291" s="41">
        <v>28.0</v>
      </c>
      <c r="M291" s="41">
        <v>4.0</v>
      </c>
      <c r="N291" s="41">
        <v>8.0</v>
      </c>
      <c r="O291" s="41">
        <v>24.0</v>
      </c>
      <c r="P291" s="41">
        <v>10.0</v>
      </c>
      <c r="Q291" s="41">
        <v>2.0</v>
      </c>
      <c r="R291" s="41">
        <v>0.0</v>
      </c>
      <c r="S291" s="41">
        <v>1.0</v>
      </c>
      <c r="T291" s="41">
        <v>0.0</v>
      </c>
      <c r="U291" s="41">
        <v>0.0</v>
      </c>
      <c r="V291" s="41">
        <v>0.0</v>
      </c>
      <c r="W291" s="41">
        <v>0.0</v>
      </c>
      <c r="X291" s="41">
        <v>0.0</v>
      </c>
      <c r="Y291" s="41">
        <v>1.0</v>
      </c>
      <c r="Z291" s="41">
        <v>9.0</v>
      </c>
      <c r="AA291" s="41">
        <v>12.0</v>
      </c>
      <c r="AB291" s="41">
        <v>6.0</v>
      </c>
      <c r="AC291" s="41">
        <v>12.0</v>
      </c>
      <c r="AD291" s="41">
        <v>9.0</v>
      </c>
      <c r="AE291" s="41">
        <v>9.0</v>
      </c>
      <c r="AF291" s="41">
        <v>6.0</v>
      </c>
      <c r="AG291" s="41">
        <v>6.0</v>
      </c>
      <c r="AH291" s="41">
        <v>6.0</v>
      </c>
      <c r="AI291" s="41">
        <v>12.0</v>
      </c>
      <c r="AJ291" s="41">
        <v>-3.0</v>
      </c>
      <c r="AK291" s="41">
        <v>3.0</v>
      </c>
      <c r="AL291" s="41">
        <v>0.0</v>
      </c>
      <c r="AM291" s="43">
        <v>0.0</v>
      </c>
      <c r="AN291" s="43">
        <v>3.0</v>
      </c>
      <c r="AO291" s="43">
        <v>3.0</v>
      </c>
      <c r="AP291" s="43">
        <v>0.0</v>
      </c>
      <c r="AQ291" s="43">
        <v>3.0</v>
      </c>
      <c r="AR291" s="43">
        <v>0.0</v>
      </c>
      <c r="AS291" s="43">
        <v>0.0</v>
      </c>
      <c r="AT291" s="4">
        <f t="shared" si="4"/>
        <v>27.0</v>
      </c>
      <c r="AU291" s="4">
        <f t="shared" si="5"/>
        <v>18.0</v>
      </c>
      <c r="AV291" s="4">
        <f t="shared" si="6"/>
        <v>19.8</v>
      </c>
      <c r="AW291" s="1">
        <f t="shared" si="994"/>
        <v>2.22857142857142</v>
      </c>
      <c r="AX291" s="1">
        <f t="shared" si="995"/>
        <v>2.78571428571429</v>
      </c>
      <c r="AY291" s="1">
        <f t="shared" si="996"/>
        <v>3.0</v>
      </c>
      <c r="AZ291" s="1">
        <f t="shared" si="997"/>
        <v>4.15714285714286</v>
      </c>
      <c r="BA291" s="1">
        <f t="shared" si="998"/>
        <v>1.97142857142857</v>
      </c>
      <c r="BB291" s="1">
        <f t="shared" si="999"/>
        <v>3.8571428571429</v>
      </c>
      <c r="BC291" s="4">
        <f t="shared" si="728"/>
        <v>18.0</v>
      </c>
      <c r="BD291" s="3">
        <f>VLOOKUP(D291,FEB23SOH,2,false)</f>
        <v>405.0</v>
      </c>
      <c r="BE291" s="44">
        <f>VLOOKUP(D291,UNITVALUE,4,false)</f>
        <v>2.4942</v>
      </c>
      <c r="BF291" s="44">
        <f t="shared" si="941"/>
        <v>1010.151</v>
      </c>
      <c r="BI291" s="6">
        <f t="shared" ref="BI291:BI317" si="1001">BD291+BG291+BH291-BC291</f>
        <v>387.0</v>
      </c>
      <c r="BM291" s="1">
        <f t="shared" ref="BM291:BM317" si="1002">BD291</f>
        <v>405.0</v>
      </c>
      <c r="BN291" s="1">
        <f t="shared" ref="BN291:BN317" si="1003">AW291</f>
        <v>2.22857142857142</v>
      </c>
      <c r="BP291" s="45">
        <f t="shared" ref="BP291:BP317" si="1004">BM291+BO291-BN291</f>
        <v>402.771428571429</v>
      </c>
      <c r="BQ291" s="5">
        <f t="shared" ref="BQ291:BQ317" si="1005">BP291*BE291</f>
        <v>1004.59249714286</v>
      </c>
      <c r="BR291" s="1">
        <f t="shared" ref="BR291:BR317" si="1006">AX291</f>
        <v>2.78571428571429</v>
      </c>
      <c r="BS291" s="1">
        <f t="shared" ref="BS291:BS317" si="1007">BG291</f>
      </c>
      <c r="BT291" s="45">
        <f t="shared" ref="BT291:BT317" si="1008">BP291+BS291-BR291</f>
        <v>399.985714285714</v>
      </c>
      <c r="BU291" s="5">
        <f t="shared" ref="BU291:BU317" si="1009">BT291*BE291</f>
        <v>997.644368571428</v>
      </c>
      <c r="BV291" s="1">
        <f t="shared" ref="BV291:BV317" si="1010">AY291</f>
        <v>3.0</v>
      </c>
      <c r="BW291" s="1">
        <f t="shared" ref="BW291:BW317" si="1011">BG291</f>
      </c>
      <c r="BX291" s="45">
        <f t="shared" ref="BX291:BX317" si="1012">BT291+BW291-BV291</f>
        <v>396.985714285714</v>
      </c>
      <c r="BY291" s="5">
        <f t="shared" ref="BY291:BY317" si="1013">BX291*BE291</f>
        <v>990.16176857142</v>
      </c>
      <c r="BZ291" s="1">
        <f t="shared" ref="BZ291:BZ317" si="1014">AZ291</f>
        <v>4.15714285714286</v>
      </c>
      <c r="CB291" s="45">
        <f t="shared" ref="CB291:CB317" si="1015">BX291+CA291-BZ291</f>
        <v>392.828571428571</v>
      </c>
      <c r="CC291" s="5">
        <f t="shared" ref="CC291:CC317" si="1016">CB291*BE291</f>
        <v>979.793022857142</v>
      </c>
      <c r="CD291" s="1">
        <f t="shared" ref="CD291:CD317" si="1017">BA291</f>
        <v>1.97142857142857</v>
      </c>
      <c r="CF291" s="45">
        <f t="shared" ref="CF291:CF317" si="1018">CB291+CE291-CD291</f>
        <v>390.857142857142</v>
      </c>
      <c r="CG291" s="5">
        <f t="shared" ref="CG291:CG317" si="1019">CF291*BE291</f>
        <v>974.875885714283</v>
      </c>
      <c r="CH291" s="1">
        <f t="shared" ref="CH291:CH317" si="1020">BB291</f>
        <v>3.8571428571429</v>
      </c>
      <c r="CJ291" s="45">
        <f t="shared" ref="CJ291:CJ317" si="1021">CF291+CI291-CH291</f>
        <v>386.999999999999</v>
      </c>
      <c r="CK291" s="5">
        <f t="shared" ref="CK291:CK317" si="1022">CJ291*BE291</f>
        <v>965.2554</v>
      </c>
    </row>
    <row r="292" ht="17.0">
      <c r="A292" s="41" t="s">
        <v>30</v>
      </c>
      <c r="B292" s="41" t="s">
        <v>622</v>
      </c>
      <c r="C292" s="41" t="s">
        <v>625</v>
      </c>
      <c r="D292" s="42" t="s">
        <v>626</v>
      </c>
      <c r="E292" s="41">
        <v>0.0</v>
      </c>
      <c r="F292" s="41">
        <v>0.0</v>
      </c>
      <c r="G292" s="41">
        <v>0.0</v>
      </c>
      <c r="H292" s="41">
        <v>0.0</v>
      </c>
      <c r="I292" s="41">
        <v>0.0</v>
      </c>
      <c r="J292" s="41">
        <v>0.0</v>
      </c>
      <c r="K292" s="41">
        <v>0.0</v>
      </c>
      <c r="L292" s="41">
        <v>0.0</v>
      </c>
      <c r="M292" s="41">
        <v>0.0</v>
      </c>
      <c r="N292" s="41">
        <v>0.0</v>
      </c>
      <c r="O292" s="41">
        <v>0.0</v>
      </c>
      <c r="P292" s="41">
        <v>0.0</v>
      </c>
      <c r="Q292" s="41">
        <v>0.0</v>
      </c>
      <c r="R292" s="41">
        <v>0.0</v>
      </c>
      <c r="S292" s="41">
        <v>0.0</v>
      </c>
      <c r="T292" s="41">
        <v>0.0</v>
      </c>
      <c r="U292" s="41">
        <v>0.0</v>
      </c>
      <c r="V292" s="41">
        <v>0.0</v>
      </c>
      <c r="W292" s="41">
        <v>0.0</v>
      </c>
      <c r="X292" s="41">
        <v>0.0</v>
      </c>
      <c r="Y292" s="41">
        <v>0.0</v>
      </c>
      <c r="Z292" s="41">
        <v>12.0</v>
      </c>
      <c r="AA292" s="41">
        <v>12.0</v>
      </c>
      <c r="AB292" s="41">
        <v>18.0</v>
      </c>
      <c r="AC292" s="41">
        <v>12.0</v>
      </c>
      <c r="AD292" s="41">
        <v>27.0</v>
      </c>
      <c r="AE292" s="41">
        <v>9.0</v>
      </c>
      <c r="AF292" s="41">
        <v>10.0</v>
      </c>
      <c r="AG292" s="41">
        <v>21.0</v>
      </c>
      <c r="AH292" s="41">
        <v>24.0</v>
      </c>
      <c r="AI292" s="41">
        <v>12.0</v>
      </c>
      <c r="AJ292" s="41">
        <v>3.0</v>
      </c>
      <c r="AK292" s="41">
        <v>6.0</v>
      </c>
      <c r="AL292" s="41">
        <v>0.0</v>
      </c>
      <c r="AM292" s="43">
        <v>9.0</v>
      </c>
      <c r="AN292" s="43">
        <v>6.0</v>
      </c>
      <c r="AO292" s="43">
        <v>3.0</v>
      </c>
      <c r="AP292" s="43">
        <v>3.0</v>
      </c>
      <c r="AQ292" s="43">
        <v>3.0</v>
      </c>
      <c r="AR292" s="43">
        <v>3.0</v>
      </c>
      <c r="AS292" s="43">
        <v>7.0</v>
      </c>
      <c r="AT292" s="4">
        <f t="shared" si="4"/>
        <v>79.0</v>
      </c>
      <c r="AU292" s="4">
        <f t="shared" si="5"/>
        <v>54.0</v>
      </c>
      <c r="AV292" s="4">
        <f t="shared" si="6"/>
        <v>59.4</v>
      </c>
      <c r="AW292" s="1">
        <f t="shared" si="994"/>
        <v>6.6857142857142</v>
      </c>
      <c r="AX292" s="1">
        <f t="shared" si="995"/>
        <v>8.3571428571429</v>
      </c>
      <c r="AY292" s="1">
        <f t="shared" si="996"/>
        <v>9.0</v>
      </c>
      <c r="AZ292" s="1">
        <f t="shared" si="997"/>
        <v>12.4714285714286</v>
      </c>
      <c r="BA292" s="1">
        <f t="shared" si="998"/>
        <v>5.91428571428571</v>
      </c>
      <c r="BB292" s="1">
        <f t="shared" si="999"/>
        <v>11.5714285714286</v>
      </c>
      <c r="BC292" s="4">
        <f t="shared" si="728"/>
        <v>54.0</v>
      </c>
      <c r="BD292" s="3">
        <f>VLOOKUP(D292,FEB23SOH,2,false)</f>
        <v>302.0</v>
      </c>
      <c r="BE292" s="44">
        <f>VLOOKUP(D292,UNITVALUE,4,false)</f>
        <v>2.4947</v>
      </c>
      <c r="BF292" s="44">
        <f t="shared" si="941"/>
        <v>753.3994</v>
      </c>
      <c r="BI292" s="6">
        <f t="shared" si="1001"/>
        <v>248.0</v>
      </c>
      <c r="BM292" s="1">
        <f t="shared" si="1002"/>
        <v>302.0</v>
      </c>
      <c r="BN292" s="1">
        <f t="shared" si="1003"/>
        <v>6.6857142857142</v>
      </c>
      <c r="BP292" s="45">
        <f t="shared" si="1004"/>
        <v>295.31428571429</v>
      </c>
      <c r="BQ292" s="5">
        <f t="shared" si="1005"/>
        <v>736.720548571439</v>
      </c>
      <c r="BR292" s="1">
        <f t="shared" si="1006"/>
        <v>8.3571428571429</v>
      </c>
      <c r="BS292" s="1">
        <f t="shared" si="1007"/>
      </c>
      <c r="BT292" s="45">
        <f t="shared" si="1008"/>
        <v>286.957142857147</v>
      </c>
      <c r="BU292" s="5">
        <f t="shared" si="1009"/>
        <v>715.871984285724</v>
      </c>
      <c r="BV292" s="1">
        <f t="shared" si="1010"/>
        <v>9.0</v>
      </c>
      <c r="BW292" s="1">
        <f t="shared" si="1011"/>
      </c>
      <c r="BX292" s="45">
        <f t="shared" si="1012"/>
        <v>277.957142857147</v>
      </c>
      <c r="BY292" s="5">
        <f t="shared" si="1013"/>
        <v>693.419684285724</v>
      </c>
      <c r="BZ292" s="1">
        <f t="shared" si="1014"/>
        <v>12.4714285714286</v>
      </c>
      <c r="CB292" s="45">
        <f t="shared" si="1015"/>
        <v>265.485714285718</v>
      </c>
      <c r="CC292" s="5">
        <f t="shared" si="1016"/>
        <v>662.30721142858</v>
      </c>
      <c r="CD292" s="1">
        <f t="shared" si="1017"/>
        <v>5.91428571428571</v>
      </c>
      <c r="CF292" s="45">
        <f t="shared" si="1018"/>
        <v>259.571428571432</v>
      </c>
      <c r="CG292" s="5">
        <f t="shared" si="1019"/>
        <v>647.552842857151</v>
      </c>
      <c r="CH292" s="1">
        <f t="shared" si="1020"/>
        <v>11.5714285714286</v>
      </c>
      <c r="CJ292" s="45">
        <f t="shared" si="1021"/>
        <v>248.000000000003</v>
      </c>
      <c r="CK292" s="5">
        <f t="shared" si="1022"/>
        <v>618.685600000008</v>
      </c>
    </row>
    <row r="293" ht="17.0">
      <c r="A293" s="41" t="s">
        <v>30</v>
      </c>
      <c r="B293" s="41" t="s">
        <v>622</v>
      </c>
      <c r="C293" s="41" t="s">
        <v>627</v>
      </c>
      <c r="D293" s="42" t="s">
        <v>628</v>
      </c>
      <c r="E293" s="41">
        <v>0.0</v>
      </c>
      <c r="F293" s="41">
        <v>0.0</v>
      </c>
      <c r="G293" s="41">
        <v>0.0</v>
      </c>
      <c r="H293" s="41">
        <v>0.0</v>
      </c>
      <c r="I293" s="41">
        <v>0.0</v>
      </c>
      <c r="J293" s="41">
        <v>0.0</v>
      </c>
      <c r="K293" s="41">
        <v>0.0</v>
      </c>
      <c r="L293" s="41">
        <v>0.0</v>
      </c>
      <c r="M293" s="41">
        <v>0.0</v>
      </c>
      <c r="N293" s="41">
        <v>0.0</v>
      </c>
      <c r="O293" s="41">
        <v>0.0</v>
      </c>
      <c r="P293" s="41">
        <v>0.0</v>
      </c>
      <c r="Q293" s="41">
        <v>0.0</v>
      </c>
      <c r="R293" s="41">
        <v>0.0</v>
      </c>
      <c r="S293" s="41">
        <v>0.0</v>
      </c>
      <c r="T293" s="41">
        <v>0.0</v>
      </c>
      <c r="U293" s="41">
        <v>0.0</v>
      </c>
      <c r="V293" s="41">
        <v>0.0</v>
      </c>
      <c r="W293" s="41">
        <v>0.0</v>
      </c>
      <c r="X293" s="41">
        <v>0.0</v>
      </c>
      <c r="Y293" s="41">
        <v>0.0</v>
      </c>
      <c r="Z293" s="41">
        <v>9.0</v>
      </c>
      <c r="AA293" s="41">
        <v>3.0</v>
      </c>
      <c r="AB293" s="41">
        <v>0.0</v>
      </c>
      <c r="AC293" s="41">
        <v>15.0</v>
      </c>
      <c r="AD293" s="41">
        <v>6.0</v>
      </c>
      <c r="AE293" s="41">
        <v>6.0</v>
      </c>
      <c r="AF293" s="41">
        <v>3.0</v>
      </c>
      <c r="AG293" s="41">
        <v>6.0</v>
      </c>
      <c r="AH293" s="41">
        <v>9.0</v>
      </c>
      <c r="AI293" s="41">
        <v>9.0</v>
      </c>
      <c r="AJ293" s="41">
        <v>6.0</v>
      </c>
      <c r="AK293" s="41">
        <v>0.0</v>
      </c>
      <c r="AL293" s="41">
        <v>0.0</v>
      </c>
      <c r="AM293" s="43">
        <v>0.0</v>
      </c>
      <c r="AN293" s="43">
        <v>3.0</v>
      </c>
      <c r="AO293" s="43">
        <v>0.0</v>
      </c>
      <c r="AP293" s="43">
        <v>0.0</v>
      </c>
      <c r="AQ293" s="43">
        <v>0.0</v>
      </c>
      <c r="AR293" s="43">
        <v>0.0</v>
      </c>
      <c r="AS293" s="43">
        <v>4.0</v>
      </c>
      <c r="AT293" s="4">
        <f t="shared" si="4"/>
        <v>31.0</v>
      </c>
      <c r="AU293" s="4">
        <f t="shared" si="5"/>
        <v>24.0</v>
      </c>
      <c r="AV293" s="4">
        <f t="shared" si="6"/>
        <v>26.4</v>
      </c>
      <c r="AW293" s="1">
        <f t="shared" si="994"/>
        <v>2.97142857142857</v>
      </c>
      <c r="AX293" s="1">
        <f t="shared" si="995"/>
        <v>3.71428571428571</v>
      </c>
      <c r="AY293" s="1">
        <f t="shared" si="996"/>
        <v>4.0</v>
      </c>
      <c r="AZ293" s="1">
        <f t="shared" si="997"/>
        <v>5.54285714285714</v>
      </c>
      <c r="BA293" s="1">
        <f t="shared" si="998"/>
        <v>2.62857142857142</v>
      </c>
      <c r="BB293" s="1">
        <f t="shared" si="999"/>
        <v>5.14285714285714</v>
      </c>
      <c r="BC293" s="4">
        <f t="shared" si="728"/>
        <v>24.0</v>
      </c>
      <c r="BD293" s="3">
        <f>VLOOKUP(D293,FEB23SOH,2,false)</f>
        <v>423.0</v>
      </c>
      <c r="BE293" s="44">
        <f>VLOOKUP(D293,UNITVALUE,4,false)</f>
        <v>2.4943</v>
      </c>
      <c r="BF293" s="44">
        <f t="shared" si="941"/>
        <v>1055.0889</v>
      </c>
      <c r="BI293" s="6">
        <f t="shared" si="1001"/>
        <v>399.0</v>
      </c>
      <c r="BM293" s="1">
        <f t="shared" si="1002"/>
        <v>423.0</v>
      </c>
      <c r="BN293" s="1">
        <f t="shared" si="1003"/>
        <v>2.97142857142857</v>
      </c>
      <c r="BP293" s="45">
        <f t="shared" si="1004"/>
        <v>420.028571428571</v>
      </c>
      <c r="BQ293" s="5">
        <f t="shared" si="1005"/>
        <v>1047.67726571428</v>
      </c>
      <c r="BR293" s="1">
        <f t="shared" si="1006"/>
        <v>3.71428571428571</v>
      </c>
      <c r="BS293" s="1">
        <f t="shared" si="1007"/>
      </c>
      <c r="BT293" s="45">
        <f t="shared" si="1008"/>
        <v>416.314285714285</v>
      </c>
      <c r="BU293" s="5">
        <f t="shared" si="1009"/>
        <v>1038.41272285714</v>
      </c>
      <c r="BV293" s="1">
        <f t="shared" si="1010"/>
        <v>4.0</v>
      </c>
      <c r="BW293" s="1">
        <f t="shared" si="1011"/>
      </c>
      <c r="BX293" s="45">
        <f t="shared" si="1012"/>
        <v>412.314285714285</v>
      </c>
      <c r="BY293" s="5">
        <f t="shared" si="1013"/>
        <v>1028.43552285714</v>
      </c>
      <c r="BZ293" s="1">
        <f t="shared" si="1014"/>
        <v>5.54285714285714</v>
      </c>
      <c r="CB293" s="45">
        <f t="shared" si="1015"/>
        <v>406.77142857142</v>
      </c>
      <c r="CC293" s="5">
        <f t="shared" si="1016"/>
        <v>1014.60997428569</v>
      </c>
      <c r="CD293" s="1">
        <f t="shared" si="1017"/>
        <v>2.62857142857142</v>
      </c>
      <c r="CF293" s="45">
        <f t="shared" si="1018"/>
        <v>404.14285714284</v>
      </c>
      <c r="CG293" s="5">
        <f t="shared" si="1019"/>
        <v>1008.05352857139</v>
      </c>
      <c r="CH293" s="1">
        <f t="shared" si="1020"/>
        <v>5.14285714285714</v>
      </c>
      <c r="CJ293" s="45">
        <f t="shared" si="1021"/>
        <v>398.999999999982</v>
      </c>
      <c r="CK293" s="5">
        <f t="shared" si="1022"/>
        <v>995.225699999955</v>
      </c>
    </row>
    <row r="294" ht="17.0">
      <c r="A294" s="41" t="s">
        <v>30</v>
      </c>
      <c r="B294" s="41" t="s">
        <v>622</v>
      </c>
      <c r="C294" s="41" t="s">
        <v>629</v>
      </c>
      <c r="D294" s="42" t="s">
        <v>630</v>
      </c>
      <c r="E294" s="41">
        <v>0.0</v>
      </c>
      <c r="F294" s="41">
        <v>0.0</v>
      </c>
      <c r="G294" s="41">
        <v>0.0</v>
      </c>
      <c r="H294" s="41">
        <v>0.0</v>
      </c>
      <c r="I294" s="41">
        <v>0.0</v>
      </c>
      <c r="J294" s="41">
        <v>0.0</v>
      </c>
      <c r="K294" s="41">
        <v>0.0</v>
      </c>
      <c r="L294" s="41">
        <v>0.0</v>
      </c>
      <c r="M294" s="41">
        <v>0.0</v>
      </c>
      <c r="N294" s="41">
        <v>0.0</v>
      </c>
      <c r="O294" s="41">
        <v>0.0</v>
      </c>
      <c r="P294" s="41">
        <v>0.0</v>
      </c>
      <c r="Q294" s="41">
        <v>0.0</v>
      </c>
      <c r="R294" s="41">
        <v>0.0</v>
      </c>
      <c r="S294" s="41">
        <v>0.0</v>
      </c>
      <c r="T294" s="41">
        <v>0.0</v>
      </c>
      <c r="U294" s="41">
        <v>0.0</v>
      </c>
      <c r="V294" s="41">
        <v>0.0</v>
      </c>
      <c r="W294" s="41">
        <v>0.0</v>
      </c>
      <c r="X294" s="41">
        <v>0.0</v>
      </c>
      <c r="Y294" s="41">
        <v>0.0</v>
      </c>
      <c r="Z294" s="41">
        <v>15.0</v>
      </c>
      <c r="AA294" s="41">
        <v>6.0</v>
      </c>
      <c r="AB294" s="41">
        <v>0.0</v>
      </c>
      <c r="AC294" s="41">
        <v>18.0</v>
      </c>
      <c r="AD294" s="41">
        <v>15.0</v>
      </c>
      <c r="AE294" s="41">
        <v>3.0</v>
      </c>
      <c r="AF294" s="41">
        <v>6.0</v>
      </c>
      <c r="AG294" s="41">
        <v>6.0</v>
      </c>
      <c r="AH294" s="41">
        <v>9.0</v>
      </c>
      <c r="AI294" s="41">
        <v>9.0</v>
      </c>
      <c r="AJ294" s="41">
        <v>5.0</v>
      </c>
      <c r="AK294" s="41">
        <v>0.0</v>
      </c>
      <c r="AL294" s="41">
        <v>0.0</v>
      </c>
      <c r="AM294" s="43">
        <v>6.0</v>
      </c>
      <c r="AN294" s="43">
        <v>6.0</v>
      </c>
      <c r="AO294" s="43">
        <v>0.0</v>
      </c>
      <c r="AP294" s="43">
        <v>0.0</v>
      </c>
      <c r="AQ294" s="43">
        <v>3.0</v>
      </c>
      <c r="AR294" s="43">
        <v>3.0</v>
      </c>
      <c r="AS294" s="43">
        <v>11.0</v>
      </c>
      <c r="AT294" s="4">
        <f t="shared" si="4"/>
        <v>52.0</v>
      </c>
      <c r="AU294" s="4">
        <f t="shared" si="5"/>
        <v>29.0</v>
      </c>
      <c r="AV294" s="4">
        <f t="shared" si="6"/>
        <v>31.9</v>
      </c>
      <c r="AW294" s="1">
        <f t="shared" si="994"/>
        <v>3.59047619047619</v>
      </c>
      <c r="AX294" s="1">
        <f t="shared" si="995"/>
        <v>4.48809523809523</v>
      </c>
      <c r="AY294" s="1">
        <f t="shared" si="996"/>
        <v>4.83333333333333</v>
      </c>
      <c r="AZ294" s="1">
        <f t="shared" si="997"/>
        <v>6.69761904761904</v>
      </c>
      <c r="BA294" s="1">
        <f t="shared" si="998"/>
        <v>3.17619047619048</v>
      </c>
      <c r="BB294" s="1">
        <f t="shared" si="999"/>
        <v>6.21428571428571</v>
      </c>
      <c r="BC294" s="4">
        <f t="shared" si="728"/>
        <v>29.0</v>
      </c>
      <c r="BD294" s="3">
        <f>VLOOKUP(D294,FEB23SOH,2,false)</f>
        <v>381.0</v>
      </c>
      <c r="BE294" s="44">
        <f>VLOOKUP(D294,UNITVALUE,4,false)</f>
        <v>2.4944</v>
      </c>
      <c r="BF294" s="44">
        <f t="shared" si="941"/>
        <v>950.3664</v>
      </c>
      <c r="BI294" s="6">
        <f t="shared" si="1001"/>
        <v>352.0</v>
      </c>
      <c r="BM294" s="1">
        <f t="shared" si="1002"/>
        <v>381.0</v>
      </c>
      <c r="BN294" s="1">
        <f t="shared" si="1003"/>
        <v>3.59047619047619</v>
      </c>
      <c r="BP294" s="45">
        <f t="shared" si="1004"/>
        <v>377.409523809523</v>
      </c>
      <c r="BQ294" s="5">
        <f t="shared" si="1005"/>
        <v>941.410316190474</v>
      </c>
      <c r="BR294" s="1">
        <f t="shared" si="1006"/>
        <v>4.48809523809523</v>
      </c>
      <c r="BS294" s="1">
        <f t="shared" si="1007"/>
      </c>
      <c r="BT294" s="45">
        <f t="shared" si="1008"/>
        <v>372.921428571428</v>
      </c>
      <c r="BU294" s="5">
        <f t="shared" si="1009"/>
        <v>930.21521142857</v>
      </c>
      <c r="BV294" s="1">
        <f t="shared" si="1010"/>
        <v>4.83333333333333</v>
      </c>
      <c r="BW294" s="1">
        <f t="shared" si="1011"/>
      </c>
      <c r="BX294" s="45">
        <f t="shared" si="1012"/>
        <v>368.088095238094</v>
      </c>
      <c r="BY294" s="5">
        <f t="shared" si="1013"/>
        <v>918.158944761901</v>
      </c>
      <c r="BZ294" s="1">
        <f t="shared" si="1014"/>
        <v>6.69761904761904</v>
      </c>
      <c r="CB294" s="45">
        <f t="shared" si="1015"/>
        <v>361.390476190475</v>
      </c>
      <c r="CC294" s="5">
        <f t="shared" si="1016"/>
        <v>901.45240380952</v>
      </c>
      <c r="CD294" s="1">
        <f t="shared" si="1017"/>
        <v>3.17619047619048</v>
      </c>
      <c r="CF294" s="45">
        <f t="shared" si="1018"/>
        <v>358.214285714284</v>
      </c>
      <c r="CG294" s="5">
        <f t="shared" si="1019"/>
        <v>893.52971428571</v>
      </c>
      <c r="CH294" s="1">
        <f t="shared" si="1020"/>
        <v>6.21428571428571</v>
      </c>
      <c r="CJ294" s="45">
        <f t="shared" si="1021"/>
        <v>351.999999999998</v>
      </c>
      <c r="CK294" s="5">
        <f t="shared" si="1022"/>
        <v>878.028799999995</v>
      </c>
    </row>
    <row r="295" ht="17.0">
      <c r="A295" s="41" t="s">
        <v>30</v>
      </c>
      <c r="B295" s="41" t="s">
        <v>622</v>
      </c>
      <c r="C295" s="41" t="s">
        <v>631</v>
      </c>
      <c r="D295" s="42" t="s">
        <v>632</v>
      </c>
      <c r="E295" s="41">
        <v>0.0</v>
      </c>
      <c r="F295" s="41">
        <v>0.0</v>
      </c>
      <c r="G295" s="41">
        <v>0.0</v>
      </c>
      <c r="H295" s="41">
        <v>0.0</v>
      </c>
      <c r="I295" s="41">
        <v>0.0</v>
      </c>
      <c r="J295" s="41">
        <v>0.0</v>
      </c>
      <c r="K295" s="41">
        <v>0.0</v>
      </c>
      <c r="L295" s="41">
        <v>0.0</v>
      </c>
      <c r="M295" s="41">
        <v>0.0</v>
      </c>
      <c r="N295" s="41">
        <v>0.0</v>
      </c>
      <c r="O295" s="41">
        <v>0.0</v>
      </c>
      <c r="P295" s="41">
        <v>0.0</v>
      </c>
      <c r="Q295" s="41">
        <v>0.0</v>
      </c>
      <c r="R295" s="41">
        <v>0.0</v>
      </c>
      <c r="S295" s="41">
        <v>0.0</v>
      </c>
      <c r="T295" s="41">
        <v>0.0</v>
      </c>
      <c r="U295" s="41">
        <v>0.0</v>
      </c>
      <c r="V295" s="41">
        <v>0.0</v>
      </c>
      <c r="W295" s="41">
        <v>0.0</v>
      </c>
      <c r="X295" s="41">
        <v>0.0</v>
      </c>
      <c r="Y295" s="41">
        <v>5.0</v>
      </c>
      <c r="Z295" s="41">
        <v>25.0</v>
      </c>
      <c r="AA295" s="41">
        <v>27.0</v>
      </c>
      <c r="AB295" s="41">
        <v>18.0</v>
      </c>
      <c r="AC295" s="41">
        <v>27.0</v>
      </c>
      <c r="AD295" s="41">
        <v>15.0</v>
      </c>
      <c r="AE295" s="41">
        <v>9.0</v>
      </c>
      <c r="AF295" s="41">
        <v>0.0</v>
      </c>
      <c r="AG295" s="41">
        <v>12.0</v>
      </c>
      <c r="AH295" s="41">
        <v>6.0</v>
      </c>
      <c r="AI295" s="41">
        <v>3.0</v>
      </c>
      <c r="AJ295" s="41">
        <v>9.0</v>
      </c>
      <c r="AK295" s="41">
        <v>3.0</v>
      </c>
      <c r="AL295" s="41">
        <v>0.0</v>
      </c>
      <c r="AM295" s="43">
        <v>0.0</v>
      </c>
      <c r="AN295" s="43">
        <v>3.0</v>
      </c>
      <c r="AO295" s="43">
        <v>9.0</v>
      </c>
      <c r="AP295" s="43">
        <v>0.0</v>
      </c>
      <c r="AQ295" s="43">
        <v>3.0</v>
      </c>
      <c r="AR295" s="43">
        <v>0.0</v>
      </c>
      <c r="AS295" s="43">
        <v>0.0</v>
      </c>
      <c r="AT295" s="4">
        <f t="shared" si="4"/>
        <v>36.0</v>
      </c>
      <c r="AU295" s="4">
        <f t="shared" si="5"/>
        <v>21.0</v>
      </c>
      <c r="AV295" s="4">
        <f t="shared" si="6"/>
        <v>23.1</v>
      </c>
      <c r="AW295" s="1">
        <f t="shared" si="994"/>
        <v>2.6</v>
      </c>
      <c r="AX295" s="1">
        <f t="shared" si="995"/>
        <v>3.25</v>
      </c>
      <c r="AY295" s="1">
        <f t="shared" si="996"/>
        <v>3.5</v>
      </c>
      <c r="AZ295" s="1">
        <f t="shared" si="997"/>
        <v>4.85</v>
      </c>
      <c r="BA295" s="1">
        <f t="shared" si="998"/>
        <v>2.3</v>
      </c>
      <c r="BB295" s="1">
        <f t="shared" si="999"/>
        <v>4.5</v>
      </c>
      <c r="BC295" s="4">
        <f t="shared" si="728"/>
        <v>21.0</v>
      </c>
      <c r="BD295" s="3">
        <f>VLOOKUP(D295,FEB23SOH,2,false)</f>
        <v>327.0</v>
      </c>
      <c r="BE295" s="44">
        <f>VLOOKUP(D295,UNITVALUE,4,false)</f>
        <v>2.4946</v>
      </c>
      <c r="BF295" s="44">
        <f t="shared" si="941"/>
        <v>815.7342</v>
      </c>
      <c r="BI295" s="6">
        <f t="shared" si="1001"/>
        <v>306.0</v>
      </c>
      <c r="BM295" s="1">
        <f t="shared" si="1002"/>
        <v>327.0</v>
      </c>
      <c r="BN295" s="1">
        <f t="shared" si="1003"/>
        <v>2.6</v>
      </c>
      <c r="BP295" s="45">
        <f t="shared" si="1004"/>
        <v>324.4</v>
      </c>
      <c r="BQ295" s="5">
        <f t="shared" si="1005"/>
        <v>809.24824</v>
      </c>
      <c r="BR295" s="1">
        <f t="shared" si="1006"/>
        <v>3.25</v>
      </c>
      <c r="BS295" s="1">
        <f t="shared" si="1007"/>
      </c>
      <c r="BT295" s="45">
        <f t="shared" si="1008"/>
        <v>321.15</v>
      </c>
      <c r="BU295" s="5">
        <f t="shared" si="1009"/>
        <v>801.14079</v>
      </c>
      <c r="BV295" s="1">
        <f t="shared" si="1010"/>
        <v>3.5</v>
      </c>
      <c r="BW295" s="1">
        <f t="shared" si="1011"/>
      </c>
      <c r="BX295" s="45">
        <f t="shared" si="1012"/>
        <v>317.65</v>
      </c>
      <c r="BY295" s="5">
        <f t="shared" si="1013"/>
        <v>792.40969</v>
      </c>
      <c r="BZ295" s="1">
        <f t="shared" si="1014"/>
        <v>4.85</v>
      </c>
      <c r="CB295" s="45">
        <f t="shared" si="1015"/>
        <v>312.8</v>
      </c>
      <c r="CC295" s="5">
        <f t="shared" si="1016"/>
        <v>780.31088</v>
      </c>
      <c r="CD295" s="1">
        <f t="shared" si="1017"/>
        <v>2.3</v>
      </c>
      <c r="CF295" s="45">
        <f t="shared" si="1018"/>
        <v>310.5</v>
      </c>
      <c r="CG295" s="5">
        <f t="shared" si="1019"/>
        <v>774.5733</v>
      </c>
      <c r="CH295" s="1">
        <f t="shared" si="1020"/>
        <v>4.5</v>
      </c>
      <c r="CJ295" s="45">
        <f t="shared" si="1021"/>
        <v>306.0</v>
      </c>
      <c r="CK295" s="5">
        <f t="shared" si="1022"/>
        <v>763.3476</v>
      </c>
    </row>
    <row r="296" ht="17.0">
      <c r="A296" s="41" t="s">
        <v>30</v>
      </c>
      <c r="B296" s="41" t="s">
        <v>622</v>
      </c>
      <c r="C296" s="41" t="s">
        <v>633</v>
      </c>
      <c r="D296" s="42" t="s">
        <v>634</v>
      </c>
      <c r="E296" s="41">
        <v>0.0</v>
      </c>
      <c r="F296" s="41">
        <v>0.0</v>
      </c>
      <c r="G296" s="41">
        <v>0.0</v>
      </c>
      <c r="H296" s="41">
        <v>0.0</v>
      </c>
      <c r="I296" s="41">
        <v>0.0</v>
      </c>
      <c r="J296" s="41">
        <v>0.0</v>
      </c>
      <c r="K296" s="41">
        <v>0.0</v>
      </c>
      <c r="L296" s="41">
        <v>0.0</v>
      </c>
      <c r="M296" s="41">
        <v>0.0</v>
      </c>
      <c r="N296" s="41">
        <v>0.0</v>
      </c>
      <c r="O296" s="41">
        <v>0.0</v>
      </c>
      <c r="P296" s="41">
        <v>0.0</v>
      </c>
      <c r="Q296" s="41">
        <v>0.0</v>
      </c>
      <c r="R296" s="41">
        <v>0.0</v>
      </c>
      <c r="S296" s="41">
        <v>0.0</v>
      </c>
      <c r="T296" s="41">
        <v>0.0</v>
      </c>
      <c r="U296" s="41">
        <v>0.0</v>
      </c>
      <c r="V296" s="41">
        <v>0.0</v>
      </c>
      <c r="W296" s="41">
        <v>0.0</v>
      </c>
      <c r="X296" s="41">
        <v>0.0</v>
      </c>
      <c r="Y296" s="41">
        <v>0.0</v>
      </c>
      <c r="Z296" s="41">
        <v>30.0</v>
      </c>
      <c r="AA296" s="41">
        <v>30.0</v>
      </c>
      <c r="AB296" s="41">
        <v>30.0</v>
      </c>
      <c r="AC296" s="41">
        <v>36.0</v>
      </c>
      <c r="AD296" s="41">
        <v>33.0</v>
      </c>
      <c r="AE296" s="41">
        <v>9.0</v>
      </c>
      <c r="AF296" s="41">
        <v>1.0</v>
      </c>
      <c r="AG296" s="41">
        <v>18.0</v>
      </c>
      <c r="AH296" s="41">
        <v>15.0</v>
      </c>
      <c r="AI296" s="41">
        <v>6.0</v>
      </c>
      <c r="AJ296" s="41">
        <v>15.0</v>
      </c>
      <c r="AK296" s="41">
        <v>3.0</v>
      </c>
      <c r="AL296" s="41">
        <v>0.0</v>
      </c>
      <c r="AM296" s="43">
        <v>9.0</v>
      </c>
      <c r="AN296" s="43">
        <v>9.0</v>
      </c>
      <c r="AO296" s="43">
        <v>15.0</v>
      </c>
      <c r="AP296" s="43">
        <v>0.0</v>
      </c>
      <c r="AQ296" s="43">
        <v>3.0</v>
      </c>
      <c r="AR296" s="43">
        <v>3.0</v>
      </c>
      <c r="AS296" s="43">
        <v>7.0</v>
      </c>
      <c r="AT296" s="4">
        <f t="shared" si="4"/>
        <v>85.0</v>
      </c>
      <c r="AU296" s="4">
        <f t="shared" si="5"/>
        <v>48.0</v>
      </c>
      <c r="AV296" s="4">
        <f t="shared" si="6"/>
        <v>52.8</v>
      </c>
      <c r="AW296" s="1">
        <f t="shared" si="994"/>
        <v>5.94285714285714</v>
      </c>
      <c r="AX296" s="1">
        <f t="shared" si="995"/>
        <v>7.42857142857142</v>
      </c>
      <c r="AY296" s="1">
        <f t="shared" si="996"/>
        <v>8.0</v>
      </c>
      <c r="AZ296" s="1">
        <f t="shared" si="997"/>
        <v>11.0857142857142</v>
      </c>
      <c r="BA296" s="1">
        <f t="shared" si="998"/>
        <v>5.25714285714286</v>
      </c>
      <c r="BB296" s="1">
        <f t="shared" si="999"/>
        <v>10.2857142857142</v>
      </c>
      <c r="BC296" s="4">
        <f t="shared" si="728"/>
        <v>47.9999999999998</v>
      </c>
      <c r="BD296" s="3">
        <f>VLOOKUP(D296,FEB23SOH,2,false)</f>
        <v>230.0</v>
      </c>
      <c r="BE296" s="44">
        <f>VLOOKUP(D296,UNITVALUE,4,false)</f>
        <v>2.4951</v>
      </c>
      <c r="BF296" s="44">
        <f t="shared" si="941"/>
        <v>573.873</v>
      </c>
      <c r="BI296" s="6">
        <f t="shared" si="1001"/>
        <v>182.0</v>
      </c>
      <c r="BM296" s="1">
        <f t="shared" si="1002"/>
        <v>230.0</v>
      </c>
      <c r="BN296" s="1">
        <f t="shared" si="1003"/>
        <v>5.94285714285714</v>
      </c>
      <c r="BP296" s="45">
        <f t="shared" si="1004"/>
        <v>224.057142857142</v>
      </c>
      <c r="BQ296" s="5">
        <f t="shared" si="1005"/>
        <v>559.044977142854</v>
      </c>
      <c r="BR296" s="1">
        <f t="shared" si="1006"/>
        <v>7.42857142857142</v>
      </c>
      <c r="BS296" s="1">
        <f t="shared" si="1007"/>
      </c>
      <c r="BT296" s="45">
        <f t="shared" si="1008"/>
        <v>216.62857142857</v>
      </c>
      <c r="BU296" s="5">
        <f t="shared" si="1009"/>
        <v>540.509948571425</v>
      </c>
      <c r="BV296" s="1">
        <f t="shared" si="1010"/>
        <v>8.0</v>
      </c>
      <c r="BW296" s="1">
        <f t="shared" si="1011"/>
      </c>
      <c r="BX296" s="45">
        <f t="shared" si="1012"/>
        <v>208.62857142857</v>
      </c>
      <c r="BY296" s="5">
        <f t="shared" si="1013"/>
        <v>520.549148571425</v>
      </c>
      <c r="BZ296" s="1">
        <f t="shared" si="1014"/>
        <v>11.0857142857142</v>
      </c>
      <c r="CB296" s="45">
        <f t="shared" si="1015"/>
        <v>197.542857142856</v>
      </c>
      <c r="CC296" s="5">
        <f t="shared" si="1016"/>
        <v>492.88918285714</v>
      </c>
      <c r="CD296" s="1">
        <f t="shared" si="1017"/>
        <v>5.25714285714286</v>
      </c>
      <c r="CF296" s="45">
        <f t="shared" si="1018"/>
        <v>192.285714285713</v>
      </c>
      <c r="CG296" s="5">
        <f t="shared" si="1019"/>
        <v>479.772085714282</v>
      </c>
      <c r="CH296" s="1">
        <f t="shared" si="1020"/>
        <v>10.2857142857142</v>
      </c>
      <c r="CJ296" s="45">
        <f t="shared" si="1021"/>
        <v>181.999999999999</v>
      </c>
      <c r="CK296" s="5">
        <f t="shared" si="1022"/>
        <v>454.108199999998</v>
      </c>
    </row>
    <row r="297" ht="17.0">
      <c r="A297" s="41" t="s">
        <v>30</v>
      </c>
      <c r="B297" s="41" t="s">
        <v>622</v>
      </c>
      <c r="C297" s="41" t="s">
        <v>635</v>
      </c>
      <c r="D297" s="42" t="s">
        <v>636</v>
      </c>
      <c r="E297" s="41">
        <v>0.0</v>
      </c>
      <c r="F297" s="41">
        <v>0.0</v>
      </c>
      <c r="G297" s="41">
        <v>0.0</v>
      </c>
      <c r="H297" s="41">
        <v>0.0</v>
      </c>
      <c r="I297" s="41">
        <v>0.0</v>
      </c>
      <c r="J297" s="41">
        <v>0.0</v>
      </c>
      <c r="K297" s="41">
        <v>0.0</v>
      </c>
      <c r="L297" s="41">
        <v>0.0</v>
      </c>
      <c r="M297" s="41">
        <v>0.0</v>
      </c>
      <c r="N297" s="41">
        <v>0.0</v>
      </c>
      <c r="O297" s="41">
        <v>0.0</v>
      </c>
      <c r="P297" s="41">
        <v>0.0</v>
      </c>
      <c r="Q297" s="41">
        <v>0.0</v>
      </c>
      <c r="R297" s="41">
        <v>0.0</v>
      </c>
      <c r="S297" s="41">
        <v>0.0</v>
      </c>
      <c r="T297" s="41">
        <v>0.0</v>
      </c>
      <c r="U297" s="41">
        <v>0.0</v>
      </c>
      <c r="V297" s="41">
        <v>0.0</v>
      </c>
      <c r="W297" s="41">
        <v>0.0</v>
      </c>
      <c r="X297" s="41">
        <v>0.0</v>
      </c>
      <c r="Y297" s="41">
        <v>0.0</v>
      </c>
      <c r="Z297" s="41">
        <v>9.0</v>
      </c>
      <c r="AA297" s="41">
        <v>12.0</v>
      </c>
      <c r="AB297" s="41">
        <v>3.0</v>
      </c>
      <c r="AC297" s="41">
        <v>6.0</v>
      </c>
      <c r="AD297" s="41">
        <v>6.0</v>
      </c>
      <c r="AE297" s="41">
        <v>6.0</v>
      </c>
      <c r="AF297" s="41">
        <v>0.0</v>
      </c>
      <c r="AG297" s="41">
        <v>9.0</v>
      </c>
      <c r="AH297" s="41">
        <v>6.0</v>
      </c>
      <c r="AI297" s="41">
        <v>0.0</v>
      </c>
      <c r="AJ297" s="41">
        <v>6.0</v>
      </c>
      <c r="AK297" s="41">
        <v>0.0</v>
      </c>
      <c r="AL297" s="41">
        <v>0.0</v>
      </c>
      <c r="AM297" s="43">
        <v>0.0</v>
      </c>
      <c r="AN297" s="43">
        <v>9.0</v>
      </c>
      <c r="AO297" s="43">
        <v>3.0</v>
      </c>
      <c r="AP297" s="43">
        <v>0.0</v>
      </c>
      <c r="AQ297" s="43">
        <v>0.0</v>
      </c>
      <c r="AR297" s="43">
        <v>0.0</v>
      </c>
      <c r="AS297" s="43">
        <v>0.0</v>
      </c>
      <c r="AT297" s="4">
        <f t="shared" si="4"/>
        <v>24.0</v>
      </c>
      <c r="AU297" s="4">
        <f t="shared" si="5"/>
        <v>12.0</v>
      </c>
      <c r="AV297" s="4">
        <f t="shared" si="6"/>
        <v>13.2</v>
      </c>
      <c r="AW297" s="1">
        <f t="shared" si="994"/>
        <v>1.48571428571429</v>
      </c>
      <c r="AX297" s="1">
        <f t="shared" si="995"/>
        <v>1.85714285714286</v>
      </c>
      <c r="AY297" s="1">
        <f t="shared" si="996"/>
        <v>2.0</v>
      </c>
      <c r="AZ297" s="1">
        <f t="shared" si="997"/>
        <v>2.77142857142857</v>
      </c>
      <c r="BA297" s="1">
        <f t="shared" si="998"/>
        <v>1.31428571428571</v>
      </c>
      <c r="BB297" s="1">
        <f t="shared" si="999"/>
        <v>2.57142857142857</v>
      </c>
      <c r="BC297" s="4">
        <f t="shared" si="728"/>
        <v>12.0</v>
      </c>
      <c r="BD297" s="3">
        <f>VLOOKUP(D297,FEB23SOH,2,false)</f>
        <v>426.0</v>
      </c>
      <c r="BE297" s="44">
        <f>VLOOKUP(D297,UNITVALUE,4,false)</f>
        <v>2.4943</v>
      </c>
      <c r="BF297" s="44">
        <f t="shared" si="941"/>
        <v>1062.5718</v>
      </c>
      <c r="BI297" s="6">
        <f t="shared" si="1001"/>
        <v>414.0</v>
      </c>
      <c r="BM297" s="1">
        <f t="shared" si="1002"/>
        <v>426.0</v>
      </c>
      <c r="BN297" s="1">
        <f t="shared" si="1003"/>
        <v>1.48571428571429</v>
      </c>
      <c r="BP297" s="45">
        <f t="shared" si="1004"/>
        <v>424.514285714286</v>
      </c>
      <c r="BQ297" s="5">
        <f t="shared" si="1005"/>
        <v>1058.86598285714</v>
      </c>
      <c r="BR297" s="1">
        <f t="shared" si="1006"/>
        <v>1.85714285714286</v>
      </c>
      <c r="BS297" s="1">
        <f t="shared" si="1007"/>
      </c>
      <c r="BT297" s="45">
        <f t="shared" si="1008"/>
        <v>422.657142857143</v>
      </c>
      <c r="BU297" s="5">
        <f t="shared" si="1009"/>
        <v>1054.23371142857</v>
      </c>
      <c r="BV297" s="1">
        <f t="shared" si="1010"/>
        <v>2.0</v>
      </c>
      <c r="BW297" s="1">
        <f t="shared" si="1011"/>
      </c>
      <c r="BX297" s="45">
        <f t="shared" si="1012"/>
        <v>420.657142857143</v>
      </c>
      <c r="BY297" s="5">
        <f t="shared" si="1013"/>
        <v>1049.24511142857</v>
      </c>
      <c r="BZ297" s="1">
        <f t="shared" si="1014"/>
        <v>2.77142857142857</v>
      </c>
      <c r="CB297" s="45">
        <f t="shared" si="1015"/>
        <v>417.885714285714</v>
      </c>
      <c r="CC297" s="5">
        <f t="shared" si="1016"/>
        <v>1042.33233714286</v>
      </c>
      <c r="CD297" s="1">
        <f t="shared" si="1017"/>
        <v>1.31428571428571</v>
      </c>
      <c r="CF297" s="45">
        <f t="shared" si="1018"/>
        <v>416.571428571428</v>
      </c>
      <c r="CG297" s="5">
        <f t="shared" si="1019"/>
        <v>1039.05411428571</v>
      </c>
      <c r="CH297" s="1">
        <f t="shared" si="1020"/>
        <v>2.57142857142857</v>
      </c>
      <c r="CJ297" s="45">
        <f t="shared" si="1021"/>
        <v>413.999999999999</v>
      </c>
      <c r="CK297" s="5">
        <f t="shared" si="1022"/>
        <v>1032.6402</v>
      </c>
    </row>
    <row r="298" ht="17.0">
      <c r="A298" s="41" t="s">
        <v>30</v>
      </c>
      <c r="B298" s="41" t="s">
        <v>622</v>
      </c>
      <c r="C298" s="41" t="s">
        <v>637</v>
      </c>
      <c r="D298" s="42" t="s">
        <v>638</v>
      </c>
      <c r="E298" s="41">
        <v>0.0</v>
      </c>
      <c r="F298" s="41">
        <v>0.0</v>
      </c>
      <c r="G298" s="41">
        <v>0.0</v>
      </c>
      <c r="H298" s="41">
        <v>0.0</v>
      </c>
      <c r="I298" s="41">
        <v>0.0</v>
      </c>
      <c r="J298" s="41">
        <v>0.0</v>
      </c>
      <c r="K298" s="41">
        <v>0.0</v>
      </c>
      <c r="L298" s="41">
        <v>0.0</v>
      </c>
      <c r="M298" s="41">
        <v>0.0</v>
      </c>
      <c r="N298" s="41">
        <v>0.0</v>
      </c>
      <c r="O298" s="41">
        <v>0.0</v>
      </c>
      <c r="P298" s="41">
        <v>0.0</v>
      </c>
      <c r="Q298" s="41">
        <v>0.0</v>
      </c>
      <c r="R298" s="41">
        <v>0.0</v>
      </c>
      <c r="S298" s="41">
        <v>0.0</v>
      </c>
      <c r="T298" s="41">
        <v>0.0</v>
      </c>
      <c r="U298" s="41">
        <v>0.0</v>
      </c>
      <c r="V298" s="41">
        <v>0.0</v>
      </c>
      <c r="W298" s="41">
        <v>0.0</v>
      </c>
      <c r="X298" s="41">
        <v>0.0</v>
      </c>
      <c r="Y298" s="41">
        <v>0.0</v>
      </c>
      <c r="Z298" s="41">
        <v>9.0</v>
      </c>
      <c r="AA298" s="41">
        <v>12.0</v>
      </c>
      <c r="AB298" s="41">
        <v>6.0</v>
      </c>
      <c r="AC298" s="41">
        <v>6.0</v>
      </c>
      <c r="AD298" s="41">
        <v>12.0</v>
      </c>
      <c r="AE298" s="41">
        <v>0.0</v>
      </c>
      <c r="AF298" s="41">
        <v>0.0</v>
      </c>
      <c r="AG298" s="41">
        <v>12.0</v>
      </c>
      <c r="AH298" s="41">
        <v>9.0</v>
      </c>
      <c r="AI298" s="41">
        <v>0.0</v>
      </c>
      <c r="AJ298" s="41">
        <v>6.0</v>
      </c>
      <c r="AK298" s="41">
        <v>0.0</v>
      </c>
      <c r="AL298" s="41">
        <v>0.0</v>
      </c>
      <c r="AM298" s="43">
        <v>9.0</v>
      </c>
      <c r="AN298" s="43">
        <v>9.0</v>
      </c>
      <c r="AO298" s="43">
        <v>0.0</v>
      </c>
      <c r="AP298" s="43">
        <v>0.0</v>
      </c>
      <c r="AQ298" s="43">
        <v>0.0</v>
      </c>
      <c r="AR298" s="43">
        <v>0.0</v>
      </c>
      <c r="AS298" s="43">
        <v>0.0</v>
      </c>
      <c r="AT298" s="4">
        <f t="shared" si="4"/>
        <v>33.0</v>
      </c>
      <c r="AU298" s="4">
        <f t="shared" si="5"/>
        <v>24.0</v>
      </c>
      <c r="AV298" s="4">
        <f t="shared" si="6"/>
        <v>26.4</v>
      </c>
      <c r="AW298" s="1">
        <f t="shared" si="994"/>
        <v>2.97142857142857</v>
      </c>
      <c r="AX298" s="1">
        <f t="shared" si="995"/>
        <v>3.71428571428571</v>
      </c>
      <c r="AY298" s="1">
        <f t="shared" si="996"/>
        <v>4.0</v>
      </c>
      <c r="AZ298" s="1">
        <f t="shared" si="997"/>
        <v>5.54285714285714</v>
      </c>
      <c r="BA298" s="1">
        <f t="shared" si="998"/>
        <v>2.62857142857142</v>
      </c>
      <c r="BB298" s="1">
        <f t="shared" si="999"/>
        <v>5.14285714285714</v>
      </c>
      <c r="BC298" s="4">
        <f t="shared" si="728"/>
        <v>24.0</v>
      </c>
      <c r="BD298" s="3">
        <f>VLOOKUP(D298,FEB23SOH,2,false)</f>
        <v>411.0</v>
      </c>
      <c r="BE298" s="44">
        <f>VLOOKUP(D298,UNITVALUE,4,false)</f>
        <v>2.4943</v>
      </c>
      <c r="BF298" s="44">
        <f t="shared" si="941"/>
        <v>1025.1573</v>
      </c>
      <c r="BI298" s="6">
        <f t="shared" si="1001"/>
        <v>387.0</v>
      </c>
      <c r="BM298" s="1">
        <f t="shared" si="1002"/>
        <v>411.0</v>
      </c>
      <c r="BN298" s="1">
        <f t="shared" si="1003"/>
        <v>2.97142857142857</v>
      </c>
      <c r="BP298" s="45">
        <f t="shared" si="1004"/>
        <v>408.028571428571</v>
      </c>
      <c r="BQ298" s="5">
        <f t="shared" si="1005"/>
        <v>1017.74566571428</v>
      </c>
      <c r="BR298" s="1">
        <f t="shared" si="1006"/>
        <v>3.71428571428571</v>
      </c>
      <c r="BS298" s="1">
        <f t="shared" si="1007"/>
      </c>
      <c r="BT298" s="45">
        <f t="shared" si="1008"/>
        <v>404.314285714285</v>
      </c>
      <c r="BU298" s="5">
        <f t="shared" si="1009"/>
        <v>1008.48112285714</v>
      </c>
      <c r="BV298" s="1">
        <f t="shared" si="1010"/>
        <v>4.0</v>
      </c>
      <c r="BW298" s="1">
        <f t="shared" si="1011"/>
      </c>
      <c r="BX298" s="45">
        <f t="shared" si="1012"/>
        <v>400.314285714285</v>
      </c>
      <c r="BY298" s="5">
        <f t="shared" si="1013"/>
        <v>998.503922857141</v>
      </c>
      <c r="BZ298" s="1">
        <f t="shared" si="1014"/>
        <v>5.54285714285714</v>
      </c>
      <c r="CB298" s="45">
        <f t="shared" si="1015"/>
        <v>394.77142857142</v>
      </c>
      <c r="CC298" s="5">
        <f t="shared" si="1016"/>
        <v>984.678374285692</v>
      </c>
      <c r="CD298" s="1">
        <f t="shared" si="1017"/>
        <v>2.62857142857142</v>
      </c>
      <c r="CF298" s="45">
        <f t="shared" si="1018"/>
        <v>392.14285714284</v>
      </c>
      <c r="CG298" s="5">
        <f t="shared" si="1019"/>
        <v>978.121928571386</v>
      </c>
      <c r="CH298" s="1">
        <f t="shared" si="1020"/>
        <v>5.14285714285714</v>
      </c>
      <c r="CJ298" s="45">
        <f t="shared" si="1021"/>
        <v>386.999999999982</v>
      </c>
      <c r="CK298" s="5">
        <f t="shared" si="1022"/>
        <v>965.294099999955</v>
      </c>
    </row>
    <row r="299" ht="17.0">
      <c r="A299" s="41" t="s">
        <v>30</v>
      </c>
      <c r="B299" s="41" t="s">
        <v>622</v>
      </c>
      <c r="C299" s="41" t="s">
        <v>639</v>
      </c>
      <c r="D299" s="42" t="s">
        <v>640</v>
      </c>
      <c r="E299" s="41">
        <v>0.0</v>
      </c>
      <c r="F299" s="41">
        <v>0.0</v>
      </c>
      <c r="G299" s="41">
        <v>0.0</v>
      </c>
      <c r="H299" s="41">
        <v>0.0</v>
      </c>
      <c r="I299" s="41">
        <v>0.0</v>
      </c>
      <c r="J299" s="41">
        <v>0.0</v>
      </c>
      <c r="K299" s="41">
        <v>0.0</v>
      </c>
      <c r="L299" s="41">
        <v>0.0</v>
      </c>
      <c r="M299" s="41">
        <v>0.0</v>
      </c>
      <c r="N299" s="41">
        <v>0.0</v>
      </c>
      <c r="O299" s="41">
        <v>0.0</v>
      </c>
      <c r="P299" s="41">
        <v>0.0</v>
      </c>
      <c r="Q299" s="41">
        <v>0.0</v>
      </c>
      <c r="R299" s="41">
        <v>0.0</v>
      </c>
      <c r="S299" s="41">
        <v>0.0</v>
      </c>
      <c r="T299" s="41">
        <v>0.0</v>
      </c>
      <c r="U299" s="41">
        <v>0.0</v>
      </c>
      <c r="V299" s="41">
        <v>0.0</v>
      </c>
      <c r="W299" s="41">
        <v>0.0</v>
      </c>
      <c r="X299" s="41">
        <v>0.0</v>
      </c>
      <c r="Y299" s="41">
        <v>0.0</v>
      </c>
      <c r="Z299" s="41">
        <v>12.0</v>
      </c>
      <c r="AA299" s="41">
        <v>15.0</v>
      </c>
      <c r="AB299" s="41">
        <v>6.0</v>
      </c>
      <c r="AC299" s="41">
        <v>21.0</v>
      </c>
      <c r="AD299" s="41">
        <v>12.0</v>
      </c>
      <c r="AE299" s="41">
        <v>6.0</v>
      </c>
      <c r="AF299" s="41">
        <v>6.0</v>
      </c>
      <c r="AG299" s="41">
        <v>3.0</v>
      </c>
      <c r="AH299" s="41">
        <v>3.0</v>
      </c>
      <c r="AI299" s="41">
        <v>33.0</v>
      </c>
      <c r="AJ299" s="41">
        <v>0.0</v>
      </c>
      <c r="AK299" s="41">
        <v>0.0</v>
      </c>
      <c r="AL299" s="41">
        <v>0.0</v>
      </c>
      <c r="AM299" s="43">
        <v>3.0</v>
      </c>
      <c r="AN299" s="43">
        <v>6.0</v>
      </c>
      <c r="AO299" s="43">
        <v>3.0</v>
      </c>
      <c r="AP299" s="43">
        <v>9.0</v>
      </c>
      <c r="AQ299" s="43">
        <v>0.0</v>
      </c>
      <c r="AR299" s="43">
        <v>0.0</v>
      </c>
      <c r="AS299" s="43">
        <v>0.0</v>
      </c>
      <c r="AT299" s="4">
        <f t="shared" si="4"/>
        <v>57.0</v>
      </c>
      <c r="AU299" s="4">
        <f t="shared" si="5"/>
        <v>39.0</v>
      </c>
      <c r="AV299" s="4">
        <f t="shared" si="6"/>
        <v>42.9</v>
      </c>
      <c r="AW299" s="1">
        <f t="shared" si="994"/>
        <v>4.82857142857142</v>
      </c>
      <c r="AX299" s="1">
        <f t="shared" si="995"/>
        <v>6.03571428571429</v>
      </c>
      <c r="AY299" s="1">
        <f t="shared" si="996"/>
        <v>6.5</v>
      </c>
      <c r="AZ299" s="1">
        <f t="shared" si="997"/>
        <v>9.00714285714286</v>
      </c>
      <c r="BA299" s="1">
        <f t="shared" si="998"/>
        <v>4.27142857142857</v>
      </c>
      <c r="BB299" s="1">
        <f t="shared" si="999"/>
        <v>8.3571428571429</v>
      </c>
      <c r="BC299" s="4">
        <f t="shared" si="728"/>
        <v>39.0</v>
      </c>
      <c r="BD299" s="3">
        <f>VLOOKUP(D299,FEB23SOH,2,false)</f>
        <v>363.0</v>
      </c>
      <c r="BE299" s="44">
        <f>VLOOKUP(D299,UNITVALUE,4,false)</f>
        <v>2.4943</v>
      </c>
      <c r="BF299" s="44">
        <f t="shared" si="941"/>
        <v>905.4309</v>
      </c>
      <c r="BI299" s="6">
        <f t="shared" si="1001"/>
        <v>324.0</v>
      </c>
      <c r="BM299" s="1">
        <f t="shared" si="1002"/>
        <v>363.0</v>
      </c>
      <c r="BN299" s="1">
        <f t="shared" si="1003"/>
        <v>4.82857142857142</v>
      </c>
      <c r="BP299" s="45">
        <f t="shared" si="1004"/>
        <v>358.17142857142</v>
      </c>
      <c r="BQ299" s="5">
        <f t="shared" si="1005"/>
        <v>893.386994285692</v>
      </c>
      <c r="BR299" s="1">
        <f t="shared" si="1006"/>
        <v>6.03571428571429</v>
      </c>
      <c r="BS299" s="1">
        <f t="shared" si="1007"/>
      </c>
      <c r="BT299" s="45">
        <f t="shared" si="1008"/>
        <v>352.135714285706</v>
      </c>
      <c r="BU299" s="5">
        <f t="shared" si="1009"/>
        <v>878.332112142836</v>
      </c>
      <c r="BV299" s="1">
        <f t="shared" si="1010"/>
        <v>6.5</v>
      </c>
      <c r="BW299" s="1">
        <f t="shared" si="1011"/>
      </c>
      <c r="BX299" s="45">
        <f t="shared" si="1012"/>
        <v>345.635714285706</v>
      </c>
      <c r="BY299" s="5">
        <f t="shared" si="1013"/>
        <v>862.119162142836</v>
      </c>
      <c r="BZ299" s="1">
        <f t="shared" si="1014"/>
        <v>9.00714285714286</v>
      </c>
      <c r="CB299" s="45">
        <f t="shared" si="1015"/>
        <v>336.628571428563</v>
      </c>
      <c r="CC299" s="5">
        <f t="shared" si="1016"/>
        <v>839.652645714264</v>
      </c>
      <c r="CD299" s="1">
        <f t="shared" si="1017"/>
        <v>4.27142857142857</v>
      </c>
      <c r="CF299" s="45">
        <f t="shared" si="1018"/>
        <v>332.357142857134</v>
      </c>
      <c r="CG299" s="5">
        <f t="shared" si="1019"/>
        <v>828.998421428549</v>
      </c>
      <c r="CH299" s="1">
        <f t="shared" si="1020"/>
        <v>8.3571428571429</v>
      </c>
      <c r="CJ299" s="45">
        <f t="shared" si="1021"/>
        <v>323.999999999991</v>
      </c>
      <c r="CK299" s="5">
        <f t="shared" si="1022"/>
        <v>808.153199999978</v>
      </c>
    </row>
    <row r="300" ht="17.0">
      <c r="A300" s="41" t="s">
        <v>30</v>
      </c>
      <c r="B300" s="41" t="s">
        <v>622</v>
      </c>
      <c r="C300" s="41" t="s">
        <v>641</v>
      </c>
      <c r="D300" s="42" t="s">
        <v>642</v>
      </c>
      <c r="E300" s="41">
        <v>0.0</v>
      </c>
      <c r="F300" s="41">
        <v>0.0</v>
      </c>
      <c r="G300" s="41">
        <v>0.0</v>
      </c>
      <c r="H300" s="41">
        <v>0.0</v>
      </c>
      <c r="I300" s="41">
        <v>0.0</v>
      </c>
      <c r="J300" s="41">
        <v>0.0</v>
      </c>
      <c r="K300" s="41">
        <v>0.0</v>
      </c>
      <c r="L300" s="41">
        <v>0.0</v>
      </c>
      <c r="M300" s="41">
        <v>0.0</v>
      </c>
      <c r="N300" s="41">
        <v>0.0</v>
      </c>
      <c r="O300" s="41">
        <v>0.0</v>
      </c>
      <c r="P300" s="41">
        <v>0.0</v>
      </c>
      <c r="Q300" s="41">
        <v>0.0</v>
      </c>
      <c r="R300" s="41">
        <v>0.0</v>
      </c>
      <c r="S300" s="41">
        <v>0.0</v>
      </c>
      <c r="T300" s="41">
        <v>0.0</v>
      </c>
      <c r="U300" s="41">
        <v>0.0</v>
      </c>
      <c r="V300" s="41">
        <v>0.0</v>
      </c>
      <c r="W300" s="41">
        <v>0.0</v>
      </c>
      <c r="X300" s="41">
        <v>0.0</v>
      </c>
      <c r="Y300" s="41">
        <v>5.0</v>
      </c>
      <c r="Z300" s="41">
        <v>37.0</v>
      </c>
      <c r="AA300" s="41">
        <v>15.0</v>
      </c>
      <c r="AB300" s="41">
        <v>15.0</v>
      </c>
      <c r="AC300" s="41">
        <v>18.0</v>
      </c>
      <c r="AD300" s="41">
        <v>33.0</v>
      </c>
      <c r="AE300" s="41">
        <v>6.0</v>
      </c>
      <c r="AF300" s="41">
        <v>9.0</v>
      </c>
      <c r="AG300" s="41">
        <v>6.0</v>
      </c>
      <c r="AH300" s="41">
        <v>15.0</v>
      </c>
      <c r="AI300" s="41">
        <v>15.0</v>
      </c>
      <c r="AJ300" s="41">
        <v>0.0</v>
      </c>
      <c r="AK300" s="41">
        <v>0.0</v>
      </c>
      <c r="AL300" s="41">
        <v>0.0</v>
      </c>
      <c r="AM300" s="43">
        <v>6.0</v>
      </c>
      <c r="AN300" s="43">
        <v>15.0</v>
      </c>
      <c r="AO300" s="43">
        <v>9.0</v>
      </c>
      <c r="AP300" s="43">
        <v>6.0</v>
      </c>
      <c r="AQ300" s="43">
        <v>6.0</v>
      </c>
      <c r="AR300" s="43">
        <v>3.0</v>
      </c>
      <c r="AS300" s="43">
        <v>7.0</v>
      </c>
      <c r="AT300" s="4">
        <f t="shared" si="4"/>
        <v>82.0</v>
      </c>
      <c r="AU300" s="4">
        <f t="shared" si="5"/>
        <v>36.0</v>
      </c>
      <c r="AV300" s="4">
        <f t="shared" si="6"/>
        <v>39.6</v>
      </c>
      <c r="AW300" s="1">
        <f t="shared" si="994"/>
        <v>4.45714285714286</v>
      </c>
      <c r="AX300" s="1">
        <f t="shared" si="995"/>
        <v>5.57142857142857</v>
      </c>
      <c r="AY300" s="1">
        <f t="shared" si="996"/>
        <v>6.0</v>
      </c>
      <c r="AZ300" s="1">
        <f t="shared" si="997"/>
        <v>8.31428571428571</v>
      </c>
      <c r="BA300" s="1">
        <f t="shared" si="998"/>
        <v>3.94285714285714</v>
      </c>
      <c r="BB300" s="1">
        <f t="shared" si="999"/>
        <v>7.71428571428571</v>
      </c>
      <c r="BC300" s="4">
        <f t="shared" si="728"/>
        <v>36.0</v>
      </c>
      <c r="BD300" s="3">
        <f>VLOOKUP(D300,FEB23SOH,2,false)</f>
        <v>276.0</v>
      </c>
      <c r="BE300" s="44">
        <f>VLOOKUP(D300,UNITVALUE,4,false)</f>
        <v>2.4949</v>
      </c>
      <c r="BF300" s="44">
        <f t="shared" si="941"/>
        <v>688.5924</v>
      </c>
      <c r="BI300" s="6">
        <f t="shared" si="1001"/>
        <v>240.0</v>
      </c>
      <c r="BM300" s="1">
        <f t="shared" si="1002"/>
        <v>276.0</v>
      </c>
      <c r="BN300" s="1">
        <f t="shared" si="1003"/>
        <v>4.45714285714286</v>
      </c>
      <c r="BP300" s="45">
        <f t="shared" si="1004"/>
        <v>271.542857142857</v>
      </c>
      <c r="BQ300" s="5">
        <f t="shared" si="1005"/>
        <v>677.472274285713</v>
      </c>
      <c r="BR300" s="1">
        <f t="shared" si="1006"/>
        <v>5.57142857142857</v>
      </c>
      <c r="BS300" s="1">
        <f t="shared" si="1007"/>
      </c>
      <c r="BT300" s="45">
        <f t="shared" si="1008"/>
        <v>265.971428571428</v>
      </c>
      <c r="BU300" s="5">
        <f t="shared" si="1009"/>
        <v>663.572117142856</v>
      </c>
      <c r="BV300" s="1">
        <f t="shared" si="1010"/>
        <v>6.0</v>
      </c>
      <c r="BW300" s="1">
        <f t="shared" si="1011"/>
      </c>
      <c r="BX300" s="45">
        <f t="shared" si="1012"/>
        <v>259.971428571428</v>
      </c>
      <c r="BY300" s="5">
        <f t="shared" si="1013"/>
        <v>648.602717142856</v>
      </c>
      <c r="BZ300" s="1">
        <f t="shared" si="1014"/>
        <v>8.31428571428571</v>
      </c>
      <c r="CB300" s="45">
        <f t="shared" si="1015"/>
        <v>251.657142857142</v>
      </c>
      <c r="CC300" s="5">
        <f t="shared" si="1016"/>
        <v>627.859405714283</v>
      </c>
      <c r="CD300" s="1">
        <f t="shared" si="1017"/>
        <v>3.94285714285714</v>
      </c>
      <c r="CF300" s="45">
        <f t="shared" si="1018"/>
        <v>247.714285714284</v>
      </c>
      <c r="CG300" s="5">
        <f t="shared" si="1019"/>
        <v>618.022371428567</v>
      </c>
      <c r="CH300" s="1">
        <f t="shared" si="1020"/>
        <v>7.71428571428571</v>
      </c>
      <c r="CJ300" s="45">
        <f t="shared" si="1021"/>
        <v>239.999999999998</v>
      </c>
      <c r="CK300" s="5">
        <f t="shared" si="1022"/>
        <v>598.775999999995</v>
      </c>
    </row>
    <row r="301" ht="17.0">
      <c r="A301" s="41" t="s">
        <v>30</v>
      </c>
      <c r="B301" s="41" t="s">
        <v>622</v>
      </c>
      <c r="C301" s="41" t="s">
        <v>643</v>
      </c>
      <c r="D301" s="42" t="s">
        <v>644</v>
      </c>
      <c r="E301" s="41">
        <v>0.0</v>
      </c>
      <c r="F301" s="41">
        <v>0.0</v>
      </c>
      <c r="G301" s="41">
        <v>0.0</v>
      </c>
      <c r="H301" s="41">
        <v>0.0</v>
      </c>
      <c r="I301" s="41">
        <v>0.0</v>
      </c>
      <c r="J301" s="41">
        <v>0.0</v>
      </c>
      <c r="K301" s="41">
        <v>0.0</v>
      </c>
      <c r="L301" s="41">
        <v>0.0</v>
      </c>
      <c r="M301" s="41">
        <v>0.0</v>
      </c>
      <c r="N301" s="41">
        <v>0.0</v>
      </c>
      <c r="O301" s="41">
        <v>0.0</v>
      </c>
      <c r="P301" s="41">
        <v>0.0</v>
      </c>
      <c r="Q301" s="41">
        <v>0.0</v>
      </c>
      <c r="R301" s="41">
        <v>0.0</v>
      </c>
      <c r="S301" s="41">
        <v>0.0</v>
      </c>
      <c r="T301" s="41">
        <v>0.0</v>
      </c>
      <c r="U301" s="41">
        <v>0.0</v>
      </c>
      <c r="V301" s="41">
        <v>0.0</v>
      </c>
      <c r="W301" s="41">
        <v>0.0</v>
      </c>
      <c r="X301" s="41">
        <v>0.0</v>
      </c>
      <c r="Y301" s="41">
        <v>0.0</v>
      </c>
      <c r="Z301" s="41">
        <v>15.0</v>
      </c>
      <c r="AA301" s="41">
        <v>9.0</v>
      </c>
      <c r="AB301" s="41">
        <v>12.0</v>
      </c>
      <c r="AC301" s="41">
        <v>15.0</v>
      </c>
      <c r="AD301" s="41">
        <v>9.0</v>
      </c>
      <c r="AE301" s="41">
        <v>3.0</v>
      </c>
      <c r="AF301" s="41">
        <v>3.0</v>
      </c>
      <c r="AG301" s="41">
        <v>12.0</v>
      </c>
      <c r="AH301" s="41">
        <v>0.0</v>
      </c>
      <c r="AI301" s="41">
        <v>6.0</v>
      </c>
      <c r="AJ301" s="41">
        <v>3.0</v>
      </c>
      <c r="AK301" s="41">
        <v>0.0</v>
      </c>
      <c r="AL301" s="41">
        <v>0.0</v>
      </c>
      <c r="AM301" s="43">
        <v>0.0</v>
      </c>
      <c r="AN301" s="43">
        <v>3.0</v>
      </c>
      <c r="AO301" s="43">
        <v>12.0</v>
      </c>
      <c r="AP301" s="43">
        <v>3.0</v>
      </c>
      <c r="AQ301" s="43">
        <v>3.0</v>
      </c>
      <c r="AR301" s="43">
        <v>3.0</v>
      </c>
      <c r="AS301" s="43">
        <v>0.0</v>
      </c>
      <c r="AT301" s="4">
        <f t="shared" si="4"/>
        <v>33.0</v>
      </c>
      <c r="AU301" s="4">
        <f t="shared" si="5"/>
        <v>9.0</v>
      </c>
      <c r="AV301" s="4">
        <f t="shared" si="6"/>
        <v>9.9</v>
      </c>
      <c r="AW301" s="1">
        <f t="shared" si="994"/>
        <v>1.11428571428571</v>
      </c>
      <c r="AX301" s="1">
        <f t="shared" si="995"/>
        <v>1.39285714285714</v>
      </c>
      <c r="AY301" s="1">
        <f t="shared" si="996"/>
        <v>1.5</v>
      </c>
      <c r="AZ301" s="1">
        <f t="shared" si="997"/>
        <v>2.07857142857142</v>
      </c>
      <c r="BA301" s="1">
        <f t="shared" si="998"/>
        <v>0.985714285714286</v>
      </c>
      <c r="BB301" s="1">
        <f t="shared" si="999"/>
        <v>1.92857142857142</v>
      </c>
      <c r="BC301" s="4">
        <f t="shared" si="728"/>
        <v>8.99999999999998</v>
      </c>
      <c r="BD301" s="3">
        <f>VLOOKUP(D301,FEB23SOH,2,false)</f>
        <v>390.0</v>
      </c>
      <c r="BE301" s="44">
        <f>VLOOKUP(D301,UNITVALUE,4,false)</f>
        <v>2.4944</v>
      </c>
      <c r="BF301" s="44">
        <f t="shared" si="941"/>
        <v>972.816</v>
      </c>
      <c r="BI301" s="6">
        <f t="shared" si="1001"/>
        <v>381.0</v>
      </c>
      <c r="BM301" s="1">
        <f t="shared" si="1002"/>
        <v>390.0</v>
      </c>
      <c r="BN301" s="1">
        <f t="shared" si="1003"/>
        <v>1.11428571428571</v>
      </c>
      <c r="BP301" s="45">
        <f t="shared" si="1004"/>
        <v>388.885714285714</v>
      </c>
      <c r="BQ301" s="5">
        <f t="shared" si="1005"/>
        <v>970.036525714285</v>
      </c>
      <c r="BR301" s="1">
        <f t="shared" si="1006"/>
        <v>1.39285714285714</v>
      </c>
      <c r="BS301" s="1">
        <f t="shared" si="1007"/>
      </c>
      <c r="BT301" s="45">
        <f t="shared" si="1008"/>
        <v>387.492857142857</v>
      </c>
      <c r="BU301" s="5">
        <f t="shared" si="1009"/>
        <v>966.562182857142</v>
      </c>
      <c r="BV301" s="1">
        <f t="shared" si="1010"/>
        <v>1.5</v>
      </c>
      <c r="BW301" s="1">
        <f t="shared" si="1011"/>
      </c>
      <c r="BX301" s="45">
        <f t="shared" si="1012"/>
        <v>385.992857142857</v>
      </c>
      <c r="BY301" s="5">
        <f t="shared" si="1013"/>
        <v>962.820582857142</v>
      </c>
      <c r="BZ301" s="1">
        <f t="shared" si="1014"/>
        <v>2.07857142857142</v>
      </c>
      <c r="CB301" s="45">
        <f t="shared" si="1015"/>
        <v>383.914285714286</v>
      </c>
      <c r="CC301" s="5">
        <f t="shared" si="1016"/>
        <v>957.635794285715</v>
      </c>
      <c r="CD301" s="1">
        <f t="shared" si="1017"/>
        <v>0.985714285714286</v>
      </c>
      <c r="CF301" s="45">
        <f t="shared" si="1018"/>
        <v>382.928571428571</v>
      </c>
      <c r="CG301" s="5">
        <f t="shared" si="1019"/>
        <v>955.177028571428</v>
      </c>
      <c r="CH301" s="1">
        <f t="shared" si="1020"/>
        <v>1.92857142857142</v>
      </c>
      <c r="CJ301" s="45">
        <f t="shared" si="1021"/>
        <v>381.0</v>
      </c>
      <c r="CK301" s="5">
        <f t="shared" si="1022"/>
        <v>950.3664</v>
      </c>
    </row>
    <row r="302" ht="17.0">
      <c r="A302" s="41" t="s">
        <v>30</v>
      </c>
      <c r="B302" s="41" t="s">
        <v>622</v>
      </c>
      <c r="C302" s="41" t="s">
        <v>645</v>
      </c>
      <c r="D302" s="42" t="s">
        <v>646</v>
      </c>
      <c r="E302" s="41">
        <v>0.0</v>
      </c>
      <c r="F302" s="41">
        <v>0.0</v>
      </c>
      <c r="G302" s="41">
        <v>0.0</v>
      </c>
      <c r="H302" s="41">
        <v>0.0</v>
      </c>
      <c r="I302" s="41">
        <v>0.0</v>
      </c>
      <c r="J302" s="41">
        <v>0.0</v>
      </c>
      <c r="K302" s="41">
        <v>0.0</v>
      </c>
      <c r="L302" s="41">
        <v>0.0</v>
      </c>
      <c r="M302" s="41">
        <v>0.0</v>
      </c>
      <c r="N302" s="41">
        <v>0.0</v>
      </c>
      <c r="O302" s="41">
        <v>0.0</v>
      </c>
      <c r="P302" s="41">
        <v>0.0</v>
      </c>
      <c r="Q302" s="41">
        <v>0.0</v>
      </c>
      <c r="R302" s="41">
        <v>0.0</v>
      </c>
      <c r="S302" s="41">
        <v>0.0</v>
      </c>
      <c r="T302" s="41">
        <v>0.0</v>
      </c>
      <c r="U302" s="41">
        <v>0.0</v>
      </c>
      <c r="V302" s="41">
        <v>0.0</v>
      </c>
      <c r="W302" s="41">
        <v>0.0</v>
      </c>
      <c r="X302" s="41">
        <v>0.0</v>
      </c>
      <c r="Y302" s="41">
        <v>0.0</v>
      </c>
      <c r="Z302" s="41">
        <v>16.0</v>
      </c>
      <c r="AA302" s="41">
        <v>6.0</v>
      </c>
      <c r="AB302" s="41">
        <v>21.0</v>
      </c>
      <c r="AC302" s="41">
        <v>18.0</v>
      </c>
      <c r="AD302" s="41">
        <v>15.0</v>
      </c>
      <c r="AE302" s="41">
        <v>3.0</v>
      </c>
      <c r="AF302" s="41">
        <v>6.0</v>
      </c>
      <c r="AG302" s="41">
        <v>12.0</v>
      </c>
      <c r="AH302" s="41">
        <v>3.0</v>
      </c>
      <c r="AI302" s="41">
        <v>9.0</v>
      </c>
      <c r="AJ302" s="41">
        <v>3.0</v>
      </c>
      <c r="AK302" s="41">
        <v>0.0</v>
      </c>
      <c r="AL302" s="41">
        <v>0.0</v>
      </c>
      <c r="AM302" s="43">
        <v>9.0</v>
      </c>
      <c r="AN302" s="43">
        <v>9.0</v>
      </c>
      <c r="AO302" s="43">
        <v>9.0</v>
      </c>
      <c r="AP302" s="43">
        <v>3.0</v>
      </c>
      <c r="AQ302" s="43">
        <v>3.0</v>
      </c>
      <c r="AR302" s="43">
        <v>6.0</v>
      </c>
      <c r="AS302" s="43">
        <v>4.0</v>
      </c>
      <c r="AT302" s="4">
        <f t="shared" si="4"/>
        <v>58.0</v>
      </c>
      <c r="AU302" s="4">
        <f t="shared" si="5"/>
        <v>24.0</v>
      </c>
      <c r="AV302" s="4">
        <f t="shared" si="6"/>
        <v>26.4</v>
      </c>
      <c r="AW302" s="1">
        <f t="shared" si="994"/>
        <v>2.97142857142857</v>
      </c>
      <c r="AX302" s="1">
        <f t="shared" si="995"/>
        <v>3.71428571428571</v>
      </c>
      <c r="AY302" s="1">
        <f t="shared" si="996"/>
        <v>4.0</v>
      </c>
      <c r="AZ302" s="1">
        <f t="shared" si="997"/>
        <v>5.54285714285714</v>
      </c>
      <c r="BA302" s="1">
        <f t="shared" si="998"/>
        <v>2.62857142857142</v>
      </c>
      <c r="BB302" s="1">
        <f t="shared" si="999"/>
        <v>5.14285714285714</v>
      </c>
      <c r="BC302" s="4">
        <f t="shared" si="728"/>
        <v>24.0</v>
      </c>
      <c r="BD302" s="3">
        <f>VLOOKUP(D302,FEB23SOH,2,false)</f>
        <v>347.0</v>
      </c>
      <c r="BE302" s="44">
        <f>VLOOKUP(D302,UNITVALUE,4,false)</f>
        <v>2.4945</v>
      </c>
      <c r="BF302" s="44">
        <f t="shared" si="941"/>
        <v>865.5915</v>
      </c>
      <c r="BI302" s="6">
        <f t="shared" si="1001"/>
        <v>323.0</v>
      </c>
      <c r="BM302" s="1">
        <f t="shared" si="1002"/>
        <v>347.0</v>
      </c>
      <c r="BN302" s="1">
        <f t="shared" si="1003"/>
        <v>2.97142857142857</v>
      </c>
      <c r="BP302" s="45">
        <f t="shared" si="1004"/>
        <v>344.028571428571</v>
      </c>
      <c r="BQ302" s="5">
        <f t="shared" si="1005"/>
        <v>858.17927142857</v>
      </c>
      <c r="BR302" s="1">
        <f t="shared" si="1006"/>
        <v>3.71428571428571</v>
      </c>
      <c r="BS302" s="1">
        <f t="shared" si="1007"/>
      </c>
      <c r="BT302" s="45">
        <f t="shared" si="1008"/>
        <v>340.314285714285</v>
      </c>
      <c r="BU302" s="5">
        <f t="shared" si="1009"/>
        <v>848.913985714284</v>
      </c>
      <c r="BV302" s="1">
        <f t="shared" si="1010"/>
        <v>4.0</v>
      </c>
      <c r="BW302" s="1">
        <f t="shared" si="1011"/>
      </c>
      <c r="BX302" s="45">
        <f t="shared" si="1012"/>
        <v>336.314285714285</v>
      </c>
      <c r="BY302" s="5">
        <f t="shared" si="1013"/>
        <v>838.935985714283</v>
      </c>
      <c r="BZ302" s="1">
        <f t="shared" si="1014"/>
        <v>5.54285714285714</v>
      </c>
      <c r="CB302" s="45">
        <f t="shared" si="1015"/>
        <v>330.77142857142</v>
      </c>
      <c r="CC302" s="5">
        <f t="shared" si="1016"/>
        <v>825.109328571407</v>
      </c>
      <c r="CD302" s="1">
        <f t="shared" si="1017"/>
        <v>2.62857142857142</v>
      </c>
      <c r="CF302" s="45">
        <f t="shared" si="1018"/>
        <v>328.14285714284</v>
      </c>
      <c r="CG302" s="5">
        <f t="shared" si="1019"/>
        <v>818.552357142814</v>
      </c>
      <c r="CH302" s="1">
        <f t="shared" si="1020"/>
        <v>5.14285714285714</v>
      </c>
      <c r="CJ302" s="45">
        <f t="shared" si="1021"/>
        <v>322.999999999982</v>
      </c>
      <c r="CK302" s="5">
        <f t="shared" si="1022"/>
        <v>805.723499999955</v>
      </c>
    </row>
    <row r="303" ht="17.0">
      <c r="A303" s="41" t="s">
        <v>30</v>
      </c>
      <c r="B303" s="10" t="s">
        <v>647</v>
      </c>
      <c r="C303" s="41" t="s">
        <v>648</v>
      </c>
      <c r="D303" s="42" t="s">
        <v>649</v>
      </c>
      <c r="E303" s="41">
        <v>126.0</v>
      </c>
      <c r="F303" s="41">
        <v>132.0</v>
      </c>
      <c r="G303" s="41">
        <v>102.0</v>
      </c>
      <c r="H303" s="41">
        <v>24.0</v>
      </c>
      <c r="I303" s="41">
        <v>66.0</v>
      </c>
      <c r="J303" s="41">
        <v>108.0</v>
      </c>
      <c r="K303" s="41">
        <v>102.0</v>
      </c>
      <c r="L303" s="41">
        <v>72.0</v>
      </c>
      <c r="M303" s="41">
        <v>42.0</v>
      </c>
      <c r="N303" s="41">
        <v>54.0</v>
      </c>
      <c r="O303" s="41">
        <v>90.0</v>
      </c>
      <c r="P303" s="41">
        <v>42.0</v>
      </c>
      <c r="Q303" s="41">
        <v>26.0</v>
      </c>
      <c r="R303" s="41">
        <v>118.0</v>
      </c>
      <c r="S303" s="41">
        <v>54.0</v>
      </c>
      <c r="T303" s="41">
        <v>24.0</v>
      </c>
      <c r="U303" s="41">
        <v>108.0</v>
      </c>
      <c r="V303" s="41">
        <v>177.0</v>
      </c>
      <c r="W303" s="41">
        <v>102.0</v>
      </c>
      <c r="X303" s="41">
        <v>52.0</v>
      </c>
      <c r="Y303" s="41">
        <v>0.0</v>
      </c>
      <c r="Z303" s="41">
        <v>0.0</v>
      </c>
      <c r="AA303" s="41">
        <v>0.0</v>
      </c>
      <c r="AB303" s="41">
        <v>0.0</v>
      </c>
      <c r="AC303" s="41">
        <v>84.0</v>
      </c>
      <c r="AD303" s="41">
        <v>12.0</v>
      </c>
      <c r="AE303" s="41">
        <v>42.0</v>
      </c>
      <c r="AF303" s="41">
        <v>24.0</v>
      </c>
      <c r="AG303" s="41">
        <v>60.0</v>
      </c>
      <c r="AH303" s="41">
        <v>66.0</v>
      </c>
      <c r="AI303" s="41">
        <v>24.0</v>
      </c>
      <c r="AJ303" s="41">
        <v>30.0</v>
      </c>
      <c r="AK303" s="41">
        <v>54.0</v>
      </c>
      <c r="AL303" s="41">
        <v>36.0</v>
      </c>
      <c r="AM303" s="43">
        <v>126.0</v>
      </c>
      <c r="AN303" s="43">
        <v>18.0</v>
      </c>
      <c r="AO303" s="43">
        <v>36.0</v>
      </c>
      <c r="AP303" s="43">
        <v>24.0</v>
      </c>
      <c r="AQ303" s="43">
        <v>24.0</v>
      </c>
      <c r="AR303" s="43">
        <v>0.0</v>
      </c>
      <c r="AS303" s="43">
        <v>22.0</v>
      </c>
      <c r="AT303" s="4">
        <f t="shared" si="4"/>
        <v>460.0</v>
      </c>
      <c r="AU303" s="4">
        <f t="shared" si="5"/>
        <v>336.0</v>
      </c>
      <c r="AV303" s="4">
        <f t="shared" si="6"/>
        <v>369.6</v>
      </c>
      <c r="AW303" s="1">
        <f t="shared" si="994"/>
        <v>41.6</v>
      </c>
      <c r="AX303" s="1">
        <f t="shared" si="995"/>
        <v>52.0</v>
      </c>
      <c r="AY303" s="1">
        <f t="shared" si="996"/>
        <v>56.0</v>
      </c>
      <c r="AZ303" s="1">
        <f t="shared" si="997"/>
        <v>77.6</v>
      </c>
      <c r="BA303" s="1">
        <f t="shared" si="998"/>
        <v>36.8</v>
      </c>
      <c r="BB303" s="1">
        <f t="shared" si="999"/>
        <v>72.0</v>
      </c>
      <c r="BC303" s="4">
        <f t="shared" si="728"/>
        <v>336.0</v>
      </c>
      <c r="BD303" s="3">
        <f>VLOOKUP(D303,FEB23SOH,2,false)</f>
        <v>210.0</v>
      </c>
      <c r="BE303" s="44">
        <f>VLOOKUP(D303,UNITVALUE,4,false)</f>
        <v>1.5868</v>
      </c>
      <c r="BF303" s="44">
        <f t="shared" si="941"/>
        <v>333.228</v>
      </c>
      <c r="BI303" s="6">
        <f t="shared" si="1001"/>
        <v>-126.0</v>
      </c>
      <c r="BJ303" s="1">
        <f>VLOOKUP(C303,MOQ,3,FALSE())</f>
        <v>1002.0</v>
      </c>
      <c r="BK303" s="53" t="s">
        <v>0</v>
      </c>
      <c r="BL303" s="8" t="s">
        <v>8</v>
      </c>
      <c r="BM303" s="1">
        <f t="shared" si="1002"/>
        <v>210.0</v>
      </c>
      <c r="BN303" s="1">
        <f t="shared" si="1003"/>
        <v>41.6</v>
      </c>
      <c r="BP303" s="45">
        <f t="shared" si="1004"/>
        <v>168.4</v>
      </c>
      <c r="BQ303" s="5">
        <f t="shared" si="1005"/>
        <v>267.21712</v>
      </c>
      <c r="BR303" s="1">
        <f t="shared" si="1006"/>
        <v>52.0</v>
      </c>
      <c r="BS303" s="1">
        <f t="shared" si="1007"/>
      </c>
      <c r="BT303" s="45">
        <f t="shared" si="1008"/>
        <v>116.4</v>
      </c>
      <c r="BU303" s="5">
        <f t="shared" si="1009"/>
        <v>184.70352</v>
      </c>
      <c r="BV303" s="1">
        <f t="shared" si="1010"/>
        <v>56.0</v>
      </c>
      <c r="BW303" s="1">
        <f t="shared" si="1011"/>
      </c>
      <c r="BX303" s="45">
        <f t="shared" si="1012"/>
        <v>60.4</v>
      </c>
      <c r="BY303" s="5">
        <f t="shared" si="1013"/>
        <v>95.84272</v>
      </c>
      <c r="BZ303" s="1">
        <f t="shared" si="1014"/>
        <v>77.6</v>
      </c>
      <c r="CB303" s="45">
        <f t="shared" si="1015"/>
        <v>-17.1999999999998</v>
      </c>
      <c r="CC303" s="5">
        <f t="shared" si="1016"/>
        <v>-27.2929599999995</v>
      </c>
      <c r="CD303" s="1">
        <f t="shared" si="1017"/>
        <v>36.8</v>
      </c>
      <c r="CF303" s="45">
        <f t="shared" si="1018"/>
        <v>-53.9999999999998</v>
      </c>
      <c r="CG303" s="5">
        <f t="shared" si="1019"/>
        <v>-85.6871999999995</v>
      </c>
      <c r="CH303" s="1">
        <f t="shared" si="1020"/>
        <v>72.0</v>
      </c>
      <c r="CJ303" s="45">
        <f t="shared" si="1021"/>
        <v>-125.9999999998</v>
      </c>
      <c r="CK303" s="5">
        <f t="shared" si="1022"/>
        <v>-199.936799999682</v>
      </c>
    </row>
    <row r="304" ht="17.0">
      <c r="A304" s="41" t="s">
        <v>30</v>
      </c>
      <c r="B304" s="10" t="s">
        <v>647</v>
      </c>
      <c r="C304" s="41" t="s">
        <v>650</v>
      </c>
      <c r="D304" s="55" t="s">
        <v>651</v>
      </c>
      <c r="E304" s="41">
        <v>0.0</v>
      </c>
      <c r="F304" s="41">
        <v>6.0</v>
      </c>
      <c r="G304" s="41">
        <v>12.0</v>
      </c>
      <c r="H304" s="41">
        <v>6.0</v>
      </c>
      <c r="I304" s="41">
        <v>12.0</v>
      </c>
      <c r="J304" s="41">
        <v>66.0</v>
      </c>
      <c r="K304" s="41">
        <v>48.0</v>
      </c>
      <c r="L304" s="41">
        <v>24.0</v>
      </c>
      <c r="M304" s="41">
        <v>6.0</v>
      </c>
      <c r="N304" s="41">
        <v>18.0</v>
      </c>
      <c r="O304" s="41">
        <v>12.0</v>
      </c>
      <c r="P304" s="41">
        <v>12.0</v>
      </c>
      <c r="Q304" s="41">
        <v>16.0</v>
      </c>
      <c r="R304" s="41">
        <v>32.0</v>
      </c>
      <c r="S304" s="41">
        <v>7.0</v>
      </c>
      <c r="T304" s="41">
        <v>6.0</v>
      </c>
      <c r="U304" s="41">
        <v>48.0</v>
      </c>
      <c r="V304" s="41">
        <v>48.0</v>
      </c>
      <c r="W304" s="41">
        <v>6.0</v>
      </c>
      <c r="X304" s="41">
        <v>25.0</v>
      </c>
      <c r="Y304" s="41">
        <v>8.0</v>
      </c>
      <c r="Z304" s="41">
        <v>18.0</v>
      </c>
      <c r="AA304" s="41">
        <v>24.0</v>
      </c>
      <c r="AB304" s="41">
        <v>6.0</v>
      </c>
      <c r="AC304" s="41">
        <v>84.0</v>
      </c>
      <c r="AD304" s="41">
        <v>12.0</v>
      </c>
      <c r="AE304" s="41">
        <v>12.0</v>
      </c>
      <c r="AF304" s="41">
        <v>7.0</v>
      </c>
      <c r="AG304" s="41">
        <v>12.0</v>
      </c>
      <c r="AH304" s="41">
        <v>18.0</v>
      </c>
      <c r="AI304" s="41">
        <v>6.0</v>
      </c>
      <c r="AJ304" s="41">
        <v>30.0</v>
      </c>
      <c r="AK304" s="41">
        <v>12.0</v>
      </c>
      <c r="AL304" s="41">
        <v>24.0</v>
      </c>
      <c r="AM304" s="43">
        <v>114.0</v>
      </c>
      <c r="AN304" s="43">
        <v>18.0</v>
      </c>
      <c r="AO304" s="43">
        <v>12.0</v>
      </c>
      <c r="AP304" s="43">
        <v>6.0</v>
      </c>
      <c r="AQ304" s="43">
        <v>0.0</v>
      </c>
      <c r="AR304" s="43">
        <v>0.0</v>
      </c>
      <c r="AS304" s="43">
        <v>7.0</v>
      </c>
      <c r="AT304" s="4">
        <f t="shared" si="4"/>
        <v>247.0</v>
      </c>
      <c r="AU304" s="4">
        <f t="shared" si="5"/>
        <v>204.0</v>
      </c>
      <c r="AV304" s="4">
        <f t="shared" si="6"/>
        <v>224.4</v>
      </c>
      <c r="AW304" s="1">
        <f t="shared" ref="AW304:AW305" si="1024">AV304*$AW$4/$AV$4+6*$AW$319</f>
        <v>27.4857142857143</v>
      </c>
      <c r="AX304" s="1">
        <f t="shared" ref="AX304:AX305" si="1025">AV304*$AX$4/$AV$4+6*$AX$319</f>
        <v>34.3571428571432</v>
      </c>
      <c r="AY304" s="1">
        <f t="shared" ref="AY304:AY305" si="1026">AV304*$AY$4/$AV$4+6*$AY$319</f>
        <v>37.0</v>
      </c>
      <c r="AZ304" s="1">
        <f t="shared" ref="AZ304:AZ305" si="1027">AV304*$AZ$4/$AV$4+6*$AZ$319</f>
        <v>51.2714285714286</v>
      </c>
      <c r="BA304" s="1">
        <f t="shared" ref="BA304:BA305" si="1028">AV304*$BA$4/$AV$4+6*$BA$319</f>
        <v>24.3142857142857</v>
      </c>
      <c r="BB304" s="1">
        <f t="shared" ref="BB304:BB305" si="1029">AV304*$BB$4/$AV$4+6*$BB$319</f>
        <v>47.5714285714286</v>
      </c>
      <c r="BC304" s="4">
        <f t="shared" si="728"/>
        <v>222.0</v>
      </c>
      <c r="BD304" s="3">
        <f>VLOOKUP(D304,FEB23SOH,2,false)</f>
        <v>655.0</v>
      </c>
      <c r="BE304" s="44">
        <f>VLOOKUP(D304,UNITVALUE,4,false)</f>
        <v>1.5884</v>
      </c>
      <c r="BF304" s="44">
        <f t="shared" si="941"/>
        <v>1040.402</v>
      </c>
      <c r="BI304" s="6">
        <f t="shared" si="1001"/>
        <v>433.0</v>
      </c>
      <c r="BJ304" s="1">
        <f>VLOOKUP(C304,MOQ,3,FALSE())</f>
        <v>1002.0</v>
      </c>
      <c r="BK304" s="53" t="s">
        <v>0</v>
      </c>
      <c r="BM304" s="1">
        <f t="shared" si="1002"/>
        <v>655.0</v>
      </c>
      <c r="BN304" s="1">
        <f t="shared" si="1003"/>
        <v>27.4857142857143</v>
      </c>
      <c r="BP304" s="45">
        <f t="shared" si="1004"/>
        <v>627.51428571429</v>
      </c>
      <c r="BQ304" s="5">
        <f t="shared" si="1005"/>
        <v>996.743691428578</v>
      </c>
      <c r="BR304" s="1">
        <f t="shared" si="1006"/>
        <v>34.3571428571432</v>
      </c>
      <c r="BS304" s="1">
        <f t="shared" si="1007"/>
      </c>
      <c r="BT304" s="45">
        <f t="shared" si="1008"/>
        <v>593.157142857147</v>
      </c>
      <c r="BU304" s="5">
        <f t="shared" si="1009"/>
        <v>942.170805714292</v>
      </c>
      <c r="BV304" s="1">
        <f t="shared" si="1010"/>
        <v>37.0</v>
      </c>
      <c r="BW304" s="1">
        <f t="shared" si="1011"/>
      </c>
      <c r="BX304" s="45">
        <f t="shared" si="1012"/>
        <v>556.157142857147</v>
      </c>
      <c r="BY304" s="5">
        <f t="shared" si="1013"/>
        <v>883.400005714292</v>
      </c>
      <c r="BZ304" s="1">
        <f t="shared" si="1014"/>
        <v>51.2714285714286</v>
      </c>
      <c r="CB304" s="45">
        <f t="shared" si="1015"/>
        <v>504.885714285718</v>
      </c>
      <c r="CC304" s="5">
        <f t="shared" si="1016"/>
        <v>801.960468571434</v>
      </c>
      <c r="CD304" s="1">
        <f t="shared" si="1017"/>
        <v>24.3142857142857</v>
      </c>
      <c r="CF304" s="45">
        <f t="shared" si="1018"/>
        <v>480.571428571432</v>
      </c>
      <c r="CG304" s="5">
        <f t="shared" si="1019"/>
        <v>763.339657142862</v>
      </c>
      <c r="CH304" s="1">
        <f t="shared" si="1020"/>
        <v>47.5714285714286</v>
      </c>
      <c r="CJ304" s="45">
        <f t="shared" si="1021"/>
        <v>433.000000000003</v>
      </c>
      <c r="CK304" s="5">
        <f t="shared" si="1022"/>
        <v>687.777200000004</v>
      </c>
    </row>
    <row r="305" ht="17.0">
      <c r="A305" s="41" t="s">
        <v>30</v>
      </c>
      <c r="B305" s="10" t="s">
        <v>647</v>
      </c>
      <c r="C305" s="41" t="s">
        <v>652</v>
      </c>
      <c r="D305" s="55" t="s">
        <v>653</v>
      </c>
      <c r="E305" s="41">
        <v>0.0</v>
      </c>
      <c r="F305" s="41">
        <v>0.0</v>
      </c>
      <c r="G305" s="41">
        <v>18.0</v>
      </c>
      <c r="H305" s="41">
        <v>6.0</v>
      </c>
      <c r="I305" s="41">
        <v>36.0</v>
      </c>
      <c r="J305" s="41">
        <v>42.0</v>
      </c>
      <c r="K305" s="41">
        <v>18.0</v>
      </c>
      <c r="L305" s="41">
        <v>18.0</v>
      </c>
      <c r="M305" s="41">
        <v>30.0</v>
      </c>
      <c r="N305" s="41">
        <v>18.0</v>
      </c>
      <c r="O305" s="41">
        <v>18.0</v>
      </c>
      <c r="P305" s="41">
        <v>18.0</v>
      </c>
      <c r="Q305" s="41">
        <v>14.0</v>
      </c>
      <c r="R305" s="41">
        <v>6.0</v>
      </c>
      <c r="S305" s="41">
        <v>16.0</v>
      </c>
      <c r="T305" s="41">
        <v>6.0</v>
      </c>
      <c r="U305" s="41">
        <v>54.0</v>
      </c>
      <c r="V305" s="41">
        <v>54.0</v>
      </c>
      <c r="W305" s="41">
        <v>32.0</v>
      </c>
      <c r="X305" s="41">
        <v>46.0</v>
      </c>
      <c r="Y305" s="41">
        <v>18.0</v>
      </c>
      <c r="Z305" s="41">
        <v>24.0</v>
      </c>
      <c r="AA305" s="41">
        <v>24.0</v>
      </c>
      <c r="AB305" s="41">
        <v>42.0</v>
      </c>
      <c r="AC305" s="41">
        <v>72.0</v>
      </c>
      <c r="AD305" s="41">
        <v>18.0</v>
      </c>
      <c r="AE305" s="41">
        <v>6.0</v>
      </c>
      <c r="AF305" s="41">
        <v>6.0</v>
      </c>
      <c r="AG305" s="41">
        <v>6.0</v>
      </c>
      <c r="AH305" s="41">
        <v>18.0</v>
      </c>
      <c r="AI305" s="41">
        <v>24.0</v>
      </c>
      <c r="AJ305" s="41">
        <v>30.0</v>
      </c>
      <c r="AK305" s="41">
        <v>24.0</v>
      </c>
      <c r="AL305" s="41">
        <v>18.0</v>
      </c>
      <c r="AM305" s="43">
        <v>6.0</v>
      </c>
      <c r="AN305" s="43">
        <v>12.0</v>
      </c>
      <c r="AO305" s="43">
        <v>0.0</v>
      </c>
      <c r="AP305" s="43">
        <v>0.0</v>
      </c>
      <c r="AQ305" s="43">
        <v>0.0</v>
      </c>
      <c r="AR305" s="43">
        <v>0.0</v>
      </c>
      <c r="AS305" s="43">
        <v>15.0</v>
      </c>
      <c r="AT305" s="4">
        <f t="shared" si="4"/>
        <v>147.0</v>
      </c>
      <c r="AU305" s="4">
        <f t="shared" si="5"/>
        <v>120.0</v>
      </c>
      <c r="AV305" s="4">
        <f t="shared" si="6"/>
        <v>132.0</v>
      </c>
      <c r="AW305" s="1">
        <f t="shared" si="1024"/>
        <v>17.0857142857143</v>
      </c>
      <c r="AX305" s="1">
        <f t="shared" si="1025"/>
        <v>21.3571428571432</v>
      </c>
      <c r="AY305" s="1">
        <f t="shared" si="1026"/>
        <v>23.0</v>
      </c>
      <c r="AZ305" s="1">
        <f t="shared" si="1027"/>
        <v>31.8714285714286</v>
      </c>
      <c r="BA305" s="1">
        <f t="shared" si="1028"/>
        <v>15.1142857142857</v>
      </c>
      <c r="BB305" s="1">
        <f t="shared" si="1029"/>
        <v>29.571428571429</v>
      </c>
      <c r="BC305" s="4">
        <f t="shared" si="728"/>
        <v>138.0</v>
      </c>
      <c r="BD305" s="3">
        <f>VLOOKUP(D305,FEB23SOH,2,false)</f>
        <v>684.0</v>
      </c>
      <c r="BE305" s="44">
        <f>VLOOKUP(D305,UNITVALUE,4,false)</f>
        <v>1.5883</v>
      </c>
      <c r="BF305" s="44">
        <f t="shared" si="941"/>
        <v>1086.3972</v>
      </c>
      <c r="BI305" s="6">
        <f t="shared" si="1001"/>
        <v>546.0</v>
      </c>
      <c r="BJ305" s="1">
        <f>VLOOKUP(C305,MOQ,3,FALSE())</f>
        <v>1002.0</v>
      </c>
      <c r="BK305" s="53" t="s">
        <v>0</v>
      </c>
      <c r="BM305" s="1">
        <f t="shared" si="1002"/>
        <v>684.0</v>
      </c>
      <c r="BN305" s="1">
        <f t="shared" si="1003"/>
        <v>17.0857142857143</v>
      </c>
      <c r="BP305" s="45">
        <f t="shared" si="1004"/>
        <v>666.914285714286</v>
      </c>
      <c r="BQ305" s="5">
        <f t="shared" si="1005"/>
        <v>1059.25996</v>
      </c>
      <c r="BR305" s="1">
        <f t="shared" si="1006"/>
        <v>21.3571428571432</v>
      </c>
      <c r="BS305" s="1">
        <f t="shared" si="1007"/>
      </c>
      <c r="BT305" s="45">
        <f t="shared" si="1008"/>
        <v>645.557142857142</v>
      </c>
      <c r="BU305" s="5">
        <f t="shared" si="1009"/>
        <v>1025.33841</v>
      </c>
      <c r="BV305" s="1">
        <f t="shared" si="1010"/>
        <v>23.0</v>
      </c>
      <c r="BW305" s="1">
        <f t="shared" si="1011"/>
      </c>
      <c r="BX305" s="45">
        <f t="shared" si="1012"/>
        <v>622.557142857142</v>
      </c>
      <c r="BY305" s="5">
        <f t="shared" si="1013"/>
        <v>988.80751</v>
      </c>
      <c r="BZ305" s="1">
        <f t="shared" si="1014"/>
        <v>31.8714285714286</v>
      </c>
      <c r="CB305" s="45">
        <f t="shared" si="1015"/>
        <v>590.685714285713</v>
      </c>
      <c r="CC305" s="5">
        <f t="shared" si="1016"/>
        <v>938.186119999998</v>
      </c>
      <c r="CD305" s="1">
        <f t="shared" si="1017"/>
        <v>15.1142857142857</v>
      </c>
      <c r="CF305" s="45">
        <f t="shared" si="1018"/>
        <v>575.571428571427</v>
      </c>
      <c r="CG305" s="5">
        <f t="shared" si="1019"/>
        <v>914.180099999997</v>
      </c>
      <c r="CH305" s="1">
        <f t="shared" si="1020"/>
        <v>29.571428571429</v>
      </c>
      <c r="CJ305" s="45">
        <f t="shared" si="1021"/>
        <v>545.999999999998</v>
      </c>
      <c r="CK305" s="5">
        <f t="shared" si="1022"/>
        <v>867.211799999997</v>
      </c>
    </row>
    <row r="306" ht="17.0">
      <c r="A306" s="41" t="s">
        <v>30</v>
      </c>
      <c r="B306" s="10" t="s">
        <v>647</v>
      </c>
      <c r="C306" s="41" t="s">
        <v>654</v>
      </c>
      <c r="D306" s="42" t="s">
        <v>655</v>
      </c>
      <c r="E306" s="41">
        <v>90.0</v>
      </c>
      <c r="F306" s="41">
        <v>72.0</v>
      </c>
      <c r="G306" s="41">
        <v>29.0</v>
      </c>
      <c r="H306" s="41">
        <v>24.0</v>
      </c>
      <c r="I306" s="41">
        <v>72.0</v>
      </c>
      <c r="J306" s="41">
        <v>102.0</v>
      </c>
      <c r="K306" s="41">
        <v>84.0</v>
      </c>
      <c r="L306" s="41">
        <v>102.0</v>
      </c>
      <c r="M306" s="41">
        <v>24.0</v>
      </c>
      <c r="N306" s="41">
        <v>30.0</v>
      </c>
      <c r="O306" s="41">
        <v>42.0</v>
      </c>
      <c r="P306" s="41">
        <v>42.0</v>
      </c>
      <c r="Q306" s="41">
        <v>33.0</v>
      </c>
      <c r="R306" s="41">
        <v>62.0</v>
      </c>
      <c r="S306" s="41">
        <v>37.0</v>
      </c>
      <c r="T306" s="41">
        <v>12.0</v>
      </c>
      <c r="U306" s="41">
        <v>96.0</v>
      </c>
      <c r="V306" s="41">
        <v>132.0</v>
      </c>
      <c r="W306" s="41">
        <v>51.0</v>
      </c>
      <c r="X306" s="41">
        <v>57.0</v>
      </c>
      <c r="Y306" s="41">
        <v>25.0</v>
      </c>
      <c r="Z306" s="41">
        <v>24.0</v>
      </c>
      <c r="AA306" s="41">
        <v>12.0</v>
      </c>
      <c r="AB306" s="41">
        <v>0.0</v>
      </c>
      <c r="AC306" s="41">
        <v>84.0</v>
      </c>
      <c r="AD306" s="41">
        <v>0.0</v>
      </c>
      <c r="AE306" s="41">
        <v>24.0</v>
      </c>
      <c r="AF306" s="41">
        <v>13.0</v>
      </c>
      <c r="AG306" s="41">
        <v>30.0</v>
      </c>
      <c r="AH306" s="41">
        <v>48.0</v>
      </c>
      <c r="AI306" s="41">
        <v>30.0</v>
      </c>
      <c r="AJ306" s="41">
        <v>42.0</v>
      </c>
      <c r="AK306" s="41">
        <v>36.0</v>
      </c>
      <c r="AL306" s="41">
        <v>24.0</v>
      </c>
      <c r="AM306" s="43">
        <v>138.0</v>
      </c>
      <c r="AN306" s="43">
        <v>24.0</v>
      </c>
      <c r="AO306" s="43">
        <v>0.0</v>
      </c>
      <c r="AP306" s="43">
        <v>12.0</v>
      </c>
      <c r="AQ306" s="43">
        <v>19.0</v>
      </c>
      <c r="AR306" s="43">
        <v>0.0</v>
      </c>
      <c r="AS306" s="43">
        <v>15.0</v>
      </c>
      <c r="AT306" s="4">
        <f t="shared" si="4"/>
        <v>388.0</v>
      </c>
      <c r="AU306" s="4">
        <f t="shared" si="5"/>
        <v>318.0</v>
      </c>
      <c r="AV306" s="4">
        <f t="shared" si="6"/>
        <v>349.8</v>
      </c>
      <c r="AW306" s="1">
        <f>AV306*$AW$4/$AV$4</f>
        <v>39.3714285714286</v>
      </c>
      <c r="AX306" s="1">
        <f>AV306*$AX$4/$AV$4</f>
        <v>49.2142857142857</v>
      </c>
      <c r="AY306" s="1">
        <f>AV306*$AY$4/$AV$4</f>
        <v>53.0</v>
      </c>
      <c r="AZ306" s="1">
        <f>AV306*$AZ$4/$AV$4</f>
        <v>73.4428571428571</v>
      </c>
      <c r="BA306" s="1">
        <f>AV306*$BA$4/$AV$4</f>
        <v>34.8285714285714</v>
      </c>
      <c r="BB306" s="1">
        <f>AV306*$BB$4/$AV$4</f>
        <v>68.1428571428571</v>
      </c>
      <c r="BC306" s="4">
        <f t="shared" si="728"/>
        <v>318.0</v>
      </c>
      <c r="BD306" s="3">
        <f>VLOOKUP(D306,FEB23SOH,2,false)</f>
        <v>360.0</v>
      </c>
      <c r="BE306" s="44">
        <f>VLOOKUP(D306,UNITVALUE,4,false)</f>
        <v>1.5884</v>
      </c>
      <c r="BF306" s="44">
        <f t="shared" si="941"/>
        <v>571.824</v>
      </c>
      <c r="BI306" s="6">
        <f t="shared" si="1001"/>
        <v>42.0</v>
      </c>
      <c r="BJ306" s="1">
        <f>VLOOKUP(C306,MOQ,3,FALSE())</f>
        <v>1002.0</v>
      </c>
      <c r="BK306" s="53" t="s">
        <v>0</v>
      </c>
      <c r="BM306" s="1">
        <f t="shared" si="1002"/>
        <v>360.0</v>
      </c>
      <c r="BN306" s="1">
        <f t="shared" si="1003"/>
        <v>39.3714285714286</v>
      </c>
      <c r="BP306" s="45">
        <f t="shared" si="1004"/>
        <v>320.628571428571</v>
      </c>
      <c r="BQ306" s="5">
        <f t="shared" si="1005"/>
        <v>509.286422857142</v>
      </c>
      <c r="BR306" s="1">
        <f t="shared" si="1006"/>
        <v>49.2142857142857</v>
      </c>
      <c r="BS306" s="1">
        <f t="shared" si="1007"/>
      </c>
      <c r="BT306" s="45">
        <f t="shared" si="1008"/>
        <v>271.414285714285</v>
      </c>
      <c r="BU306" s="5">
        <f t="shared" si="1009"/>
        <v>431.11445142857</v>
      </c>
      <c r="BV306" s="1">
        <f t="shared" si="1010"/>
        <v>53.0</v>
      </c>
      <c r="BW306" s="1">
        <f t="shared" si="1011"/>
      </c>
      <c r="BX306" s="45">
        <f t="shared" si="1012"/>
        <v>218.414285714284</v>
      </c>
      <c r="BY306" s="5">
        <f t="shared" si="1013"/>
        <v>346.92925142857</v>
      </c>
      <c r="BZ306" s="1">
        <f t="shared" si="1014"/>
        <v>73.4428571428571</v>
      </c>
      <c r="CB306" s="45">
        <f t="shared" si="1015"/>
        <v>144.971428571427</v>
      </c>
      <c r="CC306" s="5">
        <f t="shared" si="1016"/>
        <v>230.272617142854</v>
      </c>
      <c r="CD306" s="1">
        <f t="shared" si="1017"/>
        <v>34.8285714285714</v>
      </c>
      <c r="CF306" s="45">
        <f t="shared" si="1018"/>
        <v>110.1428571429</v>
      </c>
      <c r="CG306" s="5">
        <f t="shared" si="1019"/>
        <v>174.950914285782</v>
      </c>
      <c r="CH306" s="1">
        <f t="shared" si="1020"/>
        <v>68.1428571428571</v>
      </c>
      <c r="CJ306" s="45">
        <f t="shared" si="1021"/>
        <v>42.0000000000429</v>
      </c>
      <c r="CK306" s="5">
        <f t="shared" si="1022"/>
        <v>66.7128000000681</v>
      </c>
    </row>
    <row r="307" ht="17.0">
      <c r="A307" s="41" t="s">
        <v>30</v>
      </c>
      <c r="B307" s="10" t="s">
        <v>647</v>
      </c>
      <c r="C307" s="41" t="s">
        <v>656</v>
      </c>
      <c r="D307" s="55" t="s">
        <v>657</v>
      </c>
      <c r="E307" s="41">
        <v>0.0</v>
      </c>
      <c r="F307" s="41">
        <v>12.0</v>
      </c>
      <c r="G307" s="41">
        <v>12.0</v>
      </c>
      <c r="H307" s="41">
        <v>0.0</v>
      </c>
      <c r="I307" s="41">
        <v>18.0</v>
      </c>
      <c r="J307" s="41">
        <v>66.0</v>
      </c>
      <c r="K307" s="41">
        <v>24.0</v>
      </c>
      <c r="L307" s="41">
        <v>0.0</v>
      </c>
      <c r="M307" s="41">
        <v>12.0</v>
      </c>
      <c r="N307" s="41">
        <v>24.0</v>
      </c>
      <c r="O307" s="41">
        <v>12.0</v>
      </c>
      <c r="P307" s="41">
        <v>6.0</v>
      </c>
      <c r="Q307" s="41">
        <v>6.0</v>
      </c>
      <c r="R307" s="41">
        <v>30.0</v>
      </c>
      <c r="S307" s="41">
        <v>11.0</v>
      </c>
      <c r="T307" s="41">
        <v>12.0</v>
      </c>
      <c r="U307" s="41">
        <v>24.0</v>
      </c>
      <c r="V307" s="41">
        <v>24.0</v>
      </c>
      <c r="W307" s="41">
        <v>7.0</v>
      </c>
      <c r="X307" s="41">
        <v>29.0</v>
      </c>
      <c r="Y307" s="41">
        <v>14.0</v>
      </c>
      <c r="Z307" s="41">
        <v>10.0</v>
      </c>
      <c r="AA307" s="41">
        <v>18.0</v>
      </c>
      <c r="AB307" s="41">
        <v>0.0</v>
      </c>
      <c r="AC307" s="41">
        <v>84.0</v>
      </c>
      <c r="AD307" s="41">
        <v>12.0</v>
      </c>
      <c r="AE307" s="41">
        <v>0.0</v>
      </c>
      <c r="AF307" s="41">
        <v>6.0</v>
      </c>
      <c r="AG307" s="41">
        <v>6.0</v>
      </c>
      <c r="AH307" s="41">
        <v>0.0</v>
      </c>
      <c r="AI307" s="41">
        <v>6.0</v>
      </c>
      <c r="AJ307" s="41">
        <v>6.0</v>
      </c>
      <c r="AK307" s="41">
        <v>12.0</v>
      </c>
      <c r="AL307" s="41">
        <v>12.0</v>
      </c>
      <c r="AM307" s="43">
        <v>6.0</v>
      </c>
      <c r="AN307" s="43">
        <v>0.0</v>
      </c>
      <c r="AO307" s="43">
        <v>0.0</v>
      </c>
      <c r="AP307" s="43">
        <v>6.0</v>
      </c>
      <c r="AQ307" s="43">
        <v>0.0</v>
      </c>
      <c r="AR307" s="43">
        <v>0.0</v>
      </c>
      <c r="AS307" s="43">
        <v>15.0</v>
      </c>
      <c r="AT307" s="4">
        <f t="shared" si="4"/>
        <v>63.0</v>
      </c>
      <c r="AU307" s="4">
        <f t="shared" si="5"/>
        <v>42.0</v>
      </c>
      <c r="AV307" s="4">
        <f t="shared" si="6"/>
        <v>46.2</v>
      </c>
      <c r="AW307" s="1">
        <f t="shared" ref="AW307:AW317" si="1036">AV307*$AW$4/$AV$4+6*$AW$319</f>
        <v>7.42857142857142</v>
      </c>
      <c r="AX307" s="1">
        <f t="shared" ref="AX307:AX317" si="1037">AV307*$AX$4/$AV$4+6*$AX$319</f>
        <v>9.28571428571428</v>
      </c>
      <c r="AY307" s="1">
        <f t="shared" ref="AY307:AY317" si="1038">AV307*$AY$4/$AV$4+6*$AY$319</f>
        <v>10.0</v>
      </c>
      <c r="AZ307" s="1">
        <f t="shared" ref="AZ307:AZ317" si="1039">AV307*$AZ$4/$AV$4+6*$AZ$319</f>
        <v>13.8571428571429</v>
      </c>
      <c r="BA307" s="1">
        <f t="shared" ref="BA307:BA317" si="1040">AV307*$BA$4/$AV$4+6*$BA$319</f>
        <v>6.571428571429</v>
      </c>
      <c r="BB307" s="1">
        <f t="shared" ref="BB307:BB317" si="1041">AV307*$BB$4/$AV$4+6*$BB$319</f>
        <v>12.8571428571429</v>
      </c>
      <c r="BC307" s="4">
        <f t="shared" si="728"/>
        <v>60.0000000000005</v>
      </c>
      <c r="BD307" s="3">
        <f>VLOOKUP(D307,FEB23SOH,2,false)</f>
        <v>42.0</v>
      </c>
      <c r="BE307" s="44">
        <f>VLOOKUP(D307,UNITVALUE,4,false)</f>
        <v>1.7838</v>
      </c>
      <c r="BF307" s="44">
        <f t="shared" si="941"/>
        <v>74.9196</v>
      </c>
      <c r="BI307" s="6">
        <f t="shared" si="1001"/>
        <v>-18.0000000000004</v>
      </c>
      <c r="BJ307" s="1">
        <f>VLOOKUP(C307,MOQ,3,FALSE())</f>
        <v>1002.0</v>
      </c>
      <c r="BK307" s="53" t="s">
        <v>0</v>
      </c>
      <c r="BL307" s="8" t="s">
        <v>9</v>
      </c>
      <c r="BM307" s="1">
        <f t="shared" si="1002"/>
        <v>42.0</v>
      </c>
      <c r="BN307" s="1">
        <f t="shared" si="1003"/>
        <v>7.42857142857142</v>
      </c>
      <c r="BP307" s="45">
        <f t="shared" si="1004"/>
        <v>34.5714285714286</v>
      </c>
      <c r="BQ307" s="5">
        <f t="shared" si="1005"/>
        <v>61.6685142857143</v>
      </c>
      <c r="BR307" s="1">
        <f t="shared" si="1006"/>
        <v>9.28571428571428</v>
      </c>
      <c r="BS307" s="1">
        <f t="shared" si="1007"/>
      </c>
      <c r="BT307" s="45">
        <f t="shared" si="1008"/>
        <v>25.2857142857143</v>
      </c>
      <c r="BU307" s="5">
        <f t="shared" si="1009"/>
        <v>45.1046571428571</v>
      </c>
      <c r="BV307" s="1">
        <f t="shared" si="1010"/>
        <v>10.0</v>
      </c>
      <c r="BW307" s="1">
        <f t="shared" si="1011"/>
      </c>
      <c r="BX307" s="45">
        <f t="shared" si="1012"/>
        <v>15.2857142857142</v>
      </c>
      <c r="BY307" s="5">
        <f t="shared" si="1013"/>
        <v>27.266657142857</v>
      </c>
      <c r="BZ307" s="1">
        <f t="shared" si="1014"/>
        <v>13.8571428571429</v>
      </c>
      <c r="CB307" s="45">
        <f t="shared" si="1015"/>
        <v>1.4285714285713</v>
      </c>
      <c r="CC307" s="5">
        <f t="shared" si="1016"/>
        <v>2.5482857142854</v>
      </c>
      <c r="CD307" s="1">
        <f t="shared" si="1017"/>
        <v>6.571428571429</v>
      </c>
      <c r="CF307" s="45">
        <f t="shared" si="1018"/>
        <v>-5.1428571428577</v>
      </c>
      <c r="CG307" s="5">
        <f t="shared" si="1019"/>
        <v>-9.17382857142955</v>
      </c>
      <c r="CH307" s="1">
        <f t="shared" si="1020"/>
        <v>12.8571428571429</v>
      </c>
      <c r="CJ307" s="45">
        <f t="shared" si="1021"/>
        <v>-18.0000000000006</v>
      </c>
      <c r="CK307" s="5">
        <f t="shared" si="1022"/>
        <v>-32.108400000001</v>
      </c>
    </row>
    <row r="308" ht="17.0">
      <c r="A308" s="41" t="s">
        <v>30</v>
      </c>
      <c r="B308" s="10" t="s">
        <v>647</v>
      </c>
      <c r="C308" s="41" t="s">
        <v>658</v>
      </c>
      <c r="D308" s="55" t="s">
        <v>659</v>
      </c>
      <c r="E308" s="41">
        <v>48.0</v>
      </c>
      <c r="F308" s="41">
        <v>66.0</v>
      </c>
      <c r="G308" s="41">
        <v>30.0</v>
      </c>
      <c r="H308" s="41">
        <v>18.0</v>
      </c>
      <c r="I308" s="41">
        <v>18.0</v>
      </c>
      <c r="J308" s="41">
        <v>49.0</v>
      </c>
      <c r="K308" s="41">
        <v>18.0</v>
      </c>
      <c r="L308" s="41">
        <v>30.0</v>
      </c>
      <c r="M308" s="41">
        <v>12.0</v>
      </c>
      <c r="N308" s="41">
        <v>12.0</v>
      </c>
      <c r="O308" s="41">
        <v>12.0</v>
      </c>
      <c r="P308" s="41">
        <v>1.0</v>
      </c>
      <c r="Q308" s="41">
        <v>10.0</v>
      </c>
      <c r="R308" s="41">
        <v>35.0</v>
      </c>
      <c r="S308" s="41">
        <v>21.0</v>
      </c>
      <c r="T308" s="41">
        <v>0.0</v>
      </c>
      <c r="U308" s="41">
        <v>48.0</v>
      </c>
      <c r="V308" s="41">
        <v>44.0</v>
      </c>
      <c r="W308" s="41">
        <v>27.0</v>
      </c>
      <c r="X308" s="41">
        <v>13.0</v>
      </c>
      <c r="Y308" s="41">
        <v>6.0</v>
      </c>
      <c r="Z308" s="41">
        <v>12.0</v>
      </c>
      <c r="AA308" s="41">
        <v>12.0</v>
      </c>
      <c r="AB308" s="41">
        <v>12.0</v>
      </c>
      <c r="AC308" s="41">
        <v>108.0</v>
      </c>
      <c r="AD308" s="41">
        <v>24.0</v>
      </c>
      <c r="AE308" s="41">
        <v>0.0</v>
      </c>
      <c r="AF308" s="41">
        <v>6.0</v>
      </c>
      <c r="AG308" s="41">
        <v>6.0</v>
      </c>
      <c r="AH308" s="41">
        <v>0.0</v>
      </c>
      <c r="AI308" s="41">
        <v>12.0</v>
      </c>
      <c r="AJ308" s="41">
        <v>12.0</v>
      </c>
      <c r="AK308" s="41">
        <v>24.0</v>
      </c>
      <c r="AL308" s="41">
        <v>12.0</v>
      </c>
      <c r="AM308" s="43">
        <v>12.0</v>
      </c>
      <c r="AN308" s="43">
        <v>12.0</v>
      </c>
      <c r="AO308" s="43">
        <v>0.0</v>
      </c>
      <c r="AP308" s="43">
        <v>6.0</v>
      </c>
      <c r="AQ308" s="43">
        <v>12.0</v>
      </c>
      <c r="AR308" s="43">
        <v>0.0</v>
      </c>
      <c r="AS308" s="43">
        <v>15.0</v>
      </c>
      <c r="AT308" s="4">
        <f t="shared" si="4"/>
        <v>117.0</v>
      </c>
      <c r="AU308" s="4">
        <f t="shared" si="5"/>
        <v>72.0</v>
      </c>
      <c r="AV308" s="4">
        <f t="shared" si="6"/>
        <v>79.2</v>
      </c>
      <c r="AW308" s="1">
        <f t="shared" si="1036"/>
        <v>11.1428571428571</v>
      </c>
      <c r="AX308" s="1">
        <f t="shared" si="1037"/>
        <v>13.9285714285713</v>
      </c>
      <c r="AY308" s="1">
        <f t="shared" si="1038"/>
        <v>15.0</v>
      </c>
      <c r="AZ308" s="1">
        <f t="shared" si="1039"/>
        <v>20.7857142857142</v>
      </c>
      <c r="BA308" s="1">
        <f t="shared" si="1040"/>
        <v>9.85714285714286</v>
      </c>
      <c r="BB308" s="1">
        <f t="shared" si="1041"/>
        <v>19.2857142857142</v>
      </c>
      <c r="BC308" s="4">
        <f t="shared" si="728"/>
        <v>89.9999999999997</v>
      </c>
      <c r="BD308" s="3">
        <f>VLOOKUP(D308,FEB23SOH,2,false)</f>
        <v>52.0</v>
      </c>
      <c r="BE308" s="44">
        <f>VLOOKUP(D308,UNITVALUE,4,false)</f>
        <v>1.7902</v>
      </c>
      <c r="BF308" s="44">
        <f t="shared" si="941"/>
        <v>93.0904</v>
      </c>
      <c r="BI308" s="6">
        <f t="shared" si="1001"/>
        <v>-37.9999999999997</v>
      </c>
      <c r="BJ308" s="1">
        <f>VLOOKUP(C308,MOQ,3,FALSE())</f>
        <v>1002.0</v>
      </c>
      <c r="BK308" s="53" t="s">
        <v>0</v>
      </c>
      <c r="BL308" s="8" t="s">
        <v>8</v>
      </c>
      <c r="BM308" s="1">
        <f t="shared" si="1002"/>
        <v>52.0</v>
      </c>
      <c r="BN308" s="1">
        <f t="shared" si="1003"/>
        <v>11.1428571428571</v>
      </c>
      <c r="BP308" s="45">
        <f t="shared" si="1004"/>
        <v>40.8571428571429</v>
      </c>
      <c r="BQ308" s="5">
        <f t="shared" si="1005"/>
        <v>73.1424571428572</v>
      </c>
      <c r="BR308" s="1">
        <f t="shared" si="1006"/>
        <v>13.9285714285713</v>
      </c>
      <c r="BS308" s="1">
        <f t="shared" si="1007"/>
      </c>
      <c r="BT308" s="45">
        <f t="shared" si="1008"/>
        <v>26.9285714285716</v>
      </c>
      <c r="BU308" s="5">
        <f t="shared" si="1009"/>
        <v>48.2075285714289</v>
      </c>
      <c r="BV308" s="1">
        <f t="shared" si="1010"/>
        <v>15.0</v>
      </c>
      <c r="BW308" s="1">
        <f t="shared" si="1011"/>
      </c>
      <c r="BX308" s="45">
        <f t="shared" si="1012"/>
        <v>11.9285714285716</v>
      </c>
      <c r="BY308" s="5">
        <f t="shared" si="1013"/>
        <v>21.3545285714289</v>
      </c>
      <c r="BZ308" s="1">
        <f t="shared" si="1014"/>
        <v>20.7857142857142</v>
      </c>
      <c r="CB308" s="45">
        <f t="shared" si="1015"/>
        <v>-8.8571428571426</v>
      </c>
      <c r="CC308" s="5">
        <f t="shared" si="1016"/>
        <v>-15.8560571428565</v>
      </c>
      <c r="CD308" s="1">
        <f t="shared" si="1017"/>
        <v>9.85714285714286</v>
      </c>
      <c r="CF308" s="45">
        <f t="shared" si="1018"/>
        <v>-18.7142857142854</v>
      </c>
      <c r="CG308" s="5">
        <f t="shared" si="1019"/>
        <v>-33.5023142857137</v>
      </c>
      <c r="CH308" s="1">
        <f t="shared" si="1020"/>
        <v>19.2857142857142</v>
      </c>
      <c r="CJ308" s="45">
        <f t="shared" si="1021"/>
        <v>-37.9999999999996</v>
      </c>
      <c r="CK308" s="5">
        <f t="shared" si="1022"/>
        <v>-68.0275999999992</v>
      </c>
    </row>
    <row r="309" ht="17.0">
      <c r="A309" s="41" t="s">
        <v>30</v>
      </c>
      <c r="B309" s="41" t="s">
        <v>647</v>
      </c>
      <c r="C309" s="41" t="s">
        <v>660</v>
      </c>
      <c r="D309" s="55" t="s">
        <v>661</v>
      </c>
      <c r="E309" s="41">
        <v>54.0</v>
      </c>
      <c r="F309" s="41">
        <v>54.0</v>
      </c>
      <c r="G309" s="41">
        <v>6.0</v>
      </c>
      <c r="H309" s="41">
        <v>6.0</v>
      </c>
      <c r="I309" s="41">
        <v>24.0</v>
      </c>
      <c r="J309" s="41">
        <v>13.0</v>
      </c>
      <c r="K309" s="41">
        <v>36.0</v>
      </c>
      <c r="L309" s="41">
        <v>13.0</v>
      </c>
      <c r="M309" s="41">
        <v>12.0</v>
      </c>
      <c r="N309" s="41">
        <v>12.0</v>
      </c>
      <c r="O309" s="41">
        <v>13.0</v>
      </c>
      <c r="P309" s="41">
        <v>12.0</v>
      </c>
      <c r="Q309" s="41">
        <v>12.0</v>
      </c>
      <c r="R309" s="41">
        <v>18.0</v>
      </c>
      <c r="S309" s="41">
        <v>1.0</v>
      </c>
      <c r="T309" s="41">
        <v>0.0</v>
      </c>
      <c r="U309" s="41">
        <v>18.0</v>
      </c>
      <c r="V309" s="41">
        <v>12.0</v>
      </c>
      <c r="W309" s="41">
        <v>6.0</v>
      </c>
      <c r="X309" s="41">
        <v>0.0</v>
      </c>
      <c r="Y309" s="41">
        <v>12.0</v>
      </c>
      <c r="Z309" s="41">
        <v>6.0</v>
      </c>
      <c r="AA309" s="41">
        <v>12.0</v>
      </c>
      <c r="AB309" s="41">
        <v>30.0</v>
      </c>
      <c r="AC309" s="41">
        <v>12.0</v>
      </c>
      <c r="AD309" s="41">
        <v>12.0</v>
      </c>
      <c r="AE309" s="41">
        <v>6.0</v>
      </c>
      <c r="AF309" s="41">
        <v>13.0</v>
      </c>
      <c r="AG309" s="41">
        <v>0.0</v>
      </c>
      <c r="AH309" s="41">
        <v>0.0</v>
      </c>
      <c r="AI309" s="41">
        <v>6.0</v>
      </c>
      <c r="AJ309" s="41">
        <v>0.0</v>
      </c>
      <c r="AK309" s="41">
        <v>0.0</v>
      </c>
      <c r="AL309" s="41">
        <v>6.0</v>
      </c>
      <c r="AM309" s="43">
        <v>0.0</v>
      </c>
      <c r="AN309" s="43">
        <v>6.0</v>
      </c>
      <c r="AO309" s="43">
        <v>7.0</v>
      </c>
      <c r="AP309" s="43">
        <v>12.0</v>
      </c>
      <c r="AQ309" s="43">
        <v>6.0</v>
      </c>
      <c r="AR309" s="43">
        <v>0.0</v>
      </c>
      <c r="AS309" s="43">
        <v>15.0</v>
      </c>
      <c r="AT309" s="4">
        <f t="shared" si="4"/>
        <v>58.0</v>
      </c>
      <c r="AU309" s="4">
        <f t="shared" si="5"/>
        <v>12.0</v>
      </c>
      <c r="AV309" s="4">
        <f t="shared" si="6"/>
        <v>13.2</v>
      </c>
      <c r="AW309" s="1">
        <f t="shared" si="1036"/>
        <v>3.71428571428571</v>
      </c>
      <c r="AX309" s="1">
        <f t="shared" si="1037"/>
        <v>4.64285714285714</v>
      </c>
      <c r="AY309" s="1">
        <f t="shared" si="1038"/>
        <v>5.0</v>
      </c>
      <c r="AZ309" s="1">
        <f t="shared" si="1039"/>
        <v>6.92857142857142</v>
      </c>
      <c r="BA309" s="1">
        <f t="shared" si="1040"/>
        <v>3.28571428571428</v>
      </c>
      <c r="BB309" s="1">
        <f t="shared" si="1041"/>
        <v>6.42857142857142</v>
      </c>
      <c r="BC309" s="4">
        <f t="shared" si="728"/>
        <v>30.0</v>
      </c>
      <c r="BD309" s="3">
        <f>VLOOKUP(D309,FEB23SOH,2,false)</f>
        <v>957.0</v>
      </c>
      <c r="BE309" s="44">
        <f>VLOOKUP(D309,UNITVALUE,4,false)</f>
        <v>2.0036</v>
      </c>
      <c r="BF309" s="44">
        <f t="shared" si="941"/>
        <v>1917.4452</v>
      </c>
      <c r="BI309" s="6">
        <f t="shared" si="1001"/>
        <v>927.0</v>
      </c>
      <c r="BJ309" s="1">
        <f>VLOOKUP(C309,MOQ,3,FALSE())</f>
        <v>1002.0</v>
      </c>
      <c r="BM309" s="1">
        <f t="shared" si="1002"/>
        <v>957.0</v>
      </c>
      <c r="BN309" s="1">
        <f t="shared" si="1003"/>
        <v>3.71428571428571</v>
      </c>
      <c r="BP309" s="45">
        <f t="shared" si="1004"/>
        <v>953.285714285714</v>
      </c>
      <c r="BQ309" s="5">
        <f t="shared" si="1005"/>
        <v>1910.00325714286</v>
      </c>
      <c r="BR309" s="1">
        <f t="shared" si="1006"/>
        <v>4.64285714285714</v>
      </c>
      <c r="BS309" s="1">
        <f t="shared" si="1007"/>
      </c>
      <c r="BT309" s="45">
        <f t="shared" si="1008"/>
        <v>948.642857142857</v>
      </c>
      <c r="BU309" s="5">
        <f t="shared" si="1009"/>
        <v>1900.70082857142</v>
      </c>
      <c r="BV309" s="1">
        <f t="shared" si="1010"/>
        <v>5.0</v>
      </c>
      <c r="BW309" s="1">
        <f t="shared" si="1011"/>
      </c>
      <c r="BX309" s="45">
        <f t="shared" si="1012"/>
        <v>943.642857142857</v>
      </c>
      <c r="BY309" s="5">
        <f t="shared" si="1013"/>
        <v>1890.68282857142</v>
      </c>
      <c r="BZ309" s="1">
        <f t="shared" si="1014"/>
        <v>6.92857142857142</v>
      </c>
      <c r="CB309" s="45">
        <f t="shared" si="1015"/>
        <v>936.714285714286</v>
      </c>
      <c r="CC309" s="5">
        <f t="shared" si="1016"/>
        <v>1876.80074285714</v>
      </c>
      <c r="CD309" s="1">
        <f t="shared" si="1017"/>
        <v>3.28571428571428</v>
      </c>
      <c r="CF309" s="45">
        <f t="shared" si="1018"/>
        <v>933.428571428571</v>
      </c>
      <c r="CG309" s="5">
        <f t="shared" si="1019"/>
        <v>1870.21748571429</v>
      </c>
      <c r="CH309" s="1">
        <f t="shared" si="1020"/>
        <v>6.42857142857142</v>
      </c>
      <c r="CJ309" s="45">
        <f t="shared" si="1021"/>
        <v>927.0</v>
      </c>
      <c r="CK309" s="5">
        <f t="shared" si="1022"/>
        <v>1857.3372</v>
      </c>
    </row>
    <row r="310" ht="17.0">
      <c r="A310" s="41" t="s">
        <v>30</v>
      </c>
      <c r="B310" s="41" t="s">
        <v>647</v>
      </c>
      <c r="C310" s="41" t="s">
        <v>662</v>
      </c>
      <c r="D310" s="55" t="s">
        <v>663</v>
      </c>
      <c r="E310" s="41">
        <v>18.0</v>
      </c>
      <c r="F310" s="41">
        <v>24.0</v>
      </c>
      <c r="G310" s="41">
        <v>6.0</v>
      </c>
      <c r="H310" s="41">
        <v>12.0</v>
      </c>
      <c r="I310" s="41">
        <v>12.0</v>
      </c>
      <c r="J310" s="41">
        <v>24.0</v>
      </c>
      <c r="K310" s="41">
        <v>6.0</v>
      </c>
      <c r="L310" s="41">
        <v>7.0</v>
      </c>
      <c r="M310" s="41">
        <v>12.0</v>
      </c>
      <c r="N310" s="41">
        <v>0.0</v>
      </c>
      <c r="O310" s="41">
        <v>18.0</v>
      </c>
      <c r="P310" s="41">
        <v>6.0</v>
      </c>
      <c r="Q310" s="41">
        <v>0.0</v>
      </c>
      <c r="R310" s="41">
        <v>6.0</v>
      </c>
      <c r="S310" s="41">
        <v>1.0</v>
      </c>
      <c r="T310" s="41">
        <v>0.0</v>
      </c>
      <c r="U310" s="41">
        <v>30.0</v>
      </c>
      <c r="V310" s="41">
        <v>18.0</v>
      </c>
      <c r="W310" s="41">
        <v>0.0</v>
      </c>
      <c r="X310" s="41">
        <v>0.0</v>
      </c>
      <c r="Y310" s="41">
        <v>6.0</v>
      </c>
      <c r="Z310" s="41">
        <v>6.0</v>
      </c>
      <c r="AA310" s="41">
        <v>6.0</v>
      </c>
      <c r="AB310" s="41">
        <v>6.0</v>
      </c>
      <c r="AC310" s="41">
        <v>12.0</v>
      </c>
      <c r="AD310" s="41">
        <v>0.0</v>
      </c>
      <c r="AE310" s="41">
        <v>6.0</v>
      </c>
      <c r="AF310" s="41">
        <v>6.0</v>
      </c>
      <c r="AG310" s="41">
        <v>6.0</v>
      </c>
      <c r="AH310" s="41">
        <v>0.0</v>
      </c>
      <c r="AI310" s="41">
        <v>6.0</v>
      </c>
      <c r="AJ310" s="41">
        <v>6.0</v>
      </c>
      <c r="AK310" s="41">
        <v>0.0</v>
      </c>
      <c r="AL310" s="41">
        <v>6.0</v>
      </c>
      <c r="AM310" s="43">
        <v>0.0</v>
      </c>
      <c r="AN310" s="43">
        <v>12.0</v>
      </c>
      <c r="AO310" s="43">
        <v>6.0</v>
      </c>
      <c r="AP310" s="43">
        <v>6.0</v>
      </c>
      <c r="AQ310" s="43">
        <v>6.0</v>
      </c>
      <c r="AR310" s="43">
        <v>0.0</v>
      </c>
      <c r="AS310" s="43">
        <v>7.0</v>
      </c>
      <c r="AT310" s="4">
        <f t="shared" si="4"/>
        <v>55.0</v>
      </c>
      <c r="AU310" s="4">
        <f t="shared" si="5"/>
        <v>18.0</v>
      </c>
      <c r="AV310" s="4">
        <f t="shared" si="6"/>
        <v>19.8</v>
      </c>
      <c r="AW310" s="1">
        <f t="shared" si="1036"/>
        <v>4.45714285714284</v>
      </c>
      <c r="AX310" s="1">
        <f t="shared" si="1037"/>
        <v>5.571428571429</v>
      </c>
      <c r="AY310" s="1">
        <f t="shared" si="1038"/>
        <v>6.0</v>
      </c>
      <c r="AZ310" s="1">
        <f t="shared" si="1039"/>
        <v>8.31428571428571</v>
      </c>
      <c r="BA310" s="1">
        <f t="shared" si="1040"/>
        <v>3.94285714285714</v>
      </c>
      <c r="BB310" s="1">
        <f t="shared" si="1041"/>
        <v>7.71428571428575</v>
      </c>
      <c r="BC310" s="4">
        <f t="shared" si="728"/>
        <v>36.0000000000004</v>
      </c>
      <c r="BD310" s="3">
        <f>VLOOKUP(D310,FEB23SOH,2,false)</f>
        <v>1281.0</v>
      </c>
      <c r="BE310" s="44">
        <f>VLOOKUP(D310,UNITVALUE,4,false)</f>
        <v>2.1533</v>
      </c>
      <c r="BF310" s="44">
        <f t="shared" si="941"/>
        <v>2758.3773</v>
      </c>
      <c r="BI310" s="6">
        <f t="shared" si="1001"/>
        <v>1245.0</v>
      </c>
      <c r="BJ310" s="1">
        <f>VLOOKUP(C310,MOQ,3,FALSE())</f>
        <v>1002.0</v>
      </c>
      <c r="BM310" s="1">
        <f t="shared" si="1002"/>
        <v>1281.0</v>
      </c>
      <c r="BN310" s="1">
        <f t="shared" si="1003"/>
        <v>4.45714285714284</v>
      </c>
      <c r="BP310" s="45">
        <f t="shared" si="1004"/>
        <v>1276.54285714286</v>
      </c>
      <c r="BQ310" s="5">
        <f t="shared" si="1005"/>
        <v>2748.77973428572</v>
      </c>
      <c r="BR310" s="1">
        <f t="shared" si="1006"/>
        <v>5.571428571429</v>
      </c>
      <c r="BS310" s="1">
        <f t="shared" si="1007"/>
      </c>
      <c r="BT310" s="45">
        <f t="shared" si="1008"/>
        <v>1270.97142857143</v>
      </c>
      <c r="BU310" s="5">
        <f t="shared" si="1009"/>
        <v>2736.78277714286</v>
      </c>
      <c r="BV310" s="1">
        <f t="shared" si="1010"/>
        <v>6.0</v>
      </c>
      <c r="BW310" s="1">
        <f t="shared" si="1011"/>
      </c>
      <c r="BX310" s="45">
        <f t="shared" si="1012"/>
        <v>1264.97142857143</v>
      </c>
      <c r="BY310" s="5">
        <f t="shared" si="1013"/>
        <v>2723.86297714286</v>
      </c>
      <c r="BZ310" s="1">
        <f t="shared" si="1014"/>
        <v>8.31428571428571</v>
      </c>
      <c r="CB310" s="45">
        <f t="shared" si="1015"/>
        <v>1256.65714285714</v>
      </c>
      <c r="CC310" s="5">
        <f t="shared" si="1016"/>
        <v>2705.95982571428</v>
      </c>
      <c r="CD310" s="1">
        <f t="shared" si="1017"/>
        <v>3.94285714285714</v>
      </c>
      <c r="CF310" s="45">
        <f t="shared" si="1018"/>
        <v>1252.71428571428</v>
      </c>
      <c r="CG310" s="5">
        <f t="shared" si="1019"/>
        <v>2697.46967142856</v>
      </c>
      <c r="CH310" s="1">
        <f t="shared" si="1020"/>
        <v>7.71428571428575</v>
      </c>
      <c r="CJ310" s="45">
        <f t="shared" si="1021"/>
        <v>1244.99999999999</v>
      </c>
      <c r="CK310" s="5">
        <f t="shared" si="1022"/>
        <v>2680.85849999998</v>
      </c>
    </row>
    <row r="311" ht="17.0">
      <c r="A311" s="41" t="s">
        <v>30</v>
      </c>
      <c r="B311" s="41" t="s">
        <v>647</v>
      </c>
      <c r="C311" s="41" t="s">
        <v>664</v>
      </c>
      <c r="D311" s="55" t="s">
        <v>665</v>
      </c>
      <c r="E311" s="41">
        <v>96.0</v>
      </c>
      <c r="F311" s="41">
        <v>60.0</v>
      </c>
      <c r="G311" s="41">
        <v>0.0</v>
      </c>
      <c r="H311" s="41">
        <v>0.0</v>
      </c>
      <c r="I311" s="41">
        <v>30.0</v>
      </c>
      <c r="J311" s="41">
        <v>31.0</v>
      </c>
      <c r="K311" s="41">
        <v>66.0</v>
      </c>
      <c r="L311" s="41">
        <v>19.0</v>
      </c>
      <c r="M311" s="41">
        <v>24.0</v>
      </c>
      <c r="N311" s="41">
        <v>24.0</v>
      </c>
      <c r="O311" s="41">
        <v>12.0</v>
      </c>
      <c r="P311" s="41">
        <v>24.0</v>
      </c>
      <c r="Q311" s="41">
        <v>6.0</v>
      </c>
      <c r="R311" s="41">
        <v>36.0</v>
      </c>
      <c r="S311" s="41">
        <v>4.0</v>
      </c>
      <c r="T311" s="41">
        <v>1.0</v>
      </c>
      <c r="U311" s="41">
        <v>24.0</v>
      </c>
      <c r="V311" s="41">
        <v>30.0</v>
      </c>
      <c r="W311" s="41">
        <v>18.0</v>
      </c>
      <c r="X311" s="41">
        <v>0.0</v>
      </c>
      <c r="Y311" s="41">
        <v>12.0</v>
      </c>
      <c r="Z311" s="41">
        <v>18.0</v>
      </c>
      <c r="AA311" s="41">
        <v>13.0</v>
      </c>
      <c r="AB311" s="41">
        <v>36.0</v>
      </c>
      <c r="AC311" s="41">
        <v>17.0</v>
      </c>
      <c r="AD311" s="41">
        <v>6.0</v>
      </c>
      <c r="AE311" s="41">
        <v>2.0</v>
      </c>
      <c r="AF311" s="41">
        <v>12.0</v>
      </c>
      <c r="AG311" s="41">
        <v>12.0</v>
      </c>
      <c r="AH311" s="41">
        <v>1.0</v>
      </c>
      <c r="AI311" s="41">
        <v>6.0</v>
      </c>
      <c r="AJ311" s="41">
        <v>6.0</v>
      </c>
      <c r="AK311" s="41">
        <v>24.0</v>
      </c>
      <c r="AL311" s="41">
        <v>21.0</v>
      </c>
      <c r="AM311" s="43">
        <v>18.0</v>
      </c>
      <c r="AN311" s="43">
        <v>25.0</v>
      </c>
      <c r="AO311" s="43">
        <v>24.0</v>
      </c>
      <c r="AP311" s="43">
        <v>6.0</v>
      </c>
      <c r="AQ311" s="43">
        <v>12.0</v>
      </c>
      <c r="AR311" s="43">
        <v>0.0</v>
      </c>
      <c r="AS311" s="43">
        <v>22.0</v>
      </c>
      <c r="AT311" s="4">
        <f t="shared" si="4"/>
        <v>165.0</v>
      </c>
      <c r="AU311" s="4">
        <f t="shared" si="5"/>
        <v>76.0</v>
      </c>
      <c r="AV311" s="4">
        <f t="shared" si="6"/>
        <v>83.6</v>
      </c>
      <c r="AW311" s="1">
        <f t="shared" si="1036"/>
        <v>11.6380952380952</v>
      </c>
      <c r="AX311" s="1">
        <f t="shared" si="1037"/>
        <v>14.547619047619</v>
      </c>
      <c r="AY311" s="1">
        <f t="shared" si="1038"/>
        <v>15.6666666666667</v>
      </c>
      <c r="AZ311" s="1">
        <f t="shared" si="1039"/>
        <v>21.7095238095239</v>
      </c>
      <c r="BA311" s="1">
        <f t="shared" si="1040"/>
        <v>10.295238095238</v>
      </c>
      <c r="BB311" s="1">
        <f t="shared" si="1041"/>
        <v>20.142857142857</v>
      </c>
      <c r="BC311" s="4">
        <f t="shared" si="728"/>
        <v>93.9999999999998</v>
      </c>
      <c r="BD311" s="3">
        <f>VLOOKUP(D311,FEB23SOH,2,false)</f>
        <v>601.0</v>
      </c>
      <c r="BE311" s="44">
        <f>VLOOKUP(D311,UNITVALUE,4,false)</f>
        <v>1.9722</v>
      </c>
      <c r="BF311" s="44">
        <f t="shared" si="941"/>
        <v>1185.2922</v>
      </c>
      <c r="BI311" s="6">
        <f t="shared" si="1001"/>
        <v>507.0</v>
      </c>
      <c r="BJ311" s="1">
        <f>VLOOKUP(C311,MOQ,3,FALSE())</f>
        <v>1002.0</v>
      </c>
      <c r="BM311" s="1">
        <f t="shared" si="1002"/>
        <v>601.0</v>
      </c>
      <c r="BN311" s="1">
        <f t="shared" si="1003"/>
        <v>11.6380952380952</v>
      </c>
      <c r="BP311" s="45">
        <f t="shared" si="1004"/>
        <v>589.361904761904</v>
      </c>
      <c r="BQ311" s="5">
        <f t="shared" si="1005"/>
        <v>1162.33954857142</v>
      </c>
      <c r="BR311" s="1">
        <f t="shared" si="1006"/>
        <v>14.547619047619</v>
      </c>
      <c r="BS311" s="1">
        <f t="shared" si="1007"/>
      </c>
      <c r="BT311" s="45">
        <f t="shared" si="1008"/>
        <v>574.814285714285</v>
      </c>
      <c r="BU311" s="5">
        <f t="shared" si="1009"/>
        <v>1133.64873428571</v>
      </c>
      <c r="BV311" s="1">
        <f t="shared" si="1010"/>
        <v>15.6666666666667</v>
      </c>
      <c r="BW311" s="1">
        <f t="shared" si="1011"/>
      </c>
      <c r="BX311" s="45">
        <f t="shared" si="1012"/>
        <v>559.147619047618</v>
      </c>
      <c r="BY311" s="5">
        <f t="shared" si="1013"/>
        <v>1102.75093428571</v>
      </c>
      <c r="BZ311" s="1">
        <f t="shared" si="1014"/>
        <v>21.7095238095239</v>
      </c>
      <c r="CB311" s="45">
        <f t="shared" si="1015"/>
        <v>537.438095238094</v>
      </c>
      <c r="CC311" s="5">
        <f t="shared" si="1016"/>
        <v>1059.93541142857</v>
      </c>
      <c r="CD311" s="1">
        <f t="shared" si="1017"/>
        <v>10.295238095238</v>
      </c>
      <c r="CF311" s="45">
        <f t="shared" si="1018"/>
        <v>527.142857142856</v>
      </c>
      <c r="CG311" s="5">
        <f t="shared" si="1019"/>
        <v>1039.63114285714</v>
      </c>
      <c r="CH311" s="1">
        <f t="shared" si="1020"/>
        <v>20.142857142857</v>
      </c>
      <c r="CJ311" s="45">
        <f t="shared" si="1021"/>
        <v>506.999999999999</v>
      </c>
      <c r="CK311" s="5">
        <f t="shared" si="1022"/>
        <v>999.905399999998</v>
      </c>
    </row>
    <row r="312" ht="17.0">
      <c r="A312" s="41" t="s">
        <v>30</v>
      </c>
      <c r="B312" s="41" t="s">
        <v>647</v>
      </c>
      <c r="C312" s="41" t="s">
        <v>666</v>
      </c>
      <c r="D312" s="55" t="s">
        <v>667</v>
      </c>
      <c r="E312" s="41">
        <v>84.0</v>
      </c>
      <c r="F312" s="41">
        <v>48.0</v>
      </c>
      <c r="G312" s="41">
        <v>6.0</v>
      </c>
      <c r="H312" s="41">
        <v>6.0</v>
      </c>
      <c r="I312" s="41">
        <v>12.0</v>
      </c>
      <c r="J312" s="41">
        <v>25.0</v>
      </c>
      <c r="K312" s="41">
        <v>12.0</v>
      </c>
      <c r="L312" s="41">
        <v>6.0</v>
      </c>
      <c r="M312" s="41">
        <v>24.0</v>
      </c>
      <c r="N312" s="41">
        <v>18.0</v>
      </c>
      <c r="O312" s="41">
        <v>12.0</v>
      </c>
      <c r="P312" s="41">
        <v>18.0</v>
      </c>
      <c r="Q312" s="41">
        <v>12.0</v>
      </c>
      <c r="R312" s="41">
        <v>25.0</v>
      </c>
      <c r="S312" s="41">
        <v>7.0</v>
      </c>
      <c r="T312" s="41">
        <v>0.0</v>
      </c>
      <c r="U312" s="41">
        <v>21.0</v>
      </c>
      <c r="V312" s="41">
        <v>24.0</v>
      </c>
      <c r="W312" s="41">
        <v>12.0</v>
      </c>
      <c r="X312" s="41">
        <v>0.0</v>
      </c>
      <c r="Y312" s="41">
        <v>6.0</v>
      </c>
      <c r="Z312" s="41">
        <v>6.0</v>
      </c>
      <c r="AA312" s="41">
        <v>6.0</v>
      </c>
      <c r="AB312" s="41">
        <v>24.0</v>
      </c>
      <c r="AC312" s="41">
        <v>12.0</v>
      </c>
      <c r="AD312" s="41">
        <v>12.0</v>
      </c>
      <c r="AE312" s="41">
        <v>6.0</v>
      </c>
      <c r="AF312" s="41">
        <v>0.0</v>
      </c>
      <c r="AG312" s="41">
        <v>6.0</v>
      </c>
      <c r="AH312" s="41">
        <v>6.0</v>
      </c>
      <c r="AI312" s="41">
        <v>0.0</v>
      </c>
      <c r="AJ312" s="41">
        <v>6.0</v>
      </c>
      <c r="AK312" s="41">
        <v>12.0</v>
      </c>
      <c r="AL312" s="41">
        <v>12.0</v>
      </c>
      <c r="AM312" s="43">
        <v>24.0</v>
      </c>
      <c r="AN312" s="43">
        <v>24.0</v>
      </c>
      <c r="AO312" s="43">
        <v>12.0</v>
      </c>
      <c r="AP312" s="43">
        <v>18.0</v>
      </c>
      <c r="AQ312" s="43">
        <v>12.0</v>
      </c>
      <c r="AR312" s="43">
        <v>0.0</v>
      </c>
      <c r="AS312" s="43">
        <v>7.0</v>
      </c>
      <c r="AT312" s="4">
        <f t="shared" si="4"/>
        <v>133.0</v>
      </c>
      <c r="AU312" s="4">
        <f t="shared" si="5"/>
        <v>60.0</v>
      </c>
      <c r="AV312" s="4">
        <f t="shared" si="6"/>
        <v>66.0</v>
      </c>
      <c r="AW312" s="1">
        <f t="shared" si="1036"/>
        <v>9.65714285714284</v>
      </c>
      <c r="AX312" s="1">
        <f t="shared" si="1037"/>
        <v>12.0714285714286</v>
      </c>
      <c r="AY312" s="1">
        <f t="shared" si="1038"/>
        <v>13.0</v>
      </c>
      <c r="AZ312" s="1">
        <f t="shared" si="1039"/>
        <v>18.01428571429</v>
      </c>
      <c r="BA312" s="1">
        <f t="shared" si="1040"/>
        <v>8.54285714285714</v>
      </c>
      <c r="BB312" s="1">
        <f t="shared" si="1041"/>
        <v>16.7142857142858</v>
      </c>
      <c r="BC312" s="4">
        <f t="shared" si="728"/>
        <v>78.0000000000043</v>
      </c>
      <c r="BD312" s="3">
        <f>VLOOKUP(D312,FEB23SOH,2,false)</f>
        <v>836.0</v>
      </c>
      <c r="BE312" s="44">
        <f>VLOOKUP(D312,UNITVALUE,4,false)</f>
        <v>2.0667</v>
      </c>
      <c r="BF312" s="44">
        <f t="shared" si="941"/>
        <v>1727.7612</v>
      </c>
      <c r="BI312" s="6">
        <f t="shared" si="1001"/>
        <v>757.999999999996</v>
      </c>
      <c r="BJ312" s="1">
        <f>VLOOKUP(C312,MOQ,3,FALSE())</f>
        <v>1002.0</v>
      </c>
      <c r="BM312" s="1">
        <f t="shared" si="1002"/>
        <v>836.0</v>
      </c>
      <c r="BN312" s="1">
        <f t="shared" si="1003"/>
        <v>9.65714285714284</v>
      </c>
      <c r="BP312" s="45">
        <f t="shared" si="1004"/>
        <v>826.342857142857</v>
      </c>
      <c r="BQ312" s="5">
        <f t="shared" si="1005"/>
        <v>1707.80278285714</v>
      </c>
      <c r="BR312" s="1">
        <f t="shared" si="1006"/>
        <v>12.0714285714286</v>
      </c>
      <c r="BS312" s="1">
        <f t="shared" si="1007"/>
      </c>
      <c r="BT312" s="45">
        <f t="shared" si="1008"/>
        <v>814.271428571429</v>
      </c>
      <c r="BU312" s="5">
        <f t="shared" si="1009"/>
        <v>1682.85476142857</v>
      </c>
      <c r="BV312" s="1">
        <f t="shared" si="1010"/>
        <v>13.0</v>
      </c>
      <c r="BW312" s="1">
        <f t="shared" si="1011"/>
      </c>
      <c r="BX312" s="45">
        <f t="shared" si="1012"/>
        <v>801.271428571429</v>
      </c>
      <c r="BY312" s="5">
        <f t="shared" si="1013"/>
        <v>1655.98766142857</v>
      </c>
      <c r="BZ312" s="1">
        <f t="shared" si="1014"/>
        <v>18.01428571429</v>
      </c>
      <c r="CB312" s="45">
        <f t="shared" si="1015"/>
        <v>783.257142857139</v>
      </c>
      <c r="CC312" s="5">
        <f t="shared" si="1016"/>
        <v>1618.75753714284</v>
      </c>
      <c r="CD312" s="1">
        <f t="shared" si="1017"/>
        <v>8.54285714285714</v>
      </c>
      <c r="CF312" s="45">
        <f t="shared" si="1018"/>
        <v>774.714285714281</v>
      </c>
      <c r="CG312" s="5">
        <f t="shared" si="1019"/>
        <v>1601.1020142857</v>
      </c>
      <c r="CH312" s="1">
        <f t="shared" si="1020"/>
        <v>16.7142857142858</v>
      </c>
      <c r="CJ312" s="45">
        <f t="shared" si="1021"/>
        <v>757.999999999995</v>
      </c>
      <c r="CK312" s="5">
        <f t="shared" si="1022"/>
        <v>1566.55859999999</v>
      </c>
    </row>
    <row r="313" ht="17.0">
      <c r="A313" s="41" t="s">
        <v>30</v>
      </c>
      <c r="B313" s="41" t="s">
        <v>647</v>
      </c>
      <c r="C313" s="41" t="s">
        <v>668</v>
      </c>
      <c r="D313" s="55" t="s">
        <v>669</v>
      </c>
      <c r="E313" s="41">
        <v>60.0</v>
      </c>
      <c r="F313" s="41">
        <v>42.0</v>
      </c>
      <c r="G313" s="41">
        <v>0.0</v>
      </c>
      <c r="H313" s="41">
        <v>0.0</v>
      </c>
      <c r="I313" s="41">
        <v>18.0</v>
      </c>
      <c r="J313" s="41">
        <v>18.0</v>
      </c>
      <c r="K313" s="41">
        <v>24.0</v>
      </c>
      <c r="L313" s="41">
        <v>1.0</v>
      </c>
      <c r="M313" s="41">
        <v>6.0</v>
      </c>
      <c r="N313" s="41">
        <v>-6.0</v>
      </c>
      <c r="O313" s="41">
        <v>25.0</v>
      </c>
      <c r="P313" s="41">
        <v>0.0</v>
      </c>
      <c r="Q313" s="41">
        <v>7.0</v>
      </c>
      <c r="R313" s="41">
        <v>5.0</v>
      </c>
      <c r="S313" s="41">
        <v>5.0</v>
      </c>
      <c r="T313" s="41">
        <v>1.0</v>
      </c>
      <c r="U313" s="41">
        <v>19.0</v>
      </c>
      <c r="V313" s="41">
        <v>12.0</v>
      </c>
      <c r="W313" s="41">
        <v>2.0</v>
      </c>
      <c r="X313" s="41">
        <v>1.0</v>
      </c>
      <c r="Y313" s="41">
        <v>12.0</v>
      </c>
      <c r="Z313" s="41">
        <v>0.0</v>
      </c>
      <c r="AA313" s="41">
        <v>13.0</v>
      </c>
      <c r="AB313" s="41">
        <v>24.0</v>
      </c>
      <c r="AC313" s="41">
        <v>13.0</v>
      </c>
      <c r="AD313" s="41">
        <v>0.0</v>
      </c>
      <c r="AE313" s="41">
        <v>6.0</v>
      </c>
      <c r="AF313" s="41">
        <v>0.0</v>
      </c>
      <c r="AG313" s="41">
        <v>0.0</v>
      </c>
      <c r="AH313" s="41">
        <v>0.0</v>
      </c>
      <c r="AI313" s="41">
        <v>6.0</v>
      </c>
      <c r="AJ313" s="41">
        <v>0.0</v>
      </c>
      <c r="AK313" s="41">
        <v>0.0</v>
      </c>
      <c r="AL313" s="41">
        <v>18.0</v>
      </c>
      <c r="AM313" s="43">
        <v>0.0</v>
      </c>
      <c r="AN313" s="43">
        <v>0.0</v>
      </c>
      <c r="AO313" s="43">
        <v>18.0</v>
      </c>
      <c r="AP313" s="43">
        <v>0.0</v>
      </c>
      <c r="AQ313" s="43">
        <v>0.0</v>
      </c>
      <c r="AR313" s="43">
        <v>0.0</v>
      </c>
      <c r="AS313" s="43">
        <v>7.0</v>
      </c>
      <c r="AT313" s="4">
        <f t="shared" si="4"/>
        <v>49.0</v>
      </c>
      <c r="AU313" s="4">
        <f t="shared" si="5"/>
        <v>24.0</v>
      </c>
      <c r="AV313" s="4">
        <f t="shared" si="6"/>
        <v>26.4</v>
      </c>
      <c r="AW313" s="1">
        <f t="shared" si="1036"/>
        <v>5.19999999999999</v>
      </c>
      <c r="AX313" s="1">
        <f t="shared" si="1037"/>
        <v>6.5</v>
      </c>
      <c r="AY313" s="1">
        <f t="shared" si="1038"/>
        <v>7.0</v>
      </c>
      <c r="AZ313" s="1">
        <f t="shared" si="1039"/>
        <v>9.69999999999999</v>
      </c>
      <c r="BA313" s="1">
        <f t="shared" si="1040"/>
        <v>4.59999999999999</v>
      </c>
      <c r="BB313" s="1">
        <f t="shared" si="1041"/>
        <v>8.99999999999999</v>
      </c>
      <c r="BC313" s="4">
        <f t="shared" si="728"/>
        <v>42.0</v>
      </c>
      <c r="BD313" s="3">
        <f>VLOOKUP(D313,FEB23SOH,2,false)</f>
        <v>1062.0</v>
      </c>
      <c r="BE313" s="44">
        <f>VLOOKUP(D313,UNITVALUE,4,false)</f>
        <v>2.0952</v>
      </c>
      <c r="BF313" s="44">
        <f t="shared" si="941"/>
        <v>2225.1024</v>
      </c>
      <c r="BI313" s="6">
        <f t="shared" si="1001"/>
        <v>1020.0</v>
      </c>
      <c r="BJ313" s="1">
        <f>VLOOKUP(C313,MOQ,3,FALSE())</f>
        <v>1002.0</v>
      </c>
      <c r="BM313" s="1">
        <f t="shared" si="1002"/>
        <v>1062.0</v>
      </c>
      <c r="BN313" s="1">
        <f t="shared" si="1003"/>
        <v>5.19999999999999</v>
      </c>
      <c r="BP313" s="45">
        <f t="shared" si="1004"/>
        <v>1056.8</v>
      </c>
      <c r="BQ313" s="5">
        <f t="shared" si="1005"/>
        <v>2214.20736</v>
      </c>
      <c r="BR313" s="1">
        <f t="shared" si="1006"/>
        <v>6.5</v>
      </c>
      <c r="BS313" s="1">
        <f t="shared" si="1007"/>
      </c>
      <c r="BT313" s="45">
        <f t="shared" si="1008"/>
        <v>1050.3</v>
      </c>
      <c r="BU313" s="5">
        <f t="shared" si="1009"/>
        <v>2200.58856</v>
      </c>
      <c r="BV313" s="1">
        <f t="shared" si="1010"/>
        <v>7.0</v>
      </c>
      <c r="BW313" s="1">
        <f t="shared" si="1011"/>
      </c>
      <c r="BX313" s="45">
        <f t="shared" si="1012"/>
        <v>1043.3</v>
      </c>
      <c r="BY313" s="5">
        <f t="shared" si="1013"/>
        <v>2185.92216</v>
      </c>
      <c r="BZ313" s="1">
        <f t="shared" si="1014"/>
        <v>9.69999999999999</v>
      </c>
      <c r="CB313" s="45">
        <f t="shared" si="1015"/>
        <v>1033.6</v>
      </c>
      <c r="CC313" s="5">
        <f t="shared" si="1016"/>
        <v>2165.59872</v>
      </c>
      <c r="CD313" s="1">
        <f t="shared" si="1017"/>
        <v>4.59999999999999</v>
      </c>
      <c r="CF313" s="45">
        <f t="shared" si="1018"/>
        <v>1029.0</v>
      </c>
      <c r="CG313" s="5">
        <f t="shared" si="1019"/>
        <v>2155.9608</v>
      </c>
      <c r="CH313" s="1">
        <f t="shared" si="1020"/>
        <v>8.99999999999999</v>
      </c>
      <c r="CJ313" s="45">
        <f t="shared" si="1021"/>
        <v>1020.0</v>
      </c>
      <c r="CK313" s="5">
        <f t="shared" si="1022"/>
        <v>2137.104</v>
      </c>
    </row>
    <row r="314" ht="17.0">
      <c r="A314" s="41" t="s">
        <v>30</v>
      </c>
      <c r="B314" s="41" t="s">
        <v>647</v>
      </c>
      <c r="C314" s="41" t="s">
        <v>670</v>
      </c>
      <c r="D314" s="55" t="s">
        <v>671</v>
      </c>
      <c r="E314" s="41">
        <v>60.0</v>
      </c>
      <c r="F314" s="41">
        <v>30.0</v>
      </c>
      <c r="G314" s="41">
        <v>0.0</v>
      </c>
      <c r="H314" s="41">
        <v>6.0</v>
      </c>
      <c r="I314" s="41">
        <v>6.0</v>
      </c>
      <c r="J314" s="41">
        <v>12.0</v>
      </c>
      <c r="K314" s="41">
        <v>18.0</v>
      </c>
      <c r="L314" s="41">
        <v>7.0</v>
      </c>
      <c r="M314" s="41">
        <v>18.0</v>
      </c>
      <c r="N314" s="41">
        <v>6.0</v>
      </c>
      <c r="O314" s="41">
        <v>12.0</v>
      </c>
      <c r="P314" s="41">
        <v>0.0</v>
      </c>
      <c r="Q314" s="41">
        <v>0.0</v>
      </c>
      <c r="R314" s="41">
        <v>6.0</v>
      </c>
      <c r="S314" s="41">
        <v>6.0</v>
      </c>
      <c r="T314" s="41">
        <v>0.0</v>
      </c>
      <c r="U314" s="41">
        <v>18.0</v>
      </c>
      <c r="V314" s="41">
        <v>6.0</v>
      </c>
      <c r="W314" s="41">
        <v>0.0</v>
      </c>
      <c r="X314" s="41">
        <v>0.0</v>
      </c>
      <c r="Y314" s="41">
        <v>6.0</v>
      </c>
      <c r="Z314" s="41">
        <v>13.0</v>
      </c>
      <c r="AA314" s="41">
        <v>1.0</v>
      </c>
      <c r="AB314" s="41">
        <v>12.0</v>
      </c>
      <c r="AC314" s="41">
        <v>6.0</v>
      </c>
      <c r="AD314" s="41">
        <v>6.0</v>
      </c>
      <c r="AE314" s="41">
        <v>1.0</v>
      </c>
      <c r="AF314" s="41">
        <v>6.0</v>
      </c>
      <c r="AG314" s="41">
        <v>0.0</v>
      </c>
      <c r="AH314" s="41">
        <v>6.0</v>
      </c>
      <c r="AI314" s="41">
        <v>7.0</v>
      </c>
      <c r="AJ314" s="41">
        <v>0.0</v>
      </c>
      <c r="AK314" s="41">
        <v>6.0</v>
      </c>
      <c r="AL314" s="41">
        <v>6.0</v>
      </c>
      <c r="AM314" s="43">
        <v>30.0</v>
      </c>
      <c r="AN314" s="43">
        <v>6.0</v>
      </c>
      <c r="AO314" s="43">
        <v>18.0</v>
      </c>
      <c r="AP314" s="43">
        <v>12.0</v>
      </c>
      <c r="AQ314" s="43">
        <v>0.0</v>
      </c>
      <c r="AR314" s="43">
        <v>0.0</v>
      </c>
      <c r="AS314" s="43">
        <v>7.0</v>
      </c>
      <c r="AT314" s="4">
        <f t="shared" si="4"/>
        <v>98.0</v>
      </c>
      <c r="AU314" s="4">
        <f t="shared" si="5"/>
        <v>55.0</v>
      </c>
      <c r="AV314" s="4">
        <f t="shared" si="6"/>
        <v>60.5</v>
      </c>
      <c r="AW314" s="1">
        <f t="shared" si="1036"/>
        <v>9.03809523809522</v>
      </c>
      <c r="AX314" s="1">
        <f t="shared" si="1037"/>
        <v>11.297619047619</v>
      </c>
      <c r="AY314" s="1">
        <f t="shared" si="1038"/>
        <v>12.1666666666667</v>
      </c>
      <c r="AZ314" s="1">
        <f t="shared" si="1039"/>
        <v>16.859523809522</v>
      </c>
      <c r="BA314" s="1">
        <f t="shared" si="1040"/>
        <v>7.99523809523809</v>
      </c>
      <c r="BB314" s="1">
        <f t="shared" si="1041"/>
        <v>15.642857142857</v>
      </c>
      <c r="BC314" s="4">
        <f t="shared" si="728"/>
        <v>72.999999999998</v>
      </c>
      <c r="BD314" s="3">
        <f>VLOOKUP(D314,FEB23SOH,2,false)</f>
        <v>1081.0</v>
      </c>
      <c r="BE314" s="44">
        <f>VLOOKUP(D314,UNITVALUE,4,false)</f>
        <v>2.1055</v>
      </c>
      <c r="BF314" s="44">
        <f t="shared" si="941"/>
        <v>2276.0455</v>
      </c>
      <c r="BI314" s="6">
        <f t="shared" si="1001"/>
        <v>1008.0</v>
      </c>
      <c r="BJ314" s="1">
        <f>VLOOKUP(C314,MOQ,3,FALSE())</f>
        <v>1002.0</v>
      </c>
      <c r="BM314" s="1">
        <f t="shared" si="1002"/>
        <v>1081.0</v>
      </c>
      <c r="BN314" s="1">
        <f t="shared" si="1003"/>
        <v>9.03809523809522</v>
      </c>
      <c r="BP314" s="45">
        <f t="shared" si="1004"/>
        <v>1071.9619047619</v>
      </c>
      <c r="BQ314" s="5">
        <f t="shared" si="1005"/>
        <v>2257.01579047618</v>
      </c>
      <c r="BR314" s="1">
        <f t="shared" si="1006"/>
        <v>11.297619047619</v>
      </c>
      <c r="BS314" s="1">
        <f t="shared" si="1007"/>
      </c>
      <c r="BT314" s="45">
        <f t="shared" si="1008"/>
        <v>1060.66428571428</v>
      </c>
      <c r="BU314" s="5">
        <f t="shared" si="1009"/>
        <v>2233.22865357141</v>
      </c>
      <c r="BV314" s="1">
        <f t="shared" si="1010"/>
        <v>12.1666666666667</v>
      </c>
      <c r="BW314" s="1">
        <f t="shared" si="1011"/>
      </c>
      <c r="BX314" s="45">
        <f t="shared" si="1012"/>
        <v>1048.49761904761</v>
      </c>
      <c r="BY314" s="5">
        <f t="shared" si="1013"/>
        <v>2207.61173690474</v>
      </c>
      <c r="BZ314" s="1">
        <f t="shared" si="1014"/>
        <v>16.859523809522</v>
      </c>
      <c r="CB314" s="45">
        <f t="shared" si="1015"/>
        <v>1031.63809523809</v>
      </c>
      <c r="CC314" s="5">
        <f t="shared" si="1016"/>
        <v>2172.1140095238</v>
      </c>
      <c r="CD314" s="1">
        <f t="shared" si="1017"/>
        <v>7.99523809523809</v>
      </c>
      <c r="CF314" s="45">
        <f t="shared" si="1018"/>
        <v>1023.64285714285</v>
      </c>
      <c r="CG314" s="5">
        <f t="shared" si="1019"/>
        <v>2155.28003571427</v>
      </c>
      <c r="CH314" s="1">
        <f t="shared" si="1020"/>
        <v>15.642857142857</v>
      </c>
      <c r="CJ314" s="45">
        <f t="shared" si="1021"/>
        <v>1007.99999999999</v>
      </c>
      <c r="CK314" s="5">
        <f t="shared" si="1022"/>
        <v>2122.34399999998</v>
      </c>
    </row>
    <row r="315" ht="17.0">
      <c r="A315" s="41" t="s">
        <v>30</v>
      </c>
      <c r="B315" s="41" t="s">
        <v>647</v>
      </c>
      <c r="C315" s="41" t="s">
        <v>672</v>
      </c>
      <c r="D315" s="55" t="s">
        <v>673</v>
      </c>
      <c r="E315" s="41">
        <v>18.0</v>
      </c>
      <c r="F315" s="41">
        <v>18.0</v>
      </c>
      <c r="G315" s="41">
        <v>0.0</v>
      </c>
      <c r="H315" s="41">
        <v>0.0</v>
      </c>
      <c r="I315" s="41">
        <v>0.0</v>
      </c>
      <c r="J315" s="41">
        <v>7.0</v>
      </c>
      <c r="K315" s="41">
        <v>0.0</v>
      </c>
      <c r="L315" s="41">
        <v>1.0</v>
      </c>
      <c r="M315" s="41">
        <v>12.0</v>
      </c>
      <c r="N315" s="41">
        <v>0.0</v>
      </c>
      <c r="O315" s="41">
        <v>6.0</v>
      </c>
      <c r="P315" s="41">
        <v>0.0</v>
      </c>
      <c r="Q315" s="41">
        <v>0.0</v>
      </c>
      <c r="R315" s="41">
        <v>0.0</v>
      </c>
      <c r="S315" s="41">
        <v>0.0</v>
      </c>
      <c r="T315" s="41">
        <v>0.0</v>
      </c>
      <c r="U315" s="41">
        <v>12.0</v>
      </c>
      <c r="V315" s="41">
        <v>6.0</v>
      </c>
      <c r="W315" s="41">
        <v>0.0</v>
      </c>
      <c r="X315" s="41">
        <v>0.0</v>
      </c>
      <c r="Y315" s="41">
        <v>0.0</v>
      </c>
      <c r="Z315" s="41">
        <v>0.0</v>
      </c>
      <c r="AA315" s="41">
        <v>6.0</v>
      </c>
      <c r="AB315" s="41">
        <v>6.0</v>
      </c>
      <c r="AC315" s="41">
        <v>0.0</v>
      </c>
      <c r="AD315" s="41">
        <v>0.0</v>
      </c>
      <c r="AE315" s="41">
        <v>0.0</v>
      </c>
      <c r="AF315" s="41">
        <v>0.0</v>
      </c>
      <c r="AG315" s="41">
        <v>0.0</v>
      </c>
      <c r="AH315" s="41">
        <v>6.0</v>
      </c>
      <c r="AI315" s="41">
        <v>6.0</v>
      </c>
      <c r="AJ315" s="41">
        <v>0.0</v>
      </c>
      <c r="AK315" s="41">
        <v>6.0</v>
      </c>
      <c r="AL315" s="41">
        <v>0.0</v>
      </c>
      <c r="AM315" s="43">
        <v>12.0</v>
      </c>
      <c r="AN315" s="43">
        <v>12.0</v>
      </c>
      <c r="AO315" s="43">
        <v>7.0</v>
      </c>
      <c r="AP315" s="43">
        <v>0.0</v>
      </c>
      <c r="AQ315" s="43">
        <v>0.0</v>
      </c>
      <c r="AR315" s="43">
        <v>0.0</v>
      </c>
      <c r="AS315" s="43">
        <v>7.0</v>
      </c>
      <c r="AT315" s="4">
        <f t="shared" si="4"/>
        <v>56.0</v>
      </c>
      <c r="AU315" s="4">
        <f t="shared" si="5"/>
        <v>30.0</v>
      </c>
      <c r="AV315" s="4">
        <f t="shared" si="6"/>
        <v>33.0</v>
      </c>
      <c r="AW315" s="1">
        <f t="shared" si="1036"/>
        <v>5.94285714285713</v>
      </c>
      <c r="AX315" s="1">
        <f t="shared" si="1037"/>
        <v>7.42857142857142</v>
      </c>
      <c r="AY315" s="1">
        <f t="shared" si="1038"/>
        <v>8.0</v>
      </c>
      <c r="AZ315" s="1">
        <f t="shared" si="1039"/>
        <v>11.0857142857142</v>
      </c>
      <c r="BA315" s="1">
        <f t="shared" si="1040"/>
        <v>5.25714285714286</v>
      </c>
      <c r="BB315" s="1">
        <f t="shared" si="1041"/>
        <v>10.2857142857142</v>
      </c>
      <c r="BC315" s="4">
        <f t="shared" si="728"/>
        <v>47.9999999999998</v>
      </c>
      <c r="BD315" s="3">
        <f>VLOOKUP(D315,FEB23SOH,2,false)</f>
        <v>1458.0</v>
      </c>
      <c r="BE315" s="44">
        <f>VLOOKUP(D315,UNITVALUE,4,false)</f>
        <v>2.2612</v>
      </c>
      <c r="BF315" s="44">
        <f t="shared" si="941"/>
        <v>3296.8296</v>
      </c>
      <c r="BI315" s="6">
        <f t="shared" si="1001"/>
        <v>1410.0</v>
      </c>
      <c r="BJ315" s="1">
        <f>VLOOKUP(C315,MOQ,3,FALSE())</f>
        <v>1002.0</v>
      </c>
      <c r="BM315" s="1">
        <f t="shared" si="1002"/>
        <v>1458.0</v>
      </c>
      <c r="BN315" s="1">
        <f t="shared" si="1003"/>
        <v>5.94285714285713</v>
      </c>
      <c r="BP315" s="45">
        <f t="shared" si="1004"/>
        <v>1452.05714285714</v>
      </c>
      <c r="BQ315" s="5">
        <f t="shared" si="1005"/>
        <v>3283.39161142857</v>
      </c>
      <c r="BR315" s="1">
        <f t="shared" si="1006"/>
        <v>7.42857142857142</v>
      </c>
      <c r="BS315" s="1">
        <f t="shared" si="1007"/>
      </c>
      <c r="BT315" s="45">
        <f t="shared" si="1008"/>
        <v>1444.62857142857</v>
      </c>
      <c r="BU315" s="5">
        <f t="shared" si="1009"/>
        <v>3266.59412571428</v>
      </c>
      <c r="BV315" s="1">
        <f t="shared" si="1010"/>
        <v>8.0</v>
      </c>
      <c r="BW315" s="1">
        <f t="shared" si="1011"/>
      </c>
      <c r="BX315" s="45">
        <f t="shared" si="1012"/>
        <v>1436.62857142857</v>
      </c>
      <c r="BY315" s="5">
        <f t="shared" si="1013"/>
        <v>3248.50452571428</v>
      </c>
      <c r="BZ315" s="1">
        <f t="shared" si="1014"/>
        <v>11.0857142857142</v>
      </c>
      <c r="CB315" s="45">
        <f t="shared" si="1015"/>
        <v>1425.54285714286</v>
      </c>
      <c r="CC315" s="5">
        <f t="shared" si="1016"/>
        <v>3223.43750857143</v>
      </c>
      <c r="CD315" s="1">
        <f t="shared" si="1017"/>
        <v>5.25714285714286</v>
      </c>
      <c r="CF315" s="45">
        <f t="shared" si="1018"/>
        <v>1420.28571428571</v>
      </c>
      <c r="CG315" s="5">
        <f t="shared" si="1019"/>
        <v>3211.55005714284</v>
      </c>
      <c r="CH315" s="1">
        <f t="shared" si="1020"/>
        <v>10.2857142857142</v>
      </c>
      <c r="CJ315" s="45">
        <f t="shared" si="1021"/>
        <v>1410.0</v>
      </c>
      <c r="CK315" s="5">
        <f t="shared" si="1022"/>
        <v>3188.292</v>
      </c>
    </row>
    <row r="316" ht="17.0">
      <c r="A316" s="41" t="s">
        <v>30</v>
      </c>
      <c r="B316" s="41" t="s">
        <v>647</v>
      </c>
      <c r="C316" s="41" t="s">
        <v>674</v>
      </c>
      <c r="D316" s="55" t="s">
        <v>675</v>
      </c>
      <c r="E316" s="41">
        <v>90.0</v>
      </c>
      <c r="F316" s="41">
        <v>84.0</v>
      </c>
      <c r="G316" s="41">
        <v>6.0</v>
      </c>
      <c r="H316" s="41">
        <v>0.0</v>
      </c>
      <c r="I316" s="41">
        <v>12.0</v>
      </c>
      <c r="J316" s="41">
        <v>19.0</v>
      </c>
      <c r="K316" s="41">
        <v>36.0</v>
      </c>
      <c r="L316" s="41">
        <v>19.0</v>
      </c>
      <c r="M316" s="41">
        <v>12.0</v>
      </c>
      <c r="N316" s="41">
        <v>12.0</v>
      </c>
      <c r="O316" s="41">
        <v>18.0</v>
      </c>
      <c r="P316" s="41">
        <v>18.0</v>
      </c>
      <c r="Q316" s="41">
        <v>6.0</v>
      </c>
      <c r="R316" s="41">
        <v>54.0</v>
      </c>
      <c r="S316" s="41">
        <v>1.0</v>
      </c>
      <c r="T316" s="41">
        <v>0.0</v>
      </c>
      <c r="U316" s="41">
        <v>28.0</v>
      </c>
      <c r="V316" s="41">
        <v>24.0</v>
      </c>
      <c r="W316" s="41">
        <v>6.0</v>
      </c>
      <c r="X316" s="41">
        <v>0.0</v>
      </c>
      <c r="Y316" s="41">
        <v>6.0</v>
      </c>
      <c r="Z316" s="41">
        <v>12.0</v>
      </c>
      <c r="AA316" s="41">
        <v>6.0</v>
      </c>
      <c r="AB316" s="41">
        <v>18.0</v>
      </c>
      <c r="AC316" s="41">
        <v>12.0</v>
      </c>
      <c r="AD316" s="41">
        <v>12.0</v>
      </c>
      <c r="AE316" s="41">
        <v>6.0</v>
      </c>
      <c r="AF316" s="41">
        <v>6.0</v>
      </c>
      <c r="AG316" s="41">
        <v>12.0</v>
      </c>
      <c r="AH316" s="41">
        <v>0.0</v>
      </c>
      <c r="AI316" s="41">
        <v>12.0</v>
      </c>
      <c r="AJ316" s="41">
        <v>12.0</v>
      </c>
      <c r="AK316" s="41">
        <v>24.0</v>
      </c>
      <c r="AL316" s="41">
        <v>12.0</v>
      </c>
      <c r="AM316" s="43">
        <v>0.0</v>
      </c>
      <c r="AN316" s="43">
        <v>19.0</v>
      </c>
      <c r="AO316" s="43">
        <v>18.0</v>
      </c>
      <c r="AP316" s="43">
        <v>12.0</v>
      </c>
      <c r="AQ316" s="43">
        <v>6.0</v>
      </c>
      <c r="AR316" s="43">
        <v>0.0</v>
      </c>
      <c r="AS316" s="43">
        <v>15.0</v>
      </c>
      <c r="AT316" s="4">
        <f t="shared" si="4"/>
        <v>130.0</v>
      </c>
      <c r="AU316" s="4">
        <f t="shared" si="5"/>
        <v>60.0</v>
      </c>
      <c r="AV316" s="4">
        <f t="shared" si="6"/>
        <v>66.0</v>
      </c>
      <c r="AW316" s="1">
        <f t="shared" si="1036"/>
        <v>9.65714285714284</v>
      </c>
      <c r="AX316" s="1">
        <f t="shared" si="1037"/>
        <v>12.0714285714286</v>
      </c>
      <c r="AY316" s="1">
        <f t="shared" si="1038"/>
        <v>13.0</v>
      </c>
      <c r="AZ316" s="1">
        <f t="shared" si="1039"/>
        <v>18.01428571429</v>
      </c>
      <c r="BA316" s="1">
        <f t="shared" si="1040"/>
        <v>8.54285714285714</v>
      </c>
      <c r="BB316" s="1">
        <f t="shared" si="1041"/>
        <v>16.7142857142858</v>
      </c>
      <c r="BC316" s="4">
        <f t="shared" si="728"/>
        <v>78.0000000000043</v>
      </c>
      <c r="BD316" s="3">
        <f>VLOOKUP(D316,FEB23SOH,2,false)</f>
        <v>654.0</v>
      </c>
      <c r="BE316" s="44">
        <f>VLOOKUP(D316,UNITVALUE,4,false)</f>
        <v>2.0352</v>
      </c>
      <c r="BF316" s="44">
        <f t="shared" si="941"/>
        <v>1331.0208</v>
      </c>
      <c r="BI316" s="6">
        <f t="shared" si="1001"/>
        <v>575.999999999996</v>
      </c>
      <c r="BJ316" s="1">
        <f>VLOOKUP(C316,MOQ,3,FALSE())</f>
        <v>1002.0</v>
      </c>
      <c r="BM316" s="1">
        <f t="shared" si="1002"/>
        <v>654.0</v>
      </c>
      <c r="BN316" s="1">
        <f t="shared" si="1003"/>
        <v>9.65714285714284</v>
      </c>
      <c r="BP316" s="45">
        <f t="shared" si="1004"/>
        <v>644.342857142857</v>
      </c>
      <c r="BQ316" s="5">
        <f t="shared" si="1005"/>
        <v>1311.36658285714</v>
      </c>
      <c r="BR316" s="1">
        <f t="shared" si="1006"/>
        <v>12.0714285714286</v>
      </c>
      <c r="BS316" s="1">
        <f t="shared" si="1007"/>
      </c>
      <c r="BT316" s="45">
        <f t="shared" si="1008"/>
        <v>632.271428571429</v>
      </c>
      <c r="BU316" s="5">
        <f t="shared" si="1009"/>
        <v>1286.79881142857</v>
      </c>
      <c r="BV316" s="1">
        <f t="shared" si="1010"/>
        <v>13.0</v>
      </c>
      <c r="BW316" s="1">
        <f t="shared" si="1011"/>
      </c>
      <c r="BX316" s="45">
        <f t="shared" si="1012"/>
        <v>619.271428571429</v>
      </c>
      <c r="BY316" s="5">
        <f t="shared" si="1013"/>
        <v>1260.34121142857</v>
      </c>
      <c r="BZ316" s="1">
        <f t="shared" si="1014"/>
        <v>18.01428571429</v>
      </c>
      <c r="CB316" s="45">
        <f t="shared" si="1015"/>
        <v>601.257142857139</v>
      </c>
      <c r="CC316" s="5">
        <f t="shared" si="1016"/>
        <v>1223.67853714284</v>
      </c>
      <c r="CD316" s="1">
        <f t="shared" si="1017"/>
        <v>8.54285714285714</v>
      </c>
      <c r="CF316" s="45">
        <f t="shared" si="1018"/>
        <v>592.714285714281</v>
      </c>
      <c r="CG316" s="5">
        <f t="shared" si="1019"/>
        <v>1206.2921142857</v>
      </c>
      <c r="CH316" s="1">
        <f t="shared" si="1020"/>
        <v>16.7142857142858</v>
      </c>
      <c r="CJ316" s="45">
        <f t="shared" si="1021"/>
        <v>575.999999999995</v>
      </c>
      <c r="CK316" s="5">
        <f t="shared" si="1022"/>
        <v>1172.27519999999</v>
      </c>
    </row>
    <row r="317" ht="17.0">
      <c r="A317" s="41" t="s">
        <v>30</v>
      </c>
      <c r="B317" s="41" t="s">
        <v>647</v>
      </c>
      <c r="C317" s="41" t="s">
        <v>676</v>
      </c>
      <c r="D317" s="55" t="s">
        <v>677</v>
      </c>
      <c r="E317" s="41">
        <v>156.0</v>
      </c>
      <c r="F317" s="41">
        <v>90.0</v>
      </c>
      <c r="G317" s="41">
        <v>12.0</v>
      </c>
      <c r="H317" s="41">
        <v>6.0</v>
      </c>
      <c r="I317" s="41">
        <v>18.0</v>
      </c>
      <c r="J317" s="41">
        <v>30.0</v>
      </c>
      <c r="K317" s="41">
        <v>24.0</v>
      </c>
      <c r="L317" s="41">
        <v>13.0</v>
      </c>
      <c r="M317" s="41">
        <v>24.0</v>
      </c>
      <c r="N317" s="41">
        <v>18.0</v>
      </c>
      <c r="O317" s="41">
        <v>32.0</v>
      </c>
      <c r="P317" s="41">
        <v>18.0</v>
      </c>
      <c r="Q317" s="41">
        <v>15.0</v>
      </c>
      <c r="R317" s="41">
        <v>29.0</v>
      </c>
      <c r="S317" s="41">
        <v>27.0</v>
      </c>
      <c r="T317" s="41">
        <v>1.0</v>
      </c>
      <c r="U317" s="41">
        <v>40.0</v>
      </c>
      <c r="V317" s="41">
        <v>32.0</v>
      </c>
      <c r="W317" s="41">
        <v>7.0</v>
      </c>
      <c r="X317" s="41">
        <v>7.0</v>
      </c>
      <c r="Y317" s="41">
        <v>7.0</v>
      </c>
      <c r="Z317" s="41">
        <v>0.0</v>
      </c>
      <c r="AA317" s="41">
        <v>19.0</v>
      </c>
      <c r="AB317" s="41">
        <v>45.0</v>
      </c>
      <c r="AC317" s="41">
        <v>23.0</v>
      </c>
      <c r="AD317" s="41">
        <v>21.0</v>
      </c>
      <c r="AE317" s="41">
        <v>6.0</v>
      </c>
      <c r="AF317" s="41">
        <v>6.0</v>
      </c>
      <c r="AG317" s="41">
        <v>12.0</v>
      </c>
      <c r="AH317" s="41">
        <v>0.0</v>
      </c>
      <c r="AI317" s="41">
        <v>6.0</v>
      </c>
      <c r="AJ317" s="41">
        <v>18.0</v>
      </c>
      <c r="AK317" s="41">
        <v>18.0</v>
      </c>
      <c r="AL317" s="41">
        <v>24.0</v>
      </c>
      <c r="AM317" s="43">
        <v>18.0</v>
      </c>
      <c r="AN317" s="43">
        <v>12.0</v>
      </c>
      <c r="AO317" s="43">
        <v>24.0</v>
      </c>
      <c r="AP317" s="43">
        <v>30.0</v>
      </c>
      <c r="AQ317" s="43">
        <v>0.0</v>
      </c>
      <c r="AR317" s="43">
        <v>0.0</v>
      </c>
      <c r="AS317" s="43">
        <v>15.0</v>
      </c>
      <c r="AT317" s="4">
        <f t="shared" si="4"/>
        <v>165.0</v>
      </c>
      <c r="AU317" s="4">
        <f t="shared" si="5"/>
        <v>84.0</v>
      </c>
      <c r="AV317" s="4">
        <f t="shared" si="6"/>
        <v>92.4</v>
      </c>
      <c r="AW317" s="1">
        <f t="shared" si="1036"/>
        <v>12.6285714285714</v>
      </c>
      <c r="AX317" s="1">
        <f t="shared" si="1037"/>
        <v>15.7857142857142</v>
      </c>
      <c r="AY317" s="1">
        <f t="shared" si="1038"/>
        <v>17.0</v>
      </c>
      <c r="AZ317" s="1">
        <f t="shared" si="1039"/>
        <v>23.5571428571429</v>
      </c>
      <c r="BA317" s="1">
        <f t="shared" si="1040"/>
        <v>11.1714285714286</v>
      </c>
      <c r="BB317" s="1">
        <f t="shared" si="1041"/>
        <v>21.8571428571429</v>
      </c>
      <c r="BC317" s="4">
        <f t="shared" si="728"/>
        <v>102.0</v>
      </c>
      <c r="BD317" s="3">
        <f>VLOOKUP(D317,FEB23SOH,2,false)</f>
        <v>1292.0</v>
      </c>
      <c r="BE317" s="44">
        <f>VLOOKUP(D317,UNITVALUE,4,false)</f>
        <v>1.9406</v>
      </c>
      <c r="BF317" s="44">
        <f t="shared" si="941"/>
        <v>2507.2552</v>
      </c>
      <c r="BI317" s="6">
        <f t="shared" si="1001"/>
        <v>1190.0</v>
      </c>
      <c r="BJ317" s="1">
        <f>VLOOKUP(C317,MOQ,3,FALSE())</f>
        <v>1002.0</v>
      </c>
      <c r="BM317" s="1">
        <f t="shared" si="1002"/>
        <v>1292.0</v>
      </c>
      <c r="BN317" s="1">
        <f t="shared" si="1003"/>
        <v>12.6285714285714</v>
      </c>
      <c r="BP317" s="45">
        <f t="shared" si="1004"/>
        <v>1279.37142857142</v>
      </c>
      <c r="BQ317" s="5">
        <f t="shared" si="1005"/>
        <v>2482.7481942857</v>
      </c>
      <c r="BR317" s="1">
        <f t="shared" si="1006"/>
        <v>15.7857142857142</v>
      </c>
      <c r="BS317" s="1">
        <f t="shared" si="1007"/>
      </c>
      <c r="BT317" s="45">
        <f t="shared" si="1008"/>
        <v>1263.5857142857</v>
      </c>
      <c r="BU317" s="5">
        <f t="shared" si="1009"/>
        <v>2452.11443714282</v>
      </c>
      <c r="BV317" s="1">
        <f t="shared" si="1010"/>
        <v>17.0</v>
      </c>
      <c r="BW317" s="1">
        <f t="shared" si="1011"/>
      </c>
      <c r="BX317" s="45">
        <f t="shared" si="1012"/>
        <v>1246.5857142857</v>
      </c>
      <c r="BY317" s="5">
        <f t="shared" si="1013"/>
        <v>2419.12423714282</v>
      </c>
      <c r="BZ317" s="1">
        <f t="shared" si="1014"/>
        <v>23.5571428571429</v>
      </c>
      <c r="CB317" s="45">
        <f t="shared" si="1015"/>
        <v>1223.02857142856</v>
      </c>
      <c r="CC317" s="5">
        <f t="shared" si="1016"/>
        <v>2373.40924571426</v>
      </c>
      <c r="CD317" s="1">
        <f t="shared" si="1017"/>
        <v>11.1714285714286</v>
      </c>
      <c r="CF317" s="45">
        <f t="shared" si="1018"/>
        <v>1211.85714285713</v>
      </c>
      <c r="CG317" s="5">
        <f t="shared" si="1019"/>
        <v>2351.72997142854</v>
      </c>
      <c r="CH317" s="1">
        <f t="shared" si="1020"/>
        <v>21.8571428571429</v>
      </c>
      <c r="CJ317" s="45">
        <f t="shared" si="1021"/>
        <v>1189.99999999999</v>
      </c>
      <c r="CK317" s="5">
        <f t="shared" si="1022"/>
        <v>2309.31399999998</v>
      </c>
    </row>
    <row r="318" ht="17.0">
      <c r="A318" s="46" t="s">
        <v>30</v>
      </c>
      <c r="B318" s="46" t="s">
        <v>647</v>
      </c>
      <c r="C318" s="46" t="s">
        <v>678</v>
      </c>
      <c r="D318" s="47" t="s">
        <v>679</v>
      </c>
      <c r="E318" s="41">
        <v>1.0</v>
      </c>
      <c r="F318" s="41">
        <v>1.0</v>
      </c>
      <c r="G318" s="41">
        <v>1.0</v>
      </c>
      <c r="H318" s="41">
        <v>2.0</v>
      </c>
      <c r="I318" s="41">
        <v>4.0</v>
      </c>
      <c r="J318" s="41">
        <v>0.0</v>
      </c>
      <c r="K318" s="41">
        <v>1.0</v>
      </c>
      <c r="L318" s="41">
        <v>0.0</v>
      </c>
      <c r="M318" s="41">
        <v>0.0</v>
      </c>
      <c r="N318" s="41">
        <v>0.0</v>
      </c>
      <c r="O318" s="41">
        <v>2.0</v>
      </c>
      <c r="P318" s="41">
        <v>1.0</v>
      </c>
      <c r="Q318" s="41">
        <v>4.0</v>
      </c>
      <c r="R318" s="41">
        <v>1.0</v>
      </c>
      <c r="S318" s="41">
        <v>0.0</v>
      </c>
      <c r="T318" s="41">
        <v>2.0</v>
      </c>
      <c r="U318" s="41">
        <v>4.0</v>
      </c>
      <c r="V318" s="41">
        <v>6.0</v>
      </c>
      <c r="W318" s="41">
        <v>2.0</v>
      </c>
      <c r="X318" s="41">
        <v>3.0</v>
      </c>
      <c r="Y318" s="41">
        <v>2.0</v>
      </c>
      <c r="Z318" s="41">
        <v>0.0</v>
      </c>
      <c r="AA318" s="41">
        <v>0.0</v>
      </c>
      <c r="AB318" s="41">
        <v>0.0</v>
      </c>
      <c r="AC318" s="41">
        <v>0.0</v>
      </c>
      <c r="AD318" s="41">
        <v>0.0</v>
      </c>
      <c r="AE318" s="41">
        <v>0.0</v>
      </c>
      <c r="AF318" s="41">
        <v>0.0</v>
      </c>
      <c r="AG318" s="41">
        <v>0.0</v>
      </c>
      <c r="AH318" s="41">
        <v>2.0</v>
      </c>
      <c r="AI318" s="41">
        <v>2.0</v>
      </c>
      <c r="AJ318" s="41">
        <v>1.0</v>
      </c>
      <c r="AK318" s="41">
        <v>1.0</v>
      </c>
      <c r="AL318" s="41">
        <v>0.0</v>
      </c>
      <c r="AM318" s="43">
        <v>1.0</v>
      </c>
      <c r="AN318" s="43">
        <v>0.0</v>
      </c>
      <c r="AO318" s="43">
        <v>-1.0</v>
      </c>
      <c r="AP318" s="43">
        <v>0.0</v>
      </c>
      <c r="AQ318" s="43">
        <v>0.0</v>
      </c>
      <c r="AR318" s="43">
        <v>0.0</v>
      </c>
      <c r="AS318" s="43">
        <v>1.0</v>
      </c>
      <c r="AT318" s="4">
        <f t="shared" si="4"/>
        <v>7.0</v>
      </c>
      <c r="AU318" s="4">
        <f t="shared" si="5"/>
        <v>7.0</v>
      </c>
      <c r="AV318" s="4">
        <f t="shared" si="6"/>
        <v>7.7</v>
      </c>
      <c r="AW318" s="48">
        <f t="shared" ref="AW318:AW327" si="1042">AV318*$AW$4/$AV$4</f>
        <v>0.866666666666667</v>
      </c>
      <c r="AX318" s="48">
        <f t="shared" ref="AX318:AX327" si="1043">AV318*$AX$4/$AV$4</f>
        <v>1.08333333333333</v>
      </c>
      <c r="AY318" s="48">
        <f t="shared" ref="AY318:AY327" si="1044">AV318*$AY$4/$AV$4</f>
        <v>1.16666666666667</v>
      </c>
      <c r="AZ318" s="48">
        <f t="shared" ref="AZ318:AZ327" si="1045">AV318*$AZ$4/$AV$4</f>
        <v>1.61666666666667</v>
      </c>
      <c r="BA318" s="48">
        <f t="shared" ref="BA318:BA327" si="1046">AV318*$BA$4/$AV$4</f>
        <v>0.766666666666667</v>
      </c>
      <c r="BB318" s="48">
        <f t="shared" ref="BB318:BB327" si="1047">AV318*$BB$4/$AV$4</f>
        <v>1.5</v>
      </c>
      <c r="BC318" s="4">
        <f t="shared" si="728"/>
        <v>7.0</v>
      </c>
      <c r="BD318" s="3">
        <f>VLOOKUP(D318,FEB23SOH,2,false)</f>
        <v>3.0</v>
      </c>
      <c r="BE318" s="44">
        <f>VLOOKUP(D318,UNITVALUE,4,false)</f>
        <v>55.4533</v>
      </c>
      <c r="BF318" s="44">
        <f t="shared" si="941"/>
        <v>166.3599</v>
      </c>
      <c r="BK318" s="50"/>
      <c r="BP318" s="45"/>
      <c r="BT318" s="45"/>
      <c r="BU318" s="5"/>
      <c r="BX318" s="45"/>
      <c r="BY318" s="5"/>
      <c r="CB318" s="45"/>
      <c r="CC318" s="5"/>
      <c r="CF318" s="45"/>
      <c r="CG318" s="5"/>
      <c r="CJ318" s="45"/>
      <c r="CK318" s="5"/>
      <c r="CL318" s="49"/>
      <c r="CM318" s="49"/>
      <c r="CN318" s="49"/>
      <c r="CO318" s="49"/>
      <c r="CP318" s="49"/>
      <c r="CQ318" s="49"/>
      <c r="CR318" s="49"/>
      <c r="CS318" s="49"/>
      <c r="CT318" s="49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  <c r="DK318" s="49"/>
    </row>
    <row r="319" ht="17.0">
      <c r="A319" s="46" t="s">
        <v>30</v>
      </c>
      <c r="B319" s="46" t="s">
        <v>647</v>
      </c>
      <c r="C319" s="46" t="s">
        <v>680</v>
      </c>
      <c r="D319" s="47" t="s">
        <v>681</v>
      </c>
      <c r="E319" s="41">
        <v>0.0</v>
      </c>
      <c r="F319" s="41">
        <v>0.0</v>
      </c>
      <c r="G319" s="41">
        <v>0.0</v>
      </c>
      <c r="H319" s="41">
        <v>0.0</v>
      </c>
      <c r="I319" s="41">
        <v>0.0</v>
      </c>
      <c r="J319" s="41">
        <v>0.0</v>
      </c>
      <c r="K319" s="41">
        <v>0.0</v>
      </c>
      <c r="L319" s="41">
        <v>0.0</v>
      </c>
      <c r="M319" s="41">
        <v>0.0</v>
      </c>
      <c r="N319" s="41">
        <v>0.0</v>
      </c>
      <c r="O319" s="41">
        <v>0.0</v>
      </c>
      <c r="P319" s="41">
        <v>0.0</v>
      </c>
      <c r="Q319" s="41">
        <v>0.0</v>
      </c>
      <c r="R319" s="41">
        <v>0.0</v>
      </c>
      <c r="S319" s="41">
        <v>0.0</v>
      </c>
      <c r="T319" s="41">
        <v>0.0</v>
      </c>
      <c r="U319" s="41">
        <v>0.0</v>
      </c>
      <c r="V319" s="41">
        <v>0.0</v>
      </c>
      <c r="W319" s="41">
        <v>0.0</v>
      </c>
      <c r="X319" s="41">
        <v>0.0</v>
      </c>
      <c r="Y319" s="41">
        <v>8.0</v>
      </c>
      <c r="Z319" s="41">
        <v>3.0</v>
      </c>
      <c r="AA319" s="41">
        <v>1.0</v>
      </c>
      <c r="AB319" s="41">
        <v>3.0</v>
      </c>
      <c r="AC319" s="41">
        <v>4.0</v>
      </c>
      <c r="AD319" s="41">
        <v>1.0</v>
      </c>
      <c r="AE319" s="41">
        <v>0.0</v>
      </c>
      <c r="AF319" s="41">
        <v>0.0</v>
      </c>
      <c r="AG319" s="41">
        <v>0.0</v>
      </c>
      <c r="AH319" s="41">
        <v>0.0</v>
      </c>
      <c r="AI319" s="41">
        <v>0.0</v>
      </c>
      <c r="AJ319" s="41">
        <v>1.0</v>
      </c>
      <c r="AK319" s="41">
        <v>0.0</v>
      </c>
      <c r="AL319" s="41">
        <v>0.0</v>
      </c>
      <c r="AM319" s="43">
        <v>2.0</v>
      </c>
      <c r="AN319" s="43">
        <v>4.0</v>
      </c>
      <c r="AO319" s="43">
        <v>14.0</v>
      </c>
      <c r="AP319" s="43">
        <v>1.0</v>
      </c>
      <c r="AQ319" s="43">
        <v>0.0</v>
      </c>
      <c r="AR319" s="43">
        <v>0.0</v>
      </c>
      <c r="AS319" s="43">
        <v>1.0</v>
      </c>
      <c r="AT319" s="4">
        <f t="shared" si="4"/>
        <v>23.0</v>
      </c>
      <c r="AU319" s="4">
        <f t="shared" si="5"/>
        <v>3.0</v>
      </c>
      <c r="AV319" s="4">
        <f t="shared" si="6"/>
        <v>3.3</v>
      </c>
      <c r="AW319" s="48">
        <f t="shared" si="1042"/>
        <v>0.371428571428571</v>
      </c>
      <c r="AX319" s="48">
        <f t="shared" si="1043"/>
        <v>0.464285714285714</v>
      </c>
      <c r="AY319" s="48">
        <f t="shared" si="1044"/>
        <v>0.5</v>
      </c>
      <c r="AZ319" s="48">
        <f t="shared" si="1045"/>
        <v>0.692857142857142</v>
      </c>
      <c r="BA319" s="48">
        <f t="shared" si="1046"/>
        <v>0.328571428571429</v>
      </c>
      <c r="BB319" s="48">
        <f t="shared" si="1047"/>
        <v>0.642857142857142</v>
      </c>
      <c r="BC319" s="4">
        <f t="shared" si="728"/>
        <v>3.0</v>
      </c>
      <c r="BD319" s="3">
        <f>VLOOKUP(D319,FEB23SOH,2,false)</f>
        <v>2.0</v>
      </c>
      <c r="BE319" s="44">
        <f>VLOOKUP(D319,UNITVALUE,4,false)</f>
        <v>177.045</v>
      </c>
      <c r="BF319" s="44">
        <f t="shared" si="941"/>
        <v>354.09</v>
      </c>
      <c r="BK319" s="50"/>
      <c r="BP319" s="45"/>
      <c r="BT319" s="45"/>
      <c r="BU319" s="5"/>
      <c r="BX319" s="45"/>
      <c r="BY319" s="5"/>
      <c r="CB319" s="45"/>
      <c r="CC319" s="5"/>
      <c r="CF319" s="45"/>
      <c r="CG319" s="5"/>
      <c r="CJ319" s="45"/>
      <c r="CK319" s="5"/>
      <c r="CL319" s="49"/>
      <c r="CM319" s="49"/>
      <c r="CN319" s="49"/>
      <c r="CO319" s="49"/>
      <c r="CP319" s="49"/>
      <c r="CQ319" s="49"/>
      <c r="CR319" s="49"/>
      <c r="CS319" s="49"/>
      <c r="CT319" s="49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  <c r="DK319" s="49"/>
    </row>
    <row r="320" ht="17.0">
      <c r="A320" s="41" t="s">
        <v>30</v>
      </c>
      <c r="B320" s="10" t="s">
        <v>682</v>
      </c>
      <c r="C320" s="41" t="s">
        <v>683</v>
      </c>
      <c r="D320" s="42" t="s">
        <v>684</v>
      </c>
      <c r="E320" s="41">
        <v>21.0</v>
      </c>
      <c r="F320" s="41">
        <v>35.0</v>
      </c>
      <c r="G320" s="41">
        <v>62.0</v>
      </c>
      <c r="H320" s="41">
        <v>18.0</v>
      </c>
      <c r="I320" s="41">
        <v>10.0</v>
      </c>
      <c r="J320" s="41">
        <v>21.0</v>
      </c>
      <c r="K320" s="41">
        <v>24.0</v>
      </c>
      <c r="L320" s="41">
        <v>7.0</v>
      </c>
      <c r="M320" s="41">
        <v>21.0</v>
      </c>
      <c r="N320" s="41">
        <v>39.0</v>
      </c>
      <c r="O320" s="41">
        <v>9.0</v>
      </c>
      <c r="P320" s="41">
        <v>18.0</v>
      </c>
      <c r="Q320" s="41">
        <v>33.0</v>
      </c>
      <c r="R320" s="41">
        <v>24.0</v>
      </c>
      <c r="S320" s="41">
        <v>27.0</v>
      </c>
      <c r="T320" s="41">
        <v>18.0</v>
      </c>
      <c r="U320" s="41">
        <v>33.0</v>
      </c>
      <c r="V320" s="41">
        <v>36.0</v>
      </c>
      <c r="W320" s="41">
        <v>21.0</v>
      </c>
      <c r="X320" s="41">
        <v>22.0</v>
      </c>
      <c r="Y320" s="41">
        <v>7.0</v>
      </c>
      <c r="Z320" s="41">
        <v>16.0</v>
      </c>
      <c r="AA320" s="41">
        <v>18.0</v>
      </c>
      <c r="AB320" s="41">
        <v>24.0</v>
      </c>
      <c r="AC320" s="41">
        <v>33.0</v>
      </c>
      <c r="AD320" s="41">
        <v>54.0</v>
      </c>
      <c r="AE320" s="41">
        <v>27.0</v>
      </c>
      <c r="AF320" s="41">
        <v>18.0</v>
      </c>
      <c r="AG320" s="41">
        <v>18.0</v>
      </c>
      <c r="AH320" s="41">
        <v>9.0</v>
      </c>
      <c r="AI320" s="41">
        <v>15.0</v>
      </c>
      <c r="AJ320" s="41">
        <v>13.0</v>
      </c>
      <c r="AK320" s="41">
        <v>39.0</v>
      </c>
      <c r="AL320" s="41">
        <v>24.0</v>
      </c>
      <c r="AM320" s="43">
        <v>9.0</v>
      </c>
      <c r="AN320" s="43">
        <v>12.0</v>
      </c>
      <c r="AO320" s="43">
        <v>15.0</v>
      </c>
      <c r="AP320" s="43">
        <v>27.0</v>
      </c>
      <c r="AQ320" s="43">
        <v>12.0</v>
      </c>
      <c r="AR320" s="43">
        <v>15.0</v>
      </c>
      <c r="AS320" s="43">
        <v>22.0</v>
      </c>
      <c r="AT320" s="4">
        <f t="shared" si="4"/>
        <v>212.0</v>
      </c>
      <c r="AU320" s="4">
        <f t="shared" si="5"/>
        <v>109.0</v>
      </c>
      <c r="AV320" s="4">
        <f t="shared" si="6"/>
        <v>119.9</v>
      </c>
      <c r="AW320" s="1">
        <f t="shared" si="1042"/>
        <v>13.495238095238</v>
      </c>
      <c r="AX320" s="1">
        <f t="shared" si="1043"/>
        <v>16.8690476190476</v>
      </c>
      <c r="AY320" s="1">
        <f t="shared" si="1044"/>
        <v>18.1666666666667</v>
      </c>
      <c r="AZ320" s="1">
        <f t="shared" si="1045"/>
        <v>25.1738095238095</v>
      </c>
      <c r="BA320" s="1">
        <f t="shared" si="1046"/>
        <v>11.9380952380952</v>
      </c>
      <c r="BB320" s="1">
        <f t="shared" si="1047"/>
        <v>23.3571428571429</v>
      </c>
      <c r="BC320" s="4">
        <f t="shared" si="728"/>
        <v>109.0</v>
      </c>
      <c r="BD320" s="3">
        <f>VLOOKUP(D320,FEB23SOH,2,false)</f>
        <v>29.0</v>
      </c>
      <c r="BE320" s="44">
        <f>VLOOKUP(D320,UNITVALUE,4,false)</f>
        <v>3.0197</v>
      </c>
      <c r="BF320" s="44">
        <f t="shared" si="941"/>
        <v>87.5713</v>
      </c>
      <c r="BI320" s="6">
        <f t="shared" ref="BI320:BI331" si="1048">BD320+BG320+BH320-BC320</f>
        <v>-80.0</v>
      </c>
      <c r="BJ320" s="1">
        <f>VLOOKUP(C320,MOQ,3,FALSE())</f>
        <v>500.0</v>
      </c>
      <c r="BK320" s="53" t="s">
        <v>0</v>
      </c>
      <c r="BL320" s="8" t="s">
        <v>6</v>
      </c>
      <c r="BM320" s="1">
        <f t="shared" ref="BM320:BM331" si="1050">BD320</f>
        <v>29.0</v>
      </c>
      <c r="BN320" s="1">
        <f t="shared" ref="BN320:BN331" si="1051">AW320</f>
        <v>13.495238095238</v>
      </c>
      <c r="BP320" s="45">
        <f t="shared" ref="BP320:BP331" si="1052">BM320+BO320-BN320</f>
        <v>15.504761904762</v>
      </c>
      <c r="BQ320" s="5">
        <f t="shared" ref="BQ320:BQ331" si="1053">BP320*BE320</f>
        <v>46.8197295238098</v>
      </c>
      <c r="BR320" s="1">
        <f t="shared" ref="BR320:BR331" si="1054">AX320</f>
        <v>16.8690476190476</v>
      </c>
      <c r="BS320" s="1">
        <f t="shared" ref="BS320:BS331" si="1055">BG320</f>
      </c>
      <c r="BT320" s="45">
        <f t="shared" ref="BT320:BT331" si="1056">BP320+BS320-BR320</f>
        <v>-1.36428571428558</v>
      </c>
      <c r="BU320" s="5">
        <f t="shared" ref="BU320:BU321" si="1057">BT320*BE320</f>
        <v>-4.11973357142815</v>
      </c>
      <c r="BV320" s="1">
        <f t="shared" ref="BV320:BV331" si="1058">AY320</f>
        <v>18.1666666666667</v>
      </c>
      <c r="BW320" s="1">
        <f t="shared" ref="BW320:BW322" si="1059">BG320</f>
      </c>
      <c r="BX320" s="45">
        <f t="shared" ref="BX320:BX331" si="1060">BT320+BW320-BV320</f>
        <v>-19.5309523809522</v>
      </c>
      <c r="BY320" s="5">
        <f t="shared" ref="BY320:BY321" si="1061">BX320*BE320</f>
        <v>-58.9776169047613</v>
      </c>
      <c r="BZ320" s="1">
        <f t="shared" ref="BZ320:BZ331" si="1062">AZ320</f>
        <v>25.1738095238095</v>
      </c>
      <c r="CB320" s="45">
        <f t="shared" ref="CB320:CB331" si="1063">BX320+CA320-BZ320</f>
        <v>-44.7047619047615</v>
      </c>
      <c r="CC320" s="5"/>
      <c r="CD320" s="1">
        <f t="shared" ref="CD320:CD331" si="1064">BA320</f>
        <v>11.9380952380952</v>
      </c>
      <c r="CF320" s="45">
        <f t="shared" ref="CF320:CF331" si="1065">CB320+CE320-CD320</f>
        <v>-56.6428571428567</v>
      </c>
      <c r="CG320" s="5"/>
      <c r="CH320" s="1">
        <f t="shared" ref="CH320:CH331" si="1066">BB320</f>
        <v>23.3571428571429</v>
      </c>
      <c r="CJ320" s="45">
        <f t="shared" ref="CJ320:CJ331" si="1067">CF320+CI320-CH320</f>
        <v>-79.9999999999996</v>
      </c>
      <c r="CK320" s="5"/>
    </row>
    <row r="321" ht="17.0">
      <c r="A321" s="41" t="s">
        <v>30</v>
      </c>
      <c r="B321" s="41" t="s">
        <v>682</v>
      </c>
      <c r="C321" s="41" t="s">
        <v>685</v>
      </c>
      <c r="D321" s="42" t="s">
        <v>686</v>
      </c>
      <c r="E321" s="41">
        <v>51.0</v>
      </c>
      <c r="F321" s="41">
        <v>70.0</v>
      </c>
      <c r="G321" s="41">
        <v>85.0</v>
      </c>
      <c r="H321" s="41">
        <v>43.0</v>
      </c>
      <c r="I321" s="41">
        <v>30.0</v>
      </c>
      <c r="J321" s="41">
        <v>69.0</v>
      </c>
      <c r="K321" s="41">
        <v>43.0</v>
      </c>
      <c r="L321" s="41">
        <v>37.0</v>
      </c>
      <c r="M321" s="41">
        <v>42.0</v>
      </c>
      <c r="N321" s="41">
        <v>78.0</v>
      </c>
      <c r="O321" s="41">
        <v>18.0</v>
      </c>
      <c r="P321" s="41">
        <v>53.0</v>
      </c>
      <c r="Q321" s="41">
        <v>74.0</v>
      </c>
      <c r="R321" s="41">
        <v>88.0</v>
      </c>
      <c r="S321" s="41">
        <v>89.0</v>
      </c>
      <c r="T321" s="41">
        <v>31.0</v>
      </c>
      <c r="U321" s="41">
        <v>68.0</v>
      </c>
      <c r="V321" s="41">
        <v>79.0</v>
      </c>
      <c r="W321" s="41">
        <v>65.0</v>
      </c>
      <c r="X321" s="41">
        <v>73.0</v>
      </c>
      <c r="Y321" s="41">
        <v>48.0</v>
      </c>
      <c r="Z321" s="41">
        <v>57.0</v>
      </c>
      <c r="AA321" s="41">
        <v>57.0</v>
      </c>
      <c r="AB321" s="41">
        <v>78.0</v>
      </c>
      <c r="AC321" s="41">
        <v>111.0</v>
      </c>
      <c r="AD321" s="41">
        <v>171.0</v>
      </c>
      <c r="AE321" s="41">
        <v>86.0</v>
      </c>
      <c r="AF321" s="41">
        <v>60.0</v>
      </c>
      <c r="AG321" s="41">
        <v>9.0</v>
      </c>
      <c r="AH321" s="41">
        <v>35.0</v>
      </c>
      <c r="AI321" s="41">
        <v>54.0</v>
      </c>
      <c r="AJ321" s="41">
        <v>52.0</v>
      </c>
      <c r="AK321" s="41">
        <v>42.0</v>
      </c>
      <c r="AL321" s="41">
        <v>30.0</v>
      </c>
      <c r="AM321" s="43">
        <v>38.0</v>
      </c>
      <c r="AN321" s="43">
        <v>18.0</v>
      </c>
      <c r="AO321" s="43">
        <v>51.0</v>
      </c>
      <c r="AP321" s="43">
        <v>42.0</v>
      </c>
      <c r="AQ321" s="43">
        <v>39.0</v>
      </c>
      <c r="AR321" s="43">
        <v>23.0</v>
      </c>
      <c r="AS321" s="43">
        <v>29.0</v>
      </c>
      <c r="AT321" s="4">
        <f t="shared" si="4"/>
        <v>453.0</v>
      </c>
      <c r="AU321" s="4">
        <f t="shared" si="5"/>
        <v>251.0</v>
      </c>
      <c r="AV321" s="4">
        <f t="shared" si="6"/>
        <v>276.1</v>
      </c>
      <c r="AW321" s="1">
        <f t="shared" si="1042"/>
        <v>31.0761904761904</v>
      </c>
      <c r="AX321" s="1">
        <f t="shared" si="1043"/>
        <v>38.845238095238</v>
      </c>
      <c r="AY321" s="1">
        <f t="shared" si="1044"/>
        <v>41.8333333333333</v>
      </c>
      <c r="AZ321" s="1">
        <f t="shared" si="1045"/>
        <v>57.9690476190476</v>
      </c>
      <c r="BA321" s="1">
        <f t="shared" si="1046"/>
        <v>27.4904761904761</v>
      </c>
      <c r="BB321" s="1">
        <f t="shared" si="1047"/>
        <v>53.7857142857142</v>
      </c>
      <c r="BC321" s="4">
        <f t="shared" si="728"/>
        <v>251.0</v>
      </c>
      <c r="BD321" s="3">
        <f>VLOOKUP(D321,FEB23SOH,2,false)</f>
        <v>554.0</v>
      </c>
      <c r="BE321" s="44">
        <f>VLOOKUP(D321,UNITVALUE,4,false)</f>
        <v>4.0397</v>
      </c>
      <c r="BF321" s="44">
        <f t="shared" si="941"/>
        <v>2237.9938</v>
      </c>
      <c r="BI321" s="6">
        <f t="shared" si="1048"/>
        <v>303.0</v>
      </c>
      <c r="BJ321" s="1">
        <f>VLOOKUP(C321,MOQ,3,FALSE())</f>
        <v>500.0</v>
      </c>
      <c r="BM321" s="1">
        <f t="shared" si="1050"/>
        <v>554.0</v>
      </c>
      <c r="BN321" s="1">
        <f t="shared" si="1051"/>
        <v>31.0761904761904</v>
      </c>
      <c r="BP321" s="45">
        <f t="shared" si="1052"/>
        <v>522.92380952381</v>
      </c>
      <c r="BQ321" s="5">
        <f t="shared" si="1053"/>
        <v>2112.45531333333</v>
      </c>
      <c r="BR321" s="1">
        <f t="shared" si="1054"/>
        <v>38.845238095238</v>
      </c>
      <c r="BS321" s="1">
        <f t="shared" si="1055"/>
      </c>
      <c r="BT321" s="45">
        <f t="shared" si="1056"/>
        <v>484.078571428571</v>
      </c>
      <c r="BU321" s="5">
        <f t="shared" si="1057"/>
        <v>1955.532205</v>
      </c>
      <c r="BV321" s="1">
        <f t="shared" si="1058"/>
        <v>41.8333333333333</v>
      </c>
      <c r="BW321" s="1">
        <f t="shared" si="1059"/>
      </c>
      <c r="BX321" s="45">
        <f t="shared" si="1060"/>
        <v>442.24523809523</v>
      </c>
      <c r="BY321" s="5">
        <f t="shared" si="1061"/>
        <v>1786.5380883333</v>
      </c>
      <c r="BZ321" s="1">
        <f t="shared" si="1062"/>
        <v>57.9690476190476</v>
      </c>
      <c r="CB321" s="45">
        <f t="shared" si="1063"/>
        <v>384.276190476182</v>
      </c>
      <c r="CC321" s="5">
        <f>CB321*BE321</f>
        <v>1552.36052666663</v>
      </c>
      <c r="CD321" s="1">
        <f t="shared" si="1064"/>
        <v>27.4904761904761</v>
      </c>
      <c r="CF321" s="45">
        <f t="shared" si="1065"/>
        <v>356.7857142857</v>
      </c>
      <c r="CG321" s="5">
        <f>CF321*BE321</f>
        <v>1441.30724999994</v>
      </c>
      <c r="CH321" s="1">
        <f t="shared" si="1066"/>
        <v>53.7857142857142</v>
      </c>
      <c r="CJ321" s="45">
        <f t="shared" si="1067"/>
        <v>302.999999999986</v>
      </c>
      <c r="CK321" s="5">
        <f>CJ321*BE321</f>
        <v>1224.02909999994</v>
      </c>
    </row>
    <row r="322" ht="17.0">
      <c r="A322" s="41" t="s">
        <v>30</v>
      </c>
      <c r="B322" s="10" t="s">
        <v>682</v>
      </c>
      <c r="C322" s="41" t="s">
        <v>687</v>
      </c>
      <c r="D322" s="42" t="s">
        <v>688</v>
      </c>
      <c r="E322" s="41">
        <v>24.0</v>
      </c>
      <c r="F322" s="41">
        <v>134.0</v>
      </c>
      <c r="G322" s="41">
        <v>51.0</v>
      </c>
      <c r="H322" s="41">
        <v>40.0</v>
      </c>
      <c r="I322" s="41">
        <v>19.0</v>
      </c>
      <c r="J322" s="41">
        <v>19.0</v>
      </c>
      <c r="K322" s="41">
        <v>18.0</v>
      </c>
      <c r="L322" s="41">
        <v>29.0</v>
      </c>
      <c r="M322" s="41">
        <v>19.0</v>
      </c>
      <c r="N322" s="41">
        <v>28.0</v>
      </c>
      <c r="O322" s="41">
        <v>12.0</v>
      </c>
      <c r="P322" s="41">
        <v>10.0</v>
      </c>
      <c r="Q322" s="41">
        <v>18.0</v>
      </c>
      <c r="R322" s="41">
        <v>34.0</v>
      </c>
      <c r="S322" s="41">
        <v>31.0</v>
      </c>
      <c r="T322" s="41">
        <v>18.0</v>
      </c>
      <c r="U322" s="41">
        <v>15.0</v>
      </c>
      <c r="V322" s="41">
        <v>39.0</v>
      </c>
      <c r="W322" s="41">
        <v>27.0</v>
      </c>
      <c r="X322" s="41">
        <v>12.0</v>
      </c>
      <c r="Y322" s="41">
        <v>12.0</v>
      </c>
      <c r="Z322" s="41">
        <v>25.0</v>
      </c>
      <c r="AA322" s="41">
        <v>9.0</v>
      </c>
      <c r="AB322" s="41">
        <v>30.0</v>
      </c>
      <c r="AC322" s="41">
        <v>33.0</v>
      </c>
      <c r="AD322" s="41">
        <v>66.0</v>
      </c>
      <c r="AE322" s="41">
        <v>37.0</v>
      </c>
      <c r="AF322" s="41">
        <v>21.0</v>
      </c>
      <c r="AG322" s="41">
        <v>8.0</v>
      </c>
      <c r="AH322" s="41">
        <v>30.0</v>
      </c>
      <c r="AI322" s="41">
        <v>21.0</v>
      </c>
      <c r="AJ322" s="41">
        <v>27.0</v>
      </c>
      <c r="AK322" s="41">
        <v>13.0</v>
      </c>
      <c r="AL322" s="41">
        <v>27.0</v>
      </c>
      <c r="AM322" s="43">
        <v>28.0</v>
      </c>
      <c r="AN322" s="43">
        <v>18.0</v>
      </c>
      <c r="AO322" s="43">
        <v>18.0</v>
      </c>
      <c r="AP322" s="43">
        <v>48.0</v>
      </c>
      <c r="AQ322" s="43">
        <v>24.0</v>
      </c>
      <c r="AR322" s="43">
        <v>6.0</v>
      </c>
      <c r="AS322" s="43">
        <v>0.0</v>
      </c>
      <c r="AT322" s="4">
        <f t="shared" si="4"/>
        <v>260.0</v>
      </c>
      <c r="AU322" s="4">
        <f t="shared" si="5"/>
        <v>146.0</v>
      </c>
      <c r="AV322" s="4">
        <f t="shared" si="6"/>
        <v>160.6</v>
      </c>
      <c r="AW322" s="1">
        <f t="shared" si="1042"/>
        <v>18.0761904761904</v>
      </c>
      <c r="AX322" s="1">
        <f t="shared" si="1043"/>
        <v>22.595238095238</v>
      </c>
      <c r="AY322" s="1">
        <f t="shared" si="1044"/>
        <v>24.3333333333333</v>
      </c>
      <c r="AZ322" s="1">
        <f t="shared" si="1045"/>
        <v>33.7190476190476</v>
      </c>
      <c r="BA322" s="1">
        <f t="shared" si="1046"/>
        <v>15.9904761904761</v>
      </c>
      <c r="BB322" s="1">
        <f t="shared" si="1047"/>
        <v>31.2857142857142</v>
      </c>
      <c r="BC322" s="4">
        <f t="shared" si="728"/>
        <v>146.0</v>
      </c>
      <c r="BD322" s="3">
        <f>VLOOKUP(D322,FEB23SOH,2,false)</f>
        <v>0.0</v>
      </c>
      <c r="BE322" s="44">
        <f>VLOOKUP(D322,UNITVALUE,4,false)</f>
      </c>
      <c r="BF322" s="44">
        <f t="shared" si="941"/>
        <v>0.0</v>
      </c>
      <c r="BI322" s="6">
        <f t="shared" si="1048"/>
        <v>-146.0</v>
      </c>
      <c r="BJ322" s="1">
        <f>VLOOKUP(C322,MOQ,3,FALSE())</f>
        <v>500.0</v>
      </c>
      <c r="BK322" s="53" t="s">
        <v>0</v>
      </c>
      <c r="BL322" s="8" t="s">
        <v>68</v>
      </c>
      <c r="BM322" s="1">
        <f t="shared" si="1050"/>
        <v>0.0</v>
      </c>
      <c r="BN322" s="1">
        <f t="shared" si="1051"/>
        <v>18.0761904761904</v>
      </c>
      <c r="BP322" s="45">
        <f t="shared" si="1052"/>
        <v>-18.0761904761904</v>
      </c>
      <c r="BQ322" s="5">
        <f t="shared" si="1053"/>
        <v>0.0</v>
      </c>
      <c r="BR322" s="1">
        <f t="shared" si="1054"/>
        <v>22.595238095238</v>
      </c>
      <c r="BS322" s="1">
        <f t="shared" si="1055"/>
      </c>
      <c r="BT322" s="45">
        <f t="shared" si="1056"/>
        <v>-40.6714285714284</v>
      </c>
      <c r="BU322" s="5"/>
      <c r="BV322" s="1">
        <f t="shared" si="1058"/>
        <v>24.3333333333333</v>
      </c>
      <c r="BW322" s="1">
        <f t="shared" si="1059"/>
      </c>
      <c r="BX322" s="45">
        <f t="shared" si="1060"/>
        <v>-65.0047619047617</v>
      </c>
      <c r="BY322" s="5"/>
      <c r="BZ322" s="1">
        <f t="shared" si="1062"/>
        <v>33.7190476190476</v>
      </c>
      <c r="CB322" s="45">
        <f t="shared" si="1063"/>
        <v>-98.7238095238093</v>
      </c>
      <c r="CC322" s="5"/>
      <c r="CD322" s="1">
        <f t="shared" si="1064"/>
        <v>15.9904761904761</v>
      </c>
      <c r="CF322" s="45">
        <f t="shared" si="1065"/>
        <v>-114.714285714285</v>
      </c>
      <c r="CG322" s="5"/>
      <c r="CH322" s="1">
        <f t="shared" si="1066"/>
        <v>31.2857142857142</v>
      </c>
      <c r="CJ322" s="45">
        <f t="shared" si="1067"/>
        <v>-145.999999999999</v>
      </c>
      <c r="CK322" s="5"/>
    </row>
    <row r="323" ht="17.0">
      <c r="A323" s="41" t="s">
        <v>30</v>
      </c>
      <c r="B323" s="41" t="s">
        <v>682</v>
      </c>
      <c r="C323" s="41" t="s">
        <v>689</v>
      </c>
      <c r="D323" s="42" t="s">
        <v>690</v>
      </c>
      <c r="E323" s="41">
        <v>0.0</v>
      </c>
      <c r="F323" s="41">
        <v>0.0</v>
      </c>
      <c r="G323" s="41">
        <v>0.0</v>
      </c>
      <c r="H323" s="41">
        <v>0.0</v>
      </c>
      <c r="I323" s="41">
        <v>133.0</v>
      </c>
      <c r="J323" s="41">
        <v>213.0</v>
      </c>
      <c r="K323" s="41">
        <v>159.0</v>
      </c>
      <c r="L323" s="41">
        <v>3.0</v>
      </c>
      <c r="M323" s="41">
        <v>0.0</v>
      </c>
      <c r="N323" s="41">
        <v>129.0</v>
      </c>
      <c r="O323" s="41">
        <v>154.0</v>
      </c>
      <c r="P323" s="41">
        <v>190.0</v>
      </c>
      <c r="Q323" s="41">
        <v>312.0</v>
      </c>
      <c r="R323" s="41">
        <v>208.0</v>
      </c>
      <c r="S323" s="41">
        <v>66.0</v>
      </c>
      <c r="T323" s="41">
        <v>97.0</v>
      </c>
      <c r="U323" s="41">
        <v>122.0</v>
      </c>
      <c r="V323" s="41">
        <v>274.0</v>
      </c>
      <c r="W323" s="41">
        <v>172.0</v>
      </c>
      <c r="X323" s="41">
        <v>176.0</v>
      </c>
      <c r="Y323" s="41">
        <v>109.0</v>
      </c>
      <c r="Z323" s="41">
        <v>120.0</v>
      </c>
      <c r="AA323" s="41">
        <v>46.0</v>
      </c>
      <c r="AB323" s="41">
        <v>217.0</v>
      </c>
      <c r="AC323" s="41">
        <v>164.0</v>
      </c>
      <c r="AD323" s="41">
        <v>159.0</v>
      </c>
      <c r="AE323" s="41">
        <v>132.0</v>
      </c>
      <c r="AF323" s="41">
        <v>84.0</v>
      </c>
      <c r="AG323" s="41">
        <v>147.0</v>
      </c>
      <c r="AH323" s="41">
        <v>120.0</v>
      </c>
      <c r="AI323" s="41">
        <v>105.0</v>
      </c>
      <c r="AJ323" s="41">
        <v>89.0</v>
      </c>
      <c r="AK323" s="41">
        <v>69.0</v>
      </c>
      <c r="AL323" s="41">
        <v>84.0</v>
      </c>
      <c r="AM323" s="43">
        <v>57.0</v>
      </c>
      <c r="AN323" s="43">
        <v>119.0</v>
      </c>
      <c r="AO323" s="43">
        <v>102.0</v>
      </c>
      <c r="AP323" s="43">
        <v>69.0</v>
      </c>
      <c r="AQ323" s="43">
        <v>117.0</v>
      </c>
      <c r="AR323" s="43">
        <v>90.0</v>
      </c>
      <c r="AS323" s="43">
        <v>116.0</v>
      </c>
      <c r="AT323" s="4">
        <f t="shared" si="4"/>
        <v>1137.0</v>
      </c>
      <c r="AU323" s="4">
        <f t="shared" si="5"/>
        <v>524.0</v>
      </c>
      <c r="AV323" s="4">
        <f t="shared" si="6"/>
        <v>576.4</v>
      </c>
      <c r="AW323" s="1">
        <f t="shared" si="1042"/>
        <v>64.8761904761904</v>
      </c>
      <c r="AX323" s="1">
        <f t="shared" si="1043"/>
        <v>81.095238095238</v>
      </c>
      <c r="AY323" s="1">
        <f t="shared" si="1044"/>
        <v>87.3333333333333</v>
      </c>
      <c r="AZ323" s="1">
        <f t="shared" si="1045"/>
        <v>121.019047619048</v>
      </c>
      <c r="BA323" s="1">
        <f t="shared" si="1046"/>
        <v>57.3904761904761</v>
      </c>
      <c r="BB323" s="1">
        <f t="shared" si="1047"/>
        <v>112.285714285714</v>
      </c>
      <c r="BC323" s="4">
        <f t="shared" si="728"/>
        <v>524.0</v>
      </c>
      <c r="BD323" s="3">
        <f>VLOOKUP(D323,FEB23SOH,2,false)</f>
        <v>4.0</v>
      </c>
      <c r="BE323" s="44">
        <f>VLOOKUP(D323,UNITVALUE,4,false)</f>
        <v>4.0</v>
      </c>
      <c r="BF323" s="44">
        <f t="shared" si="941"/>
        <v>16.0</v>
      </c>
      <c r="BG323" s="1">
        <f>VLOOKUP(D323,ETAMAR7,2,false)</f>
        <v>501.0</v>
      </c>
      <c r="BI323" s="6">
        <f t="shared" si="1048"/>
        <v>-19.0</v>
      </c>
      <c r="BJ323" s="1">
        <v>500.0</v>
      </c>
      <c r="BK323" s="51">
        <f>BJ323</f>
        <v>500.0</v>
      </c>
      <c r="BL323" s="8" t="s">
        <v>5</v>
      </c>
      <c r="BM323" s="1">
        <f t="shared" si="1050"/>
        <v>4.0</v>
      </c>
      <c r="BN323" s="1">
        <f t="shared" si="1051"/>
        <v>64.8761904761904</v>
      </c>
      <c r="BP323" s="45">
        <f t="shared" si="1052"/>
        <v>-60.8761904761904</v>
      </c>
      <c r="BQ323" s="5">
        <f t="shared" si="1053"/>
        <v>-243.504761904761</v>
      </c>
      <c r="BR323" s="1">
        <f t="shared" si="1054"/>
        <v>81.095238095238</v>
      </c>
      <c r="BS323" s="1">
        <f t="shared" si="1055"/>
        <v>501.0</v>
      </c>
      <c r="BT323" s="45">
        <f t="shared" si="1056"/>
        <v>359.028571428572</v>
      </c>
      <c r="BU323" s="5">
        <f t="shared" ref="BU323:BU329" si="1073">BT323*BE323</f>
        <v>1436.11428571429</v>
      </c>
      <c r="BV323" s="1">
        <f t="shared" si="1058"/>
        <v>87.3333333333333</v>
      </c>
      <c r="BX323" s="45">
        <f t="shared" si="1060"/>
        <v>271.695238095239</v>
      </c>
      <c r="BY323" s="5">
        <f t="shared" ref="BY323:BY324" si="1074">BX323*BE323</f>
        <v>1086.780952381</v>
      </c>
      <c r="BZ323" s="1">
        <f t="shared" si="1062"/>
        <v>121.019047619048</v>
      </c>
      <c r="CB323" s="45">
        <f t="shared" si="1063"/>
        <v>150.676190476191</v>
      </c>
      <c r="CC323" s="5">
        <f t="shared" ref="CC323:CC324" si="1075">CB323*BE323</f>
        <v>602.704761904764</v>
      </c>
      <c r="CD323" s="1">
        <f t="shared" si="1064"/>
        <v>57.3904761904761</v>
      </c>
      <c r="CF323" s="45">
        <f t="shared" si="1065"/>
        <v>93.2857142857149</v>
      </c>
      <c r="CG323" s="5">
        <f>CF323*BE323</f>
        <v>373.14285714286</v>
      </c>
      <c r="CH323" s="1">
        <f t="shared" si="1066"/>
        <v>112.285714285714</v>
      </c>
      <c r="CJ323" s="45">
        <f t="shared" si="1067"/>
        <v>-18.999999999999</v>
      </c>
      <c r="CK323" s="5">
        <f>CJ323*BE323</f>
        <v>-75.999999999996</v>
      </c>
    </row>
    <row r="324" ht="17.0">
      <c r="A324" s="41" t="s">
        <v>30</v>
      </c>
      <c r="B324" s="10" t="s">
        <v>682</v>
      </c>
      <c r="C324" s="41" t="s">
        <v>691</v>
      </c>
      <c r="D324" s="42" t="s">
        <v>692</v>
      </c>
      <c r="E324" s="41">
        <v>0.0</v>
      </c>
      <c r="F324" s="41">
        <v>0.0</v>
      </c>
      <c r="G324" s="41">
        <v>0.0</v>
      </c>
      <c r="H324" s="41">
        <v>0.0</v>
      </c>
      <c r="I324" s="41">
        <v>99.0</v>
      </c>
      <c r="J324" s="41">
        <v>150.0</v>
      </c>
      <c r="K324" s="41">
        <v>138.0</v>
      </c>
      <c r="L324" s="41">
        <v>107.0</v>
      </c>
      <c r="M324" s="41">
        <v>3.0</v>
      </c>
      <c r="N324" s="41">
        <v>87.0</v>
      </c>
      <c r="O324" s="41">
        <v>87.0</v>
      </c>
      <c r="P324" s="41">
        <v>113.0</v>
      </c>
      <c r="Q324" s="41">
        <v>180.0</v>
      </c>
      <c r="R324" s="41">
        <v>111.0</v>
      </c>
      <c r="S324" s="41">
        <v>99.0</v>
      </c>
      <c r="T324" s="41">
        <v>68.0</v>
      </c>
      <c r="U324" s="41">
        <v>102.0</v>
      </c>
      <c r="V324" s="41">
        <v>105.0</v>
      </c>
      <c r="W324" s="41">
        <v>93.0</v>
      </c>
      <c r="X324" s="41">
        <v>60.0</v>
      </c>
      <c r="Y324" s="41">
        <v>61.0</v>
      </c>
      <c r="Z324" s="41">
        <v>53.0</v>
      </c>
      <c r="AA324" s="41">
        <v>54.0</v>
      </c>
      <c r="AB324" s="41">
        <v>66.0</v>
      </c>
      <c r="AC324" s="41">
        <v>44.0</v>
      </c>
      <c r="AD324" s="41">
        <v>44.0</v>
      </c>
      <c r="AE324" s="41">
        <v>59.0</v>
      </c>
      <c r="AF324" s="41">
        <v>48.0</v>
      </c>
      <c r="AG324" s="41">
        <v>45.0</v>
      </c>
      <c r="AH324" s="41">
        <v>27.0</v>
      </c>
      <c r="AI324" s="41">
        <v>27.0</v>
      </c>
      <c r="AJ324" s="41">
        <v>49.0</v>
      </c>
      <c r="AK324" s="41">
        <v>24.0</v>
      </c>
      <c r="AL324" s="41">
        <v>15.0</v>
      </c>
      <c r="AM324" s="43">
        <v>27.0</v>
      </c>
      <c r="AN324" s="43">
        <v>39.0</v>
      </c>
      <c r="AO324" s="43">
        <v>76.0</v>
      </c>
      <c r="AP324" s="43">
        <v>42.0</v>
      </c>
      <c r="AQ324" s="43">
        <v>57.0</v>
      </c>
      <c r="AR324" s="43">
        <v>33.0</v>
      </c>
      <c r="AS324" s="43">
        <v>47.0</v>
      </c>
      <c r="AT324" s="4">
        <f t="shared" si="4"/>
        <v>463.0</v>
      </c>
      <c r="AU324" s="4">
        <f t="shared" si="5"/>
        <v>169.0</v>
      </c>
      <c r="AV324" s="4">
        <f t="shared" si="6"/>
        <v>185.9</v>
      </c>
      <c r="AW324" s="1">
        <f t="shared" si="1042"/>
        <v>20.9238095238095</v>
      </c>
      <c r="AX324" s="1">
        <f t="shared" si="1043"/>
        <v>26.1547619047619</v>
      </c>
      <c r="AY324" s="1">
        <f t="shared" si="1044"/>
        <v>28.1666666666667</v>
      </c>
      <c r="AZ324" s="1">
        <f t="shared" si="1045"/>
        <v>39.0309523809523</v>
      </c>
      <c r="BA324" s="1">
        <f t="shared" si="1046"/>
        <v>18.5095238095238</v>
      </c>
      <c r="BB324" s="1">
        <f t="shared" si="1047"/>
        <v>36.2142857142857</v>
      </c>
      <c r="BC324" s="4">
        <f t="shared" si="728"/>
        <v>169.0</v>
      </c>
      <c r="BD324" s="3">
        <f>VLOOKUP(D324,FEB23SOH,2,false)</f>
        <v>54.0</v>
      </c>
      <c r="BE324" s="44">
        <f>VLOOKUP(D324,UNITVALUE,4,false)</f>
        <v>4.1478</v>
      </c>
      <c r="BF324" s="44">
        <f t="shared" si="941"/>
        <v>223.9812</v>
      </c>
      <c r="BI324" s="6">
        <f t="shared" si="1048"/>
        <v>-115.0</v>
      </c>
      <c r="BJ324" s="1">
        <v>500.0</v>
      </c>
      <c r="BK324" s="53" t="s">
        <v>0</v>
      </c>
      <c r="BL324" s="8" t="s">
        <v>7</v>
      </c>
      <c r="BM324" s="1">
        <f t="shared" si="1050"/>
        <v>54.0</v>
      </c>
      <c r="BN324" s="1">
        <f t="shared" si="1051"/>
        <v>20.9238095238095</v>
      </c>
      <c r="BP324" s="45">
        <f t="shared" si="1052"/>
        <v>33.0761904761905</v>
      </c>
      <c r="BQ324" s="5">
        <f t="shared" si="1053"/>
        <v>137.193422857142</v>
      </c>
      <c r="BR324" s="1">
        <f t="shared" si="1054"/>
        <v>26.1547619047619</v>
      </c>
      <c r="BS324" s="1">
        <f t="shared" si="1055"/>
      </c>
      <c r="BT324" s="45">
        <f t="shared" si="1056"/>
        <v>6.9214285714286</v>
      </c>
      <c r="BU324" s="5">
        <f t="shared" si="1073"/>
        <v>28.7087014285715</v>
      </c>
      <c r="BV324" s="1">
        <f t="shared" si="1058"/>
        <v>28.1666666666667</v>
      </c>
      <c r="BW324" s="1">
        <f t="shared" ref="BW324:BW331" si="1078">BG324</f>
      </c>
      <c r="BX324" s="45">
        <f t="shared" si="1060"/>
        <v>-21.2452380952381</v>
      </c>
      <c r="BY324" s="5">
        <f t="shared" si="1074"/>
        <v>-88.1209985714286</v>
      </c>
      <c r="BZ324" s="1">
        <f t="shared" si="1062"/>
        <v>39.0309523809523</v>
      </c>
      <c r="CB324" s="45">
        <f t="shared" si="1063"/>
        <v>-60.2761904761904</v>
      </c>
      <c r="CC324" s="5">
        <f t="shared" si="1075"/>
        <v>-250.013582857142</v>
      </c>
      <c r="CD324" s="1">
        <f t="shared" si="1064"/>
        <v>18.5095238095238</v>
      </c>
      <c r="CF324" s="45">
        <f t="shared" si="1065"/>
        <v>-78.7857142857141</v>
      </c>
      <c r="CG324" s="5"/>
      <c r="CH324" s="1">
        <f t="shared" si="1066"/>
        <v>36.2142857142857</v>
      </c>
      <c r="CJ324" s="45">
        <f t="shared" si="1067"/>
        <v>-114.9999999998</v>
      </c>
      <c r="CK324" s="5"/>
    </row>
    <row r="325" ht="17.0">
      <c r="A325" s="41" t="s">
        <v>30</v>
      </c>
      <c r="B325" s="10" t="s">
        <v>682</v>
      </c>
      <c r="C325" s="41" t="s">
        <v>693</v>
      </c>
      <c r="D325" s="42" t="s">
        <v>694</v>
      </c>
      <c r="E325" s="41">
        <v>0.0</v>
      </c>
      <c r="F325" s="41">
        <v>0.0</v>
      </c>
      <c r="G325" s="41">
        <v>0.0</v>
      </c>
      <c r="H325" s="41">
        <v>0.0</v>
      </c>
      <c r="I325" s="41">
        <v>67.0</v>
      </c>
      <c r="J325" s="41">
        <v>70.0</v>
      </c>
      <c r="K325" s="41">
        <v>69.0</v>
      </c>
      <c r="L325" s="41">
        <v>61.0</v>
      </c>
      <c r="M325" s="41">
        <v>21.0</v>
      </c>
      <c r="N325" s="41">
        <v>25.0</v>
      </c>
      <c r="O325" s="41">
        <v>36.0</v>
      </c>
      <c r="P325" s="41">
        <v>69.0</v>
      </c>
      <c r="Q325" s="41">
        <v>69.0</v>
      </c>
      <c r="R325" s="41">
        <v>62.0</v>
      </c>
      <c r="S325" s="41">
        <v>51.0</v>
      </c>
      <c r="T325" s="41">
        <v>9.0</v>
      </c>
      <c r="U325" s="41">
        <v>45.0</v>
      </c>
      <c r="V325" s="41">
        <v>50.0</v>
      </c>
      <c r="W325" s="41">
        <v>60.0</v>
      </c>
      <c r="X325" s="41">
        <v>18.0</v>
      </c>
      <c r="Y325" s="41">
        <v>3.0</v>
      </c>
      <c r="Z325" s="41">
        <v>30.0</v>
      </c>
      <c r="AA325" s="41">
        <v>9.0</v>
      </c>
      <c r="AB325" s="41">
        <v>15.0</v>
      </c>
      <c r="AC325" s="41">
        <v>28.0</v>
      </c>
      <c r="AD325" s="41">
        <v>9.0</v>
      </c>
      <c r="AE325" s="41">
        <v>13.0</v>
      </c>
      <c r="AF325" s="41">
        <v>3.0</v>
      </c>
      <c r="AG325" s="41">
        <v>21.0</v>
      </c>
      <c r="AH325" s="41">
        <v>6.0</v>
      </c>
      <c r="AI325" s="41">
        <v>7.0</v>
      </c>
      <c r="AJ325" s="41">
        <v>0.0</v>
      </c>
      <c r="AK325" s="41">
        <v>9.0</v>
      </c>
      <c r="AL325" s="41">
        <v>6.0</v>
      </c>
      <c r="AM325" s="43">
        <v>12.0</v>
      </c>
      <c r="AN325" s="43">
        <v>9.0</v>
      </c>
      <c r="AO325" s="43">
        <v>5.0</v>
      </c>
      <c r="AP325" s="43">
        <v>6.0</v>
      </c>
      <c r="AQ325" s="43">
        <v>6.0</v>
      </c>
      <c r="AR325" s="43">
        <v>3.0</v>
      </c>
      <c r="AS325" s="43">
        <v>4.0</v>
      </c>
      <c r="AT325" s="4">
        <f t="shared" si="4"/>
        <v>73.0</v>
      </c>
      <c r="AU325" s="4">
        <f t="shared" si="5"/>
        <v>40.0</v>
      </c>
      <c r="AV325" s="4">
        <f t="shared" si="6"/>
        <v>44.0</v>
      </c>
      <c r="AW325" s="1">
        <f t="shared" si="1042"/>
        <v>4.95238095238095</v>
      </c>
      <c r="AX325" s="1">
        <f t="shared" si="1043"/>
        <v>6.19047619047619</v>
      </c>
      <c r="AY325" s="1">
        <f t="shared" si="1044"/>
        <v>6.66666666666667</v>
      </c>
      <c r="AZ325" s="1">
        <f t="shared" si="1045"/>
        <v>9.23809523809523</v>
      </c>
      <c r="BA325" s="1">
        <f t="shared" si="1046"/>
        <v>4.38095238095238</v>
      </c>
      <c r="BB325" s="1">
        <f t="shared" si="1047"/>
        <v>8.57142857142857</v>
      </c>
      <c r="BC325" s="4">
        <f t="shared" si="728"/>
        <v>40.0</v>
      </c>
      <c r="BD325" s="3">
        <f>VLOOKUP(D325,FEB23SOH,2,false)</f>
        <v>12.0</v>
      </c>
      <c r="BE325" s="44">
        <f>VLOOKUP(D325,UNITVALUE,4,false)</f>
        <v>3.44</v>
      </c>
      <c r="BF325" s="44">
        <f t="shared" si="941"/>
        <v>41.28</v>
      </c>
      <c r="BI325" s="6">
        <f t="shared" si="1048"/>
        <v>-28.0</v>
      </c>
      <c r="BJ325" s="1">
        <v>500.0</v>
      </c>
      <c r="BK325" s="53" t="s">
        <v>0</v>
      </c>
      <c r="BL325" s="8" t="s">
        <v>7</v>
      </c>
      <c r="BM325" s="1">
        <f t="shared" si="1050"/>
        <v>12.0</v>
      </c>
      <c r="BN325" s="1">
        <f t="shared" si="1051"/>
        <v>4.95238095238095</v>
      </c>
      <c r="BP325" s="45">
        <f t="shared" si="1052"/>
        <v>7.04761904761905</v>
      </c>
      <c r="BQ325" s="5">
        <f t="shared" si="1053"/>
        <v>24.2438095238095</v>
      </c>
      <c r="BR325" s="1">
        <f t="shared" si="1054"/>
        <v>6.19047619047619</v>
      </c>
      <c r="BS325" s="1">
        <f t="shared" si="1055"/>
      </c>
      <c r="BT325" s="45">
        <f t="shared" si="1056"/>
        <v>0.85714285714286</v>
      </c>
      <c r="BU325" s="5">
        <f t="shared" si="1073"/>
        <v>2.94857142857143</v>
      </c>
      <c r="BV325" s="1">
        <f t="shared" si="1058"/>
        <v>6.66666666666667</v>
      </c>
      <c r="BW325" s="1">
        <f t="shared" si="1078"/>
      </c>
      <c r="BX325" s="45">
        <f t="shared" si="1060"/>
        <v>-5.8095238095238</v>
      </c>
      <c r="BY325" s="5"/>
      <c r="BZ325" s="1">
        <f t="shared" si="1062"/>
        <v>9.23809523809523</v>
      </c>
      <c r="CB325" s="45">
        <f t="shared" si="1063"/>
        <v>-15.047619047619</v>
      </c>
      <c r="CC325" s="5"/>
      <c r="CD325" s="1">
        <f t="shared" si="1064"/>
        <v>4.38095238095238</v>
      </c>
      <c r="CF325" s="45">
        <f t="shared" si="1065"/>
        <v>-19.4285714285713</v>
      </c>
      <c r="CG325" s="5"/>
      <c r="CH325" s="1">
        <f t="shared" si="1066"/>
        <v>8.57142857142857</v>
      </c>
      <c r="CJ325" s="45">
        <f t="shared" si="1067"/>
        <v>-27.9999999999997</v>
      </c>
      <c r="CK325" s="5"/>
    </row>
    <row r="326" ht="17.0">
      <c r="A326" s="41" t="s">
        <v>30</v>
      </c>
      <c r="B326" s="10" t="s">
        <v>682</v>
      </c>
      <c r="C326" s="41" t="s">
        <v>695</v>
      </c>
      <c r="D326" s="42" t="s">
        <v>696</v>
      </c>
      <c r="E326" s="41">
        <v>0.0</v>
      </c>
      <c r="F326" s="41">
        <v>0.0</v>
      </c>
      <c r="G326" s="41">
        <v>0.0</v>
      </c>
      <c r="H326" s="41">
        <v>0.0</v>
      </c>
      <c r="I326" s="41">
        <v>67.0</v>
      </c>
      <c r="J326" s="41">
        <v>49.0</v>
      </c>
      <c r="K326" s="41">
        <v>75.0</v>
      </c>
      <c r="L326" s="41">
        <v>112.0</v>
      </c>
      <c r="M326" s="41">
        <v>48.0</v>
      </c>
      <c r="N326" s="41">
        <v>60.0</v>
      </c>
      <c r="O326" s="41">
        <v>54.0</v>
      </c>
      <c r="P326" s="41">
        <v>66.0</v>
      </c>
      <c r="Q326" s="41">
        <v>60.0</v>
      </c>
      <c r="R326" s="41">
        <v>60.0</v>
      </c>
      <c r="S326" s="41">
        <v>51.0</v>
      </c>
      <c r="T326" s="41">
        <v>24.0</v>
      </c>
      <c r="U326" s="41">
        <v>38.0</v>
      </c>
      <c r="V326" s="41">
        <v>162.0</v>
      </c>
      <c r="W326" s="41">
        <v>93.0</v>
      </c>
      <c r="X326" s="41">
        <v>60.0</v>
      </c>
      <c r="Y326" s="41">
        <v>30.0</v>
      </c>
      <c r="Z326" s="41">
        <v>64.0</v>
      </c>
      <c r="AA326" s="41">
        <v>24.0</v>
      </c>
      <c r="AB326" s="41">
        <v>55.0</v>
      </c>
      <c r="AC326" s="41">
        <v>66.0</v>
      </c>
      <c r="AD326" s="41">
        <v>90.0</v>
      </c>
      <c r="AE326" s="41">
        <v>41.0</v>
      </c>
      <c r="AF326" s="41">
        <v>26.0</v>
      </c>
      <c r="AG326" s="41">
        <v>48.0</v>
      </c>
      <c r="AH326" s="41">
        <v>45.0</v>
      </c>
      <c r="AI326" s="41">
        <v>39.0</v>
      </c>
      <c r="AJ326" s="41">
        <v>39.0</v>
      </c>
      <c r="AK326" s="41">
        <v>24.0</v>
      </c>
      <c r="AL326" s="41">
        <v>24.0</v>
      </c>
      <c r="AM326" s="43">
        <v>9.0</v>
      </c>
      <c r="AN326" s="43">
        <v>24.0</v>
      </c>
      <c r="AO326" s="43">
        <v>28.0</v>
      </c>
      <c r="AP326" s="43">
        <v>36.0</v>
      </c>
      <c r="AQ326" s="43">
        <v>30.0</v>
      </c>
      <c r="AR326" s="43">
        <v>30.0</v>
      </c>
      <c r="AS326" s="43">
        <v>18.0</v>
      </c>
      <c r="AT326" s="4">
        <f t="shared" si="4"/>
        <v>346.0</v>
      </c>
      <c r="AU326" s="4">
        <f t="shared" si="5"/>
        <v>180.0</v>
      </c>
      <c r="AV326" s="4">
        <f t="shared" si="6"/>
        <v>198.0</v>
      </c>
      <c r="AW326" s="1">
        <f t="shared" si="1042"/>
        <v>22.2857142857142</v>
      </c>
      <c r="AX326" s="1">
        <f t="shared" si="1043"/>
        <v>27.8571428571429</v>
      </c>
      <c r="AY326" s="1">
        <f t="shared" si="1044"/>
        <v>30.0</v>
      </c>
      <c r="AZ326" s="1">
        <f t="shared" si="1045"/>
        <v>41.5714285714286</v>
      </c>
      <c r="BA326" s="1">
        <f t="shared" si="1046"/>
        <v>19.7142857142857</v>
      </c>
      <c r="BB326" s="1">
        <f t="shared" si="1047"/>
        <v>38.5714285714286</v>
      </c>
      <c r="BC326" s="4">
        <f t="shared" si="728"/>
        <v>180.0</v>
      </c>
      <c r="BD326" s="3">
        <f>VLOOKUP(D326,FEB23SOH,2,false)</f>
        <v>130.0</v>
      </c>
      <c r="BE326" s="44">
        <f>VLOOKUP(D326,UNITVALUE,4,false)</f>
        <v>4.1441</v>
      </c>
      <c r="BF326" s="44">
        <f t="shared" si="941"/>
        <v>538.733</v>
      </c>
      <c r="BI326" s="6">
        <f t="shared" si="1048"/>
        <v>-50.0</v>
      </c>
      <c r="BJ326" s="1">
        <f>VLOOKUP(C326,MOQ,3,FALSE())</f>
        <v>500.0</v>
      </c>
      <c r="BK326" s="53" t="s">
        <v>0</v>
      </c>
      <c r="BL326" s="8" t="s">
        <v>9</v>
      </c>
      <c r="BM326" s="1">
        <f t="shared" si="1050"/>
        <v>130.0</v>
      </c>
      <c r="BN326" s="1">
        <f t="shared" si="1051"/>
        <v>22.2857142857142</v>
      </c>
      <c r="BP326" s="45">
        <f t="shared" si="1052"/>
        <v>107.71428571429</v>
      </c>
      <c r="BQ326" s="5">
        <f t="shared" si="1053"/>
        <v>446.378771428589</v>
      </c>
      <c r="BR326" s="1">
        <f t="shared" si="1054"/>
        <v>27.8571428571429</v>
      </c>
      <c r="BS326" s="1">
        <f t="shared" si="1055"/>
      </c>
      <c r="BT326" s="45">
        <f t="shared" si="1056"/>
        <v>79.8571428571471</v>
      </c>
      <c r="BU326" s="5">
        <f t="shared" si="1073"/>
        <v>330.935985714303</v>
      </c>
      <c r="BV326" s="1">
        <f t="shared" si="1058"/>
        <v>30.0</v>
      </c>
      <c r="BW326" s="1">
        <f t="shared" si="1078"/>
      </c>
      <c r="BX326" s="45">
        <f t="shared" si="1060"/>
        <v>49.857142857147</v>
      </c>
      <c r="BY326" s="5">
        <f t="shared" ref="BY326:BY329" si="1080">BX326*BE326</f>
        <v>206.612985714302</v>
      </c>
      <c r="BZ326" s="1">
        <f t="shared" si="1062"/>
        <v>41.5714285714286</v>
      </c>
      <c r="CB326" s="45">
        <f t="shared" si="1063"/>
        <v>8.2857142857184</v>
      </c>
      <c r="CC326" s="5">
        <f t="shared" ref="CC326:CC329" si="1081">CB326*BE326</f>
        <v>34.3368285714456</v>
      </c>
      <c r="CD326" s="1">
        <f t="shared" si="1064"/>
        <v>19.7142857142857</v>
      </c>
      <c r="CF326" s="45">
        <f t="shared" si="1065"/>
        <v>-11.4285714285673</v>
      </c>
      <c r="CG326" s="5">
        <f>CF326*BE326</f>
        <v>-47.3611428571256</v>
      </c>
      <c r="CH326" s="1">
        <f t="shared" si="1066"/>
        <v>38.5714285714286</v>
      </c>
      <c r="CJ326" s="45">
        <f t="shared" si="1067"/>
        <v>-49.9999999999959</v>
      </c>
      <c r="CK326" s="5">
        <f>CJ326*BE326</f>
        <v>-207.204999999983</v>
      </c>
    </row>
    <row r="327" ht="17.0">
      <c r="A327" s="41" t="s">
        <v>30</v>
      </c>
      <c r="B327" s="10" t="s">
        <v>682</v>
      </c>
      <c r="C327" s="41" t="s">
        <v>697</v>
      </c>
      <c r="D327" s="42" t="s">
        <v>698</v>
      </c>
      <c r="E327" s="41">
        <v>0.0</v>
      </c>
      <c r="F327" s="41">
        <v>0.0</v>
      </c>
      <c r="G327" s="41">
        <v>0.0</v>
      </c>
      <c r="H327" s="41">
        <v>0.0</v>
      </c>
      <c r="I327" s="41">
        <v>0.0</v>
      </c>
      <c r="J327" s="41">
        <v>0.0</v>
      </c>
      <c r="K327" s="41">
        <v>0.0</v>
      </c>
      <c r="L327" s="41">
        <v>0.0</v>
      </c>
      <c r="M327" s="41">
        <v>0.0</v>
      </c>
      <c r="N327" s="41">
        <v>0.0</v>
      </c>
      <c r="O327" s="41">
        <v>0.0</v>
      </c>
      <c r="P327" s="41">
        <v>0.0</v>
      </c>
      <c r="Q327" s="41">
        <v>0.0</v>
      </c>
      <c r="R327" s="41">
        <v>0.0</v>
      </c>
      <c r="S327" s="41">
        <v>0.0</v>
      </c>
      <c r="T327" s="41">
        <v>57.0</v>
      </c>
      <c r="U327" s="41">
        <v>96.0</v>
      </c>
      <c r="V327" s="41">
        <v>192.0</v>
      </c>
      <c r="W327" s="41">
        <v>118.0</v>
      </c>
      <c r="X327" s="41">
        <v>36.0</v>
      </c>
      <c r="Y327" s="41">
        <v>0.0</v>
      </c>
      <c r="Z327" s="41">
        <v>0.0</v>
      </c>
      <c r="AA327" s="41">
        <v>-1.0</v>
      </c>
      <c r="AB327" s="41">
        <v>84.0</v>
      </c>
      <c r="AC327" s="41">
        <v>87.0</v>
      </c>
      <c r="AD327" s="41">
        <v>108.0</v>
      </c>
      <c r="AE327" s="41">
        <v>57.0</v>
      </c>
      <c r="AF327" s="41">
        <v>54.0</v>
      </c>
      <c r="AG327" s="41">
        <v>57.0</v>
      </c>
      <c r="AH327" s="41">
        <v>33.0</v>
      </c>
      <c r="AI327" s="41">
        <v>36.0</v>
      </c>
      <c r="AJ327" s="41">
        <v>30.0</v>
      </c>
      <c r="AK327" s="41">
        <v>36.0</v>
      </c>
      <c r="AL327" s="41">
        <v>21.0</v>
      </c>
      <c r="AM327" s="43">
        <v>18.0</v>
      </c>
      <c r="AN327" s="43">
        <v>33.0</v>
      </c>
      <c r="AO327" s="43">
        <v>42.0</v>
      </c>
      <c r="AP327" s="43">
        <v>42.0</v>
      </c>
      <c r="AQ327" s="43">
        <v>36.0</v>
      </c>
      <c r="AR327" s="43">
        <v>36.0</v>
      </c>
      <c r="AS327" s="43">
        <v>29.0</v>
      </c>
      <c r="AT327" s="4">
        <f t="shared" si="4"/>
        <v>392.0</v>
      </c>
      <c r="AU327" s="4">
        <f t="shared" si="5"/>
        <v>174.0</v>
      </c>
      <c r="AV327" s="4">
        <f t="shared" si="6"/>
        <v>191.4</v>
      </c>
      <c r="AW327" s="1">
        <f t="shared" si="1042"/>
        <v>21.5428571428571</v>
      </c>
      <c r="AX327" s="1">
        <f t="shared" si="1043"/>
        <v>26.9285714285714</v>
      </c>
      <c r="AY327" s="1">
        <f t="shared" si="1044"/>
        <v>29.0</v>
      </c>
      <c r="AZ327" s="1">
        <f t="shared" si="1045"/>
        <v>40.1857142857142</v>
      </c>
      <c r="BA327" s="1">
        <f t="shared" si="1046"/>
        <v>19.0571428571429</v>
      </c>
      <c r="BB327" s="1">
        <f t="shared" si="1047"/>
        <v>37.2857142857142</v>
      </c>
      <c r="BC327" s="4">
        <f t="shared" si="728"/>
        <v>174.0</v>
      </c>
      <c r="BD327" s="3">
        <f>VLOOKUP(D327,FEB23SOH,2,false)</f>
        <v>166.0</v>
      </c>
      <c r="BE327" s="44">
        <f>VLOOKUP(D327,UNITVALUE,4,false)</f>
        <v>4.1456</v>
      </c>
      <c r="BF327" s="44">
        <f t="shared" si="941"/>
        <v>688.1696</v>
      </c>
      <c r="BI327" s="6">
        <f t="shared" si="1048"/>
        <v>-8.0</v>
      </c>
      <c r="BJ327" s="1">
        <f>VLOOKUP(C327,MOQ,3,FALSE())</f>
        <v>500.0</v>
      </c>
      <c r="BK327" s="53" t="s">
        <v>0</v>
      </c>
      <c r="BL327" s="8" t="s">
        <v>10</v>
      </c>
      <c r="BM327" s="1">
        <f t="shared" si="1050"/>
        <v>166.0</v>
      </c>
      <c r="BN327" s="1">
        <f t="shared" si="1051"/>
        <v>21.5428571428571</v>
      </c>
      <c r="BP327" s="45">
        <f t="shared" si="1052"/>
        <v>144.457142857142</v>
      </c>
      <c r="BQ327" s="5">
        <f t="shared" si="1053"/>
        <v>598.861531428568</v>
      </c>
      <c r="BR327" s="1">
        <f t="shared" si="1054"/>
        <v>26.9285714285714</v>
      </c>
      <c r="BS327" s="1">
        <f t="shared" si="1055"/>
      </c>
      <c r="BT327" s="45">
        <f t="shared" si="1056"/>
        <v>117.52857142857</v>
      </c>
      <c r="BU327" s="5">
        <f t="shared" si="1073"/>
        <v>487.22644571428</v>
      </c>
      <c r="BV327" s="1">
        <f t="shared" si="1058"/>
        <v>29.0</v>
      </c>
      <c r="BW327" s="1">
        <f t="shared" si="1078"/>
      </c>
      <c r="BX327" s="45">
        <f t="shared" si="1060"/>
        <v>88.52857142857</v>
      </c>
      <c r="BY327" s="5">
        <f t="shared" si="1080"/>
        <v>367.00404571428</v>
      </c>
      <c r="BZ327" s="1">
        <f t="shared" si="1062"/>
        <v>40.1857142857142</v>
      </c>
      <c r="CB327" s="45">
        <f t="shared" si="1063"/>
        <v>48.3428571428558</v>
      </c>
      <c r="CC327" s="5">
        <f t="shared" si="1081"/>
        <v>200.410148571423</v>
      </c>
      <c r="CD327" s="1">
        <f t="shared" si="1064"/>
        <v>19.0571428571429</v>
      </c>
      <c r="CF327" s="45">
        <f t="shared" si="1065"/>
        <v>29.2857142857129</v>
      </c>
      <c r="CG327" s="5"/>
      <c r="CH327" s="1">
        <f t="shared" si="1066"/>
        <v>37.2857142857142</v>
      </c>
      <c r="CJ327" s="45">
        <f t="shared" si="1067"/>
        <v>-8.0000000000013</v>
      </c>
      <c r="CK327" s="5"/>
    </row>
    <row r="328" ht="17.0">
      <c r="A328" s="41" t="s">
        <v>30</v>
      </c>
      <c r="B328" s="10" t="s">
        <v>699</v>
      </c>
      <c r="C328" s="41" t="s">
        <v>700</v>
      </c>
      <c r="D328" s="55" t="s">
        <v>701</v>
      </c>
      <c r="E328" s="41">
        <v>112.0</v>
      </c>
      <c r="F328" s="41">
        <v>54.0</v>
      </c>
      <c r="G328" s="41">
        <v>16.0</v>
      </c>
      <c r="H328" s="41">
        <v>8.0</v>
      </c>
      <c r="I328" s="41">
        <v>52.0</v>
      </c>
      <c r="J328" s="41">
        <v>16.0</v>
      </c>
      <c r="K328" s="41">
        <v>56.0</v>
      </c>
      <c r="L328" s="41">
        <v>69.0</v>
      </c>
      <c r="M328" s="41">
        <v>20.0</v>
      </c>
      <c r="N328" s="41">
        <v>36.0</v>
      </c>
      <c r="O328" s="41">
        <v>20.0</v>
      </c>
      <c r="P328" s="41">
        <v>20.0</v>
      </c>
      <c r="Q328" s="41">
        <v>12.0</v>
      </c>
      <c r="R328" s="41">
        <v>9.0</v>
      </c>
      <c r="S328" s="41">
        <v>13.0</v>
      </c>
      <c r="T328" s="41">
        <v>25.0</v>
      </c>
      <c r="U328" s="41">
        <v>16.0</v>
      </c>
      <c r="V328" s="41">
        <v>73.0</v>
      </c>
      <c r="W328" s="41">
        <v>54.0</v>
      </c>
      <c r="X328" s="41">
        <v>60.0</v>
      </c>
      <c r="Y328" s="41">
        <v>12.0</v>
      </c>
      <c r="Z328" s="41">
        <v>18.0</v>
      </c>
      <c r="AA328" s="41">
        <v>7.0</v>
      </c>
      <c r="AB328" s="41">
        <v>23.0</v>
      </c>
      <c r="AC328" s="41">
        <v>3.0</v>
      </c>
      <c r="AD328" s="41">
        <v>37.0</v>
      </c>
      <c r="AE328" s="41">
        <v>16.0</v>
      </c>
      <c r="AF328" s="41">
        <v>16.0</v>
      </c>
      <c r="AG328" s="41">
        <v>28.0</v>
      </c>
      <c r="AH328" s="41">
        <v>42.0</v>
      </c>
      <c r="AI328" s="41">
        <v>36.0</v>
      </c>
      <c r="AJ328" s="41">
        <v>32.0</v>
      </c>
      <c r="AK328" s="41">
        <v>20.0</v>
      </c>
      <c r="AL328" s="41">
        <v>8.0</v>
      </c>
      <c r="AM328" s="43">
        <v>12.0</v>
      </c>
      <c r="AN328" s="43">
        <v>8.0</v>
      </c>
      <c r="AO328" s="43">
        <v>9.0</v>
      </c>
      <c r="AP328" s="43">
        <v>8.0</v>
      </c>
      <c r="AQ328" s="43">
        <v>6.0</v>
      </c>
      <c r="AR328" s="43">
        <v>-1.0</v>
      </c>
      <c r="AS328" s="43">
        <v>5.0</v>
      </c>
      <c r="AT328" s="4">
        <f t="shared" si="4"/>
        <v>185.0</v>
      </c>
      <c r="AU328" s="4">
        <f t="shared" si="5"/>
        <v>150.0</v>
      </c>
      <c r="AV328" s="4">
        <f t="shared" si="6"/>
        <v>165.0</v>
      </c>
      <c r="AW328" s="1">
        <f t="shared" ref="AW328:AW331" si="1084">AV328*$AW$4/$AV$4+4*$AW$332</f>
        <v>19.066666666667</v>
      </c>
      <c r="AX328" s="1">
        <f t="shared" ref="AX328:AX331" si="1085">AV328*$AX$4/$AV$4+4*$AX$332</f>
        <v>23.8333333333333</v>
      </c>
      <c r="AY328" s="1">
        <f t="shared" ref="AY328:AY331" si="1086">AV328*$AY$4/$AV$4+4*$AY$332</f>
        <v>25.6666666666667</v>
      </c>
      <c r="AZ328" s="1">
        <f t="shared" ref="AZ328:AZ331" si="1087">AV328*$AZ$4/$AV$4+4*$AZ$332</f>
        <v>35.5666666666666</v>
      </c>
      <c r="BA328" s="1">
        <f t="shared" ref="BA328:BA331" si="1088">AV328*$BA$4/$AV$4+4*$BA$332</f>
        <v>16.8666666666666</v>
      </c>
      <c r="BB328" s="1">
        <f t="shared" ref="BB328:BB331" si="1089">AV328*$BB$4/$AV$4+4*$BB$332</f>
        <v>33.0</v>
      </c>
      <c r="BC328" s="4">
        <f t="shared" si="728"/>
        <v>154.0</v>
      </c>
      <c r="BD328" s="3">
        <f>VLOOKUP(D328,FEB23SOH,2,false)</f>
        <v>203.0</v>
      </c>
      <c r="BE328" s="44">
        <f>VLOOKUP(D328,UNITVALUE,4,false)</f>
        <v>7.3611</v>
      </c>
      <c r="BF328" s="44">
        <f t="shared" si="941"/>
        <v>1494.3033</v>
      </c>
      <c r="BI328" s="6">
        <f t="shared" si="1048"/>
        <v>49.0</v>
      </c>
      <c r="BJ328" s="1">
        <f>VLOOKUP(C328,MOQ,3,FALSE())</f>
        <v>501.0</v>
      </c>
      <c r="BK328" s="53" t="s">
        <v>0</v>
      </c>
      <c r="BM328" s="1">
        <f t="shared" si="1050"/>
        <v>203.0</v>
      </c>
      <c r="BN328" s="1">
        <f t="shared" si="1051"/>
        <v>19.066666666667</v>
      </c>
      <c r="BP328" s="45">
        <f t="shared" si="1052"/>
        <v>183.933333333333</v>
      </c>
      <c r="BQ328" s="5">
        <f t="shared" si="1053"/>
        <v>1353.95166</v>
      </c>
      <c r="BR328" s="1">
        <f t="shared" si="1054"/>
        <v>23.8333333333333</v>
      </c>
      <c r="BS328" s="1">
        <f t="shared" si="1055"/>
      </c>
      <c r="BT328" s="45">
        <f t="shared" si="1056"/>
        <v>160.1</v>
      </c>
      <c r="BU328" s="5">
        <f t="shared" si="1073"/>
        <v>1178.51211</v>
      </c>
      <c r="BV328" s="1">
        <f t="shared" si="1058"/>
        <v>25.6666666666667</v>
      </c>
      <c r="BW328" s="1">
        <f t="shared" si="1078"/>
      </c>
      <c r="BX328" s="45">
        <f t="shared" si="1060"/>
        <v>134.433333333333</v>
      </c>
      <c r="BY328" s="5">
        <f t="shared" si="1080"/>
        <v>989.577209999998</v>
      </c>
      <c r="BZ328" s="1">
        <f t="shared" si="1062"/>
        <v>35.5666666666666</v>
      </c>
      <c r="CB328" s="45">
        <f t="shared" si="1063"/>
        <v>98.8666666666663</v>
      </c>
      <c r="CC328" s="5">
        <f t="shared" si="1081"/>
        <v>727.767419999997</v>
      </c>
      <c r="CD328" s="1">
        <f t="shared" si="1064"/>
        <v>16.8666666666666</v>
      </c>
      <c r="CF328" s="45">
        <f t="shared" si="1065"/>
        <v>81.9999999999997</v>
      </c>
      <c r="CG328" s="5">
        <f t="shared" ref="CG328:CG329" si="1090">CF328*BE328</f>
        <v>603.610199999998</v>
      </c>
      <c r="CH328" s="1">
        <f t="shared" si="1066"/>
        <v>33.0</v>
      </c>
      <c r="CJ328" s="45">
        <f t="shared" si="1067"/>
        <v>48.9999999999997</v>
      </c>
      <c r="CK328" s="5">
        <f t="shared" ref="CK328:CK329" si="1091">CJ328*BE328</f>
        <v>360.693899999998</v>
      </c>
    </row>
    <row r="329" ht="17.0">
      <c r="A329" s="41" t="s">
        <v>30</v>
      </c>
      <c r="B329" s="10" t="s">
        <v>699</v>
      </c>
      <c r="C329" s="41" t="s">
        <v>702</v>
      </c>
      <c r="D329" s="77" t="s">
        <v>703</v>
      </c>
      <c r="E329" s="41">
        <v>0.0</v>
      </c>
      <c r="F329" s="41">
        <v>10.0</v>
      </c>
      <c r="G329" s="41">
        <v>16.0</v>
      </c>
      <c r="H329" s="41">
        <v>8.0</v>
      </c>
      <c r="I329" s="41">
        <v>16.0</v>
      </c>
      <c r="J329" s="41">
        <v>-1.0</v>
      </c>
      <c r="K329" s="41">
        <v>19.0</v>
      </c>
      <c r="L329" s="41">
        <v>29.0</v>
      </c>
      <c r="M329" s="41">
        <v>4.0</v>
      </c>
      <c r="N329" s="41">
        <v>6.0</v>
      </c>
      <c r="O329" s="41">
        <v>12.0</v>
      </c>
      <c r="P329" s="41">
        <v>9.0</v>
      </c>
      <c r="Q329" s="41">
        <v>-1.0</v>
      </c>
      <c r="R329" s="41">
        <v>4.0</v>
      </c>
      <c r="S329" s="41">
        <v>2.0</v>
      </c>
      <c r="T329" s="41">
        <v>16.0</v>
      </c>
      <c r="U329" s="41">
        <v>8.0</v>
      </c>
      <c r="V329" s="41">
        <v>8.0</v>
      </c>
      <c r="W329" s="41">
        <v>20.0</v>
      </c>
      <c r="X329" s="41">
        <v>28.0</v>
      </c>
      <c r="Y329" s="41">
        <v>2.0</v>
      </c>
      <c r="Z329" s="41">
        <v>14.0</v>
      </c>
      <c r="AA329" s="41">
        <v>2.0</v>
      </c>
      <c r="AB329" s="41">
        <v>4.0</v>
      </c>
      <c r="AC329" s="41">
        <v>8.0</v>
      </c>
      <c r="AD329" s="41">
        <v>4.0</v>
      </c>
      <c r="AE329" s="41">
        <v>8.0</v>
      </c>
      <c r="AF329" s="41">
        <v>-4.0</v>
      </c>
      <c r="AG329" s="41">
        <v>12.0</v>
      </c>
      <c r="AH329" s="41">
        <v>16.0</v>
      </c>
      <c r="AI329" s="41">
        <v>44.0</v>
      </c>
      <c r="AJ329" s="41">
        <v>12.0</v>
      </c>
      <c r="AK329" s="41">
        <v>0.0</v>
      </c>
      <c r="AL329" s="41">
        <v>-3.0</v>
      </c>
      <c r="AM329" s="43">
        <v>0.0</v>
      </c>
      <c r="AN329" s="43">
        <v>0.0</v>
      </c>
      <c r="AO329" s="43">
        <v>1.0</v>
      </c>
      <c r="AP329" s="43">
        <v>0.0</v>
      </c>
      <c r="AQ329" s="43">
        <v>0.0</v>
      </c>
      <c r="AR329" s="43">
        <v>0.0</v>
      </c>
      <c r="AS329" s="43">
        <v>0.0</v>
      </c>
      <c r="AT329" s="4">
        <f t="shared" si="4"/>
        <v>70.0</v>
      </c>
      <c r="AU329" s="4">
        <f t="shared" si="5"/>
        <v>69.0</v>
      </c>
      <c r="AV329" s="4">
        <f t="shared" si="6"/>
        <v>75.9</v>
      </c>
      <c r="AW329" s="45">
        <f t="shared" si="1084"/>
        <v>9.03809523809523</v>
      </c>
      <c r="AX329" s="45">
        <f t="shared" si="1085"/>
        <v>11.297619047619</v>
      </c>
      <c r="AY329" s="45">
        <f t="shared" si="1086"/>
        <v>12.1666666666667</v>
      </c>
      <c r="AZ329" s="45">
        <f t="shared" si="1087"/>
        <v>16.8595238095237</v>
      </c>
      <c r="BA329" s="45">
        <f t="shared" si="1088"/>
        <v>7.9952380952381</v>
      </c>
      <c r="BB329" s="45">
        <f t="shared" si="1089"/>
        <v>15.642857142857</v>
      </c>
      <c r="BC329" s="4">
        <f t="shared" si="728"/>
        <v>72.9999999999997</v>
      </c>
      <c r="BD329" s="3">
        <f>VLOOKUP(D329,FEB23SOH,2,false)</f>
        <v>362.0</v>
      </c>
      <c r="BE329" s="44">
        <f>VLOOKUP(D329,UNITVALUE,4,false)</f>
        <v>7.3631</v>
      </c>
      <c r="BF329" s="44">
        <f t="shared" si="941"/>
        <v>2665.4422</v>
      </c>
      <c r="BI329" s="6">
        <f t="shared" si="1048"/>
        <v>289.0</v>
      </c>
      <c r="BJ329" s="1">
        <f>VLOOKUP(C329,MOQ,3,FALSE())</f>
        <v>501.0</v>
      </c>
      <c r="BK329" s="53" t="s">
        <v>0</v>
      </c>
      <c r="BM329" s="1">
        <f t="shared" si="1050"/>
        <v>362.0</v>
      </c>
      <c r="BN329" s="1">
        <f t="shared" si="1051"/>
        <v>9.03809523809523</v>
      </c>
      <c r="BP329" s="45">
        <f t="shared" si="1052"/>
        <v>352.961904761904</v>
      </c>
      <c r="BQ329" s="5">
        <f t="shared" si="1053"/>
        <v>2598.89380095238</v>
      </c>
      <c r="BR329" s="1">
        <f t="shared" si="1054"/>
        <v>11.297619047619</v>
      </c>
      <c r="BS329" s="1">
        <f t="shared" si="1055"/>
      </c>
      <c r="BT329" s="45">
        <f t="shared" si="1056"/>
        <v>341.664285714285</v>
      </c>
      <c r="BU329" s="5">
        <f t="shared" si="1073"/>
        <v>2515.70830214285</v>
      </c>
      <c r="BV329" s="1">
        <f t="shared" si="1058"/>
        <v>12.1666666666667</v>
      </c>
      <c r="BW329" s="1">
        <f t="shared" si="1078"/>
      </c>
      <c r="BX329" s="45">
        <f t="shared" si="1060"/>
        <v>329.497619047618</v>
      </c>
      <c r="BY329" s="5">
        <f t="shared" si="1080"/>
        <v>2426.12391880951</v>
      </c>
      <c r="BZ329" s="1">
        <f t="shared" si="1062"/>
        <v>16.8595238095237</v>
      </c>
      <c r="CB329" s="45">
        <f t="shared" si="1063"/>
        <v>312.638095238094</v>
      </c>
      <c r="CC329" s="5">
        <f t="shared" si="1081"/>
        <v>2301.98555904761</v>
      </c>
      <c r="CD329" s="1">
        <f t="shared" si="1064"/>
        <v>7.9952380952381</v>
      </c>
      <c r="CF329" s="45">
        <f t="shared" si="1065"/>
        <v>304.64285714286</v>
      </c>
      <c r="CG329" s="5">
        <f t="shared" si="1090"/>
        <v>2243.11582142859</v>
      </c>
      <c r="CH329" s="1">
        <f t="shared" si="1066"/>
        <v>15.642857142857</v>
      </c>
      <c r="CJ329" s="45">
        <f t="shared" si="1067"/>
        <v>289.000000000003</v>
      </c>
      <c r="CK329" s="5">
        <f t="shared" si="1091"/>
        <v>2127.93590000002</v>
      </c>
    </row>
    <row r="330" ht="17.0">
      <c r="A330" s="41" t="s">
        <v>30</v>
      </c>
      <c r="B330" s="10" t="s">
        <v>699</v>
      </c>
      <c r="C330" s="41" t="s">
        <v>704</v>
      </c>
      <c r="D330" s="55" t="s">
        <v>705</v>
      </c>
      <c r="E330" s="41">
        <v>0.0</v>
      </c>
      <c r="F330" s="41">
        <v>0.0</v>
      </c>
      <c r="G330" s="41">
        <v>0.0</v>
      </c>
      <c r="H330" s="41">
        <v>0.0</v>
      </c>
      <c r="I330" s="41">
        <v>0.0</v>
      </c>
      <c r="J330" s="41">
        <v>0.0</v>
      </c>
      <c r="K330" s="41">
        <v>0.0</v>
      </c>
      <c r="L330" s="41">
        <v>0.0</v>
      </c>
      <c r="M330" s="41">
        <v>0.0</v>
      </c>
      <c r="N330" s="41">
        <v>0.0</v>
      </c>
      <c r="O330" s="41">
        <v>0.0</v>
      </c>
      <c r="P330" s="41">
        <v>0.0</v>
      </c>
      <c r="Q330" s="41">
        <v>0.0</v>
      </c>
      <c r="R330" s="41">
        <v>0.0</v>
      </c>
      <c r="S330" s="41">
        <v>0.0</v>
      </c>
      <c r="T330" s="41">
        <v>0.0</v>
      </c>
      <c r="U330" s="41">
        <v>0.0</v>
      </c>
      <c r="V330" s="41">
        <v>0.0</v>
      </c>
      <c r="W330" s="41">
        <v>0.0</v>
      </c>
      <c r="X330" s="41">
        <v>0.0</v>
      </c>
      <c r="Y330" s="41">
        <v>0.0</v>
      </c>
      <c r="Z330" s="41">
        <v>0.0</v>
      </c>
      <c r="AA330" s="41">
        <v>8.0</v>
      </c>
      <c r="AB330" s="41">
        <v>72.0</v>
      </c>
      <c r="AC330" s="41">
        <v>32.0</v>
      </c>
      <c r="AD330" s="41">
        <v>48.0</v>
      </c>
      <c r="AE330" s="41">
        <v>20.0</v>
      </c>
      <c r="AF330" s="41">
        <v>11.0</v>
      </c>
      <c r="AG330" s="41">
        <v>28.0</v>
      </c>
      <c r="AH330" s="41">
        <v>32.0</v>
      </c>
      <c r="AI330" s="41">
        <v>32.0</v>
      </c>
      <c r="AJ330" s="41">
        <v>40.0</v>
      </c>
      <c r="AK330" s="41">
        <v>40.0</v>
      </c>
      <c r="AL330" s="41">
        <v>8.0</v>
      </c>
      <c r="AM330" s="43">
        <v>24.0</v>
      </c>
      <c r="AN330" s="43">
        <v>24.0</v>
      </c>
      <c r="AO330" s="43">
        <v>25.0</v>
      </c>
      <c r="AP330" s="43">
        <v>16.0</v>
      </c>
      <c r="AQ330" s="43">
        <v>8.0</v>
      </c>
      <c r="AR330" s="43">
        <v>4.0</v>
      </c>
      <c r="AS330" s="43">
        <v>5.0</v>
      </c>
      <c r="AT330" s="4">
        <f t="shared" si="4"/>
        <v>258.0</v>
      </c>
      <c r="AU330" s="4">
        <f t="shared" si="5"/>
        <v>176.0</v>
      </c>
      <c r="AV330" s="4">
        <f t="shared" si="6"/>
        <v>193.6</v>
      </c>
      <c r="AW330" s="1">
        <f t="shared" si="1084"/>
        <v>22.2857142857141</v>
      </c>
      <c r="AX330" s="1">
        <f t="shared" si="1085"/>
        <v>27.8571428571428</v>
      </c>
      <c r="AY330" s="1">
        <f t="shared" si="1086"/>
        <v>30.0</v>
      </c>
      <c r="AZ330" s="1">
        <f t="shared" si="1087"/>
        <v>41.5714285714285</v>
      </c>
      <c r="BA330" s="1">
        <f t="shared" si="1088"/>
        <v>19.7142857142856</v>
      </c>
      <c r="BB330" s="1">
        <f t="shared" si="1089"/>
        <v>38.5714285714286</v>
      </c>
      <c r="BC330" s="4">
        <f t="shared" si="728"/>
        <v>180.0</v>
      </c>
      <c r="BD330" s="3">
        <f>VLOOKUP(D330,FEB23SOH,2,false)</f>
        <v>23.0</v>
      </c>
      <c r="BE330" s="44">
        <f>VLOOKUP(D330,UNITVALUE,4,false)</f>
        <v>6.303</v>
      </c>
      <c r="BF330" s="44">
        <f t="shared" si="941"/>
        <v>144.969</v>
      </c>
      <c r="BI330" s="6">
        <f t="shared" si="1048"/>
        <v>-157.0</v>
      </c>
      <c r="BJ330" s="1">
        <v>501.0</v>
      </c>
      <c r="BK330" s="53" t="s">
        <v>0</v>
      </c>
      <c r="BL330" s="8" t="s">
        <v>6</v>
      </c>
      <c r="BM330" s="1">
        <f t="shared" si="1050"/>
        <v>23.0</v>
      </c>
      <c r="BN330" s="1">
        <f t="shared" si="1051"/>
        <v>22.2857142857141</v>
      </c>
      <c r="BP330" s="45">
        <f t="shared" si="1052"/>
        <v>0.7142857142859</v>
      </c>
      <c r="BQ330" s="5">
        <f t="shared" si="1053"/>
        <v>4.50214285714402</v>
      </c>
      <c r="BR330" s="1">
        <f t="shared" si="1054"/>
        <v>27.8571428571428</v>
      </c>
      <c r="BS330" s="1">
        <f t="shared" si="1055"/>
      </c>
      <c r="BT330" s="45">
        <f t="shared" si="1056"/>
        <v>-27.1428571428569</v>
      </c>
      <c r="BU330" s="5"/>
      <c r="BV330" s="1">
        <f t="shared" si="1058"/>
        <v>30.0</v>
      </c>
      <c r="BW330" s="1">
        <f t="shared" si="1078"/>
      </c>
      <c r="BX330" s="45">
        <f t="shared" si="1060"/>
        <v>-57.1428571428569</v>
      </c>
      <c r="BY330" s="5"/>
      <c r="BZ330" s="1">
        <f t="shared" si="1062"/>
        <v>41.5714285714285</v>
      </c>
      <c r="CB330" s="45">
        <f t="shared" si="1063"/>
        <v>-98.7142857142854</v>
      </c>
      <c r="CC330" s="5"/>
      <c r="CD330" s="1">
        <f t="shared" si="1064"/>
        <v>19.7142857142856</v>
      </c>
      <c r="CF330" s="45">
        <f t="shared" si="1065"/>
        <v>-118.42857142857</v>
      </c>
      <c r="CG330" s="5"/>
      <c r="CH330" s="1">
        <f t="shared" si="1066"/>
        <v>38.5714285714286</v>
      </c>
      <c r="CJ330" s="45">
        <f t="shared" si="1067"/>
        <v>-156.99999999998</v>
      </c>
      <c r="CK330" s="5"/>
    </row>
    <row r="331" ht="17.0">
      <c r="A331" s="41" t="s">
        <v>30</v>
      </c>
      <c r="B331" s="10" t="s">
        <v>699</v>
      </c>
      <c r="C331" s="41" t="s">
        <v>706</v>
      </c>
      <c r="D331" s="55" t="s">
        <v>707</v>
      </c>
      <c r="E331" s="41">
        <v>0.0</v>
      </c>
      <c r="F331" s="41">
        <v>0.0</v>
      </c>
      <c r="G331" s="41">
        <v>0.0</v>
      </c>
      <c r="H331" s="41">
        <v>0.0</v>
      </c>
      <c r="I331" s="41">
        <v>0.0</v>
      </c>
      <c r="J331" s="41">
        <v>0.0</v>
      </c>
      <c r="K331" s="41">
        <v>0.0</v>
      </c>
      <c r="L331" s="41">
        <v>0.0</v>
      </c>
      <c r="M331" s="41">
        <v>0.0</v>
      </c>
      <c r="N331" s="41">
        <v>0.0</v>
      </c>
      <c r="O331" s="41">
        <v>0.0</v>
      </c>
      <c r="P331" s="41">
        <v>0.0</v>
      </c>
      <c r="Q331" s="41">
        <v>0.0</v>
      </c>
      <c r="R331" s="41">
        <v>0.0</v>
      </c>
      <c r="S331" s="41">
        <v>0.0</v>
      </c>
      <c r="T331" s="41">
        <v>0.0</v>
      </c>
      <c r="U331" s="41">
        <v>0.0</v>
      </c>
      <c r="V331" s="41">
        <v>0.0</v>
      </c>
      <c r="W331" s="41">
        <v>0.0</v>
      </c>
      <c r="X331" s="41">
        <v>0.0</v>
      </c>
      <c r="Y331" s="41">
        <v>0.0</v>
      </c>
      <c r="Z331" s="41">
        <v>0.0</v>
      </c>
      <c r="AA331" s="41">
        <v>12.0</v>
      </c>
      <c r="AB331" s="41">
        <v>60.0</v>
      </c>
      <c r="AC331" s="41">
        <v>32.0</v>
      </c>
      <c r="AD331" s="41">
        <v>40.0</v>
      </c>
      <c r="AE331" s="41">
        <v>4.0</v>
      </c>
      <c r="AF331" s="41">
        <v>8.0</v>
      </c>
      <c r="AG331" s="41">
        <v>24.0</v>
      </c>
      <c r="AH331" s="41">
        <v>27.0</v>
      </c>
      <c r="AI331" s="41">
        <v>48.0</v>
      </c>
      <c r="AJ331" s="41">
        <v>36.0</v>
      </c>
      <c r="AK331" s="41">
        <v>28.0</v>
      </c>
      <c r="AL331" s="41">
        <v>4.0</v>
      </c>
      <c r="AM331" s="43">
        <v>24.0</v>
      </c>
      <c r="AN331" s="43">
        <v>16.0</v>
      </c>
      <c r="AO331" s="43">
        <v>17.0</v>
      </c>
      <c r="AP331" s="43">
        <v>16.0</v>
      </c>
      <c r="AQ331" s="43">
        <v>8.0</v>
      </c>
      <c r="AR331" s="43">
        <v>8.0</v>
      </c>
      <c r="AS331" s="43">
        <v>5.0</v>
      </c>
      <c r="AT331" s="4">
        <f t="shared" si="4"/>
        <v>237.0</v>
      </c>
      <c r="AU331" s="4">
        <f t="shared" si="5"/>
        <v>167.0</v>
      </c>
      <c r="AV331" s="4">
        <f t="shared" si="6"/>
        <v>183.7</v>
      </c>
      <c r="AW331" s="1">
        <f t="shared" si="1084"/>
        <v>21.1714285714284</v>
      </c>
      <c r="AX331" s="1">
        <f t="shared" si="1085"/>
        <v>26.4642857142856</v>
      </c>
      <c r="AY331" s="1">
        <f t="shared" si="1086"/>
        <v>28.5</v>
      </c>
      <c r="AZ331" s="1">
        <f t="shared" si="1087"/>
        <v>39.4928571428571</v>
      </c>
      <c r="BA331" s="1">
        <f t="shared" si="1088"/>
        <v>18.7285714285713</v>
      </c>
      <c r="BB331" s="1">
        <f t="shared" si="1089"/>
        <v>36.642857142857</v>
      </c>
      <c r="BC331" s="4">
        <f t="shared" si="728"/>
        <v>170.999999999999</v>
      </c>
      <c r="BD331" s="3">
        <f>VLOOKUP(D331,FEB23SOH,2,false)</f>
        <v>83.0</v>
      </c>
      <c r="BE331" s="44">
        <f>VLOOKUP(D331,UNITVALUE,4,false)</f>
        <v>6.2865</v>
      </c>
      <c r="BF331" s="44">
        <f t="shared" si="941"/>
        <v>521.7795</v>
      </c>
      <c r="BI331" s="6">
        <f t="shared" si="1048"/>
        <v>-87.999999999999</v>
      </c>
      <c r="BJ331" s="1">
        <v>501.0</v>
      </c>
      <c r="BK331" s="53" t="s">
        <v>0</v>
      </c>
      <c r="BL331" s="8" t="s">
        <v>8</v>
      </c>
      <c r="BM331" s="1">
        <f t="shared" si="1050"/>
        <v>83.0</v>
      </c>
      <c r="BN331" s="1">
        <f t="shared" si="1051"/>
        <v>21.1714285714284</v>
      </c>
      <c r="BP331" s="45">
        <f t="shared" si="1052"/>
        <v>61.8285714285716</v>
      </c>
      <c r="BQ331" s="5">
        <f t="shared" si="1053"/>
        <v>388.685314285715</v>
      </c>
      <c r="BR331" s="1">
        <f t="shared" si="1054"/>
        <v>26.4642857142856</v>
      </c>
      <c r="BS331" s="1">
        <f t="shared" si="1055"/>
      </c>
      <c r="BT331" s="45">
        <f t="shared" si="1056"/>
        <v>35.364285714286</v>
      </c>
      <c r="BU331" s="5">
        <f>BT331*BE331</f>
        <v>222.31758214286</v>
      </c>
      <c r="BV331" s="1">
        <f t="shared" si="1058"/>
        <v>28.5</v>
      </c>
      <c r="BW331" s="1">
        <f t="shared" si="1078"/>
      </c>
      <c r="BX331" s="45">
        <f t="shared" si="1060"/>
        <v>6.864285714286</v>
      </c>
      <c r="BY331" s="5">
        <f>BX331*BE331</f>
        <v>43.1523321428589</v>
      </c>
      <c r="BZ331" s="1">
        <f t="shared" si="1062"/>
        <v>39.4928571428571</v>
      </c>
      <c r="CB331" s="45">
        <f t="shared" si="1063"/>
        <v>-32.6285714285711</v>
      </c>
      <c r="CC331" s="5">
        <f>CB331*BE331</f>
        <v>-205.119514285712</v>
      </c>
      <c r="CD331" s="1">
        <f t="shared" si="1064"/>
        <v>18.7285714285713</v>
      </c>
      <c r="CF331" s="45">
        <f t="shared" si="1065"/>
        <v>-51.3571428571424</v>
      </c>
      <c r="CG331" s="5">
        <f>CF331*BE331</f>
        <v>-322.85667857142</v>
      </c>
      <c r="CH331" s="1">
        <f t="shared" si="1066"/>
        <v>36.642857142857</v>
      </c>
      <c r="CJ331" s="45">
        <f t="shared" si="1067"/>
        <v>-87.9999999999994</v>
      </c>
      <c r="CK331" s="5">
        <f>CJ331*BE331</f>
        <v>-553.211999999996</v>
      </c>
    </row>
    <row r="332" ht="17.0">
      <c r="A332" s="46" t="s">
        <v>30</v>
      </c>
      <c r="B332" s="46" t="s">
        <v>699</v>
      </c>
      <c r="C332" s="46" t="s">
        <v>708</v>
      </c>
      <c r="D332" s="47" t="s">
        <v>709</v>
      </c>
      <c r="E332" s="41">
        <v>0.0</v>
      </c>
      <c r="F332" s="41">
        <v>0.0</v>
      </c>
      <c r="G332" s="41">
        <v>0.0</v>
      </c>
      <c r="H332" s="41">
        <v>0.0</v>
      </c>
      <c r="I332" s="41">
        <v>2.0</v>
      </c>
      <c r="J332" s="41">
        <v>3.0</v>
      </c>
      <c r="K332" s="41">
        <v>1.0</v>
      </c>
      <c r="L332" s="41">
        <v>0.0</v>
      </c>
      <c r="M332" s="41">
        <v>0.0</v>
      </c>
      <c r="N332" s="41">
        <v>0.0</v>
      </c>
      <c r="O332" s="41">
        <v>1.0</v>
      </c>
      <c r="P332" s="41">
        <v>0.0</v>
      </c>
      <c r="Q332" s="41">
        <v>0.0</v>
      </c>
      <c r="R332" s="41">
        <v>0.0</v>
      </c>
      <c r="S332" s="41">
        <v>0.0</v>
      </c>
      <c r="T332" s="41">
        <v>0.0</v>
      </c>
      <c r="U332" s="41">
        <v>0.0</v>
      </c>
      <c r="V332" s="41">
        <v>1.0</v>
      </c>
      <c r="W332" s="41">
        <v>1.0</v>
      </c>
      <c r="X332" s="41">
        <v>0.0</v>
      </c>
      <c r="Y332" s="41">
        <v>0.0</v>
      </c>
      <c r="Z332" s="41">
        <v>0.0</v>
      </c>
      <c r="AA332" s="41">
        <v>0.0</v>
      </c>
      <c r="AB332" s="41">
        <v>0.0</v>
      </c>
      <c r="AC332" s="41">
        <v>0.0</v>
      </c>
      <c r="AD332" s="41">
        <v>1.0</v>
      </c>
      <c r="AE332" s="41">
        <v>2.0</v>
      </c>
      <c r="AF332" s="41">
        <v>0.0</v>
      </c>
      <c r="AG332" s="41">
        <v>0.0</v>
      </c>
      <c r="AH332" s="41">
        <v>0.0</v>
      </c>
      <c r="AI332" s="41">
        <v>1.0</v>
      </c>
      <c r="AJ332" s="41">
        <v>0.0</v>
      </c>
      <c r="AK332" s="41">
        <v>0.0</v>
      </c>
      <c r="AL332" s="41">
        <v>0.0</v>
      </c>
      <c r="AM332" s="43">
        <v>0.0</v>
      </c>
      <c r="AN332" s="43">
        <v>0.0</v>
      </c>
      <c r="AO332" s="43">
        <v>0.0</v>
      </c>
      <c r="AP332" s="43">
        <v>0.0</v>
      </c>
      <c r="AQ332" s="43">
        <v>0.0</v>
      </c>
      <c r="AR332" s="43">
        <v>0.0</v>
      </c>
      <c r="AS332" s="43">
        <v>0.0</v>
      </c>
      <c r="AT332" s="4">
        <f t="shared" si="4"/>
        <v>1.0</v>
      </c>
      <c r="AU332" s="4">
        <f t="shared" si="5"/>
        <v>1.0</v>
      </c>
      <c r="AV332" s="4">
        <f t="shared" si="6"/>
        <v>1.1</v>
      </c>
      <c r="AW332" s="48">
        <f t="shared" ref="AW332:AW334" si="1097">AV332*$AW$4/$AV$4</f>
        <v>0.123809523809523</v>
      </c>
      <c r="AX332" s="48">
        <f t="shared" ref="AX332:AX334" si="1098">AV332*$AX$4/$AV$4</f>
        <v>0.154761904761904</v>
      </c>
      <c r="AY332" s="48">
        <f t="shared" ref="AY332:AY334" si="1099">AV332*$AY$4/$AV$4</f>
        <v>0.166666666666667</v>
      </c>
      <c r="AZ332" s="48">
        <f t="shared" ref="AZ332:AZ334" si="1100">AV332*$AZ$4/$AV$4</f>
        <v>0.23095238095238</v>
      </c>
      <c r="BA332" s="48">
        <f t="shared" ref="BA332:BA334" si="1101">AV332*$BA$4/$AV$4</f>
        <v>0.10952380952381</v>
      </c>
      <c r="BB332" s="48">
        <f t="shared" ref="BB332:BB334" si="1102">AV332*$BB$4/$AV$4</f>
        <v>0.214285714285714</v>
      </c>
      <c r="BC332" s="4">
        <f t="shared" si="728"/>
        <v>0.999999999999998</v>
      </c>
      <c r="BD332" s="3">
        <f>VLOOKUP(D332,FEB23SOH,2,false)</f>
        <v>1.0</v>
      </c>
      <c r="BE332" s="44">
        <f>VLOOKUP(D332,UNITVALUE,4,false)</f>
        <v>451.53</v>
      </c>
      <c r="BF332" s="44">
        <f t="shared" si="941"/>
        <v>451.53</v>
      </c>
      <c r="BJ332" s="1">
        <f>VLOOKUP(C332,MOQ,3,FALSE())</f>
      </c>
      <c r="BK332" s="50"/>
      <c r="BP332" s="45"/>
      <c r="BT332" s="45"/>
      <c r="BU332" s="5"/>
      <c r="BX332" s="45"/>
      <c r="BY332" s="5"/>
      <c r="CB332" s="45"/>
      <c r="CC332" s="5"/>
      <c r="CF332" s="45"/>
      <c r="CG332" s="5"/>
      <c r="CJ332" s="45"/>
      <c r="CK332" s="5"/>
      <c r="CL332" s="49"/>
      <c r="CM332" s="49"/>
      <c r="CN332" s="49"/>
      <c r="CO332" s="49"/>
      <c r="CP332" s="49"/>
      <c r="CQ332" s="49"/>
      <c r="CR332" s="49"/>
      <c r="CS332" s="49"/>
      <c r="CT332" s="49"/>
      <c r="CU332" s="49"/>
      <c r="CV332" s="49"/>
      <c r="CW332" s="49"/>
      <c r="CX332" s="49"/>
      <c r="CY332" s="49"/>
      <c r="CZ332" s="49"/>
      <c r="DA332" s="49"/>
      <c r="DB332" s="49"/>
      <c r="DC332" s="49"/>
      <c r="DD332" s="49"/>
      <c r="DE332" s="49"/>
      <c r="DF332" s="49"/>
      <c r="DG332" s="49"/>
      <c r="DH332" s="49"/>
      <c r="DI332" s="49"/>
      <c r="DJ332" s="49"/>
      <c r="DK332" s="49"/>
    </row>
    <row r="333" ht="17.0">
      <c r="A333" s="46" t="s">
        <v>30</v>
      </c>
      <c r="B333" s="46" t="s">
        <v>699</v>
      </c>
      <c r="C333" s="46" t="s">
        <v>710</v>
      </c>
      <c r="D333" s="47" t="s">
        <v>711</v>
      </c>
      <c r="E333" s="41">
        <v>0.0</v>
      </c>
      <c r="F333" s="41">
        <v>3.0</v>
      </c>
      <c r="G333" s="41">
        <v>0.0</v>
      </c>
      <c r="H333" s="41">
        <v>0.0</v>
      </c>
      <c r="I333" s="41">
        <v>0.0</v>
      </c>
      <c r="J333" s="41">
        <v>1.0</v>
      </c>
      <c r="K333" s="41">
        <v>0.0</v>
      </c>
      <c r="L333" s="41">
        <v>1.0</v>
      </c>
      <c r="M333" s="41">
        <v>0.0</v>
      </c>
      <c r="N333" s="41">
        <v>0.0</v>
      </c>
      <c r="O333" s="41">
        <v>0.0</v>
      </c>
      <c r="P333" s="41">
        <v>0.0</v>
      </c>
      <c r="Q333" s="41">
        <v>1.0</v>
      </c>
      <c r="R333" s="41">
        <v>2.0</v>
      </c>
      <c r="S333" s="41">
        <v>0.0</v>
      </c>
      <c r="T333" s="41">
        <v>0.0</v>
      </c>
      <c r="U333" s="41">
        <v>2.0</v>
      </c>
      <c r="V333" s="41">
        <v>0.0</v>
      </c>
      <c r="W333" s="41">
        <v>1.0</v>
      </c>
      <c r="X333" s="41">
        <v>0.0</v>
      </c>
      <c r="Y333" s="41">
        <v>0.0</v>
      </c>
      <c r="Z333" s="41">
        <v>1.0</v>
      </c>
      <c r="AA333" s="41">
        <v>0.0</v>
      </c>
      <c r="AB333" s="41">
        <v>0.0</v>
      </c>
      <c r="AC333" s="41">
        <v>0.0</v>
      </c>
      <c r="AD333" s="41">
        <v>0.0</v>
      </c>
      <c r="AE333" s="41">
        <v>1.0</v>
      </c>
      <c r="AF333" s="41">
        <v>0.0</v>
      </c>
      <c r="AG333" s="41">
        <v>0.0</v>
      </c>
      <c r="AH333" s="41">
        <v>0.0</v>
      </c>
      <c r="AI333" s="41">
        <v>0.0</v>
      </c>
      <c r="AJ333" s="41">
        <v>0.0</v>
      </c>
      <c r="AK333" s="41">
        <v>0.0</v>
      </c>
      <c r="AL333" s="41">
        <v>0.0</v>
      </c>
      <c r="AM333" s="43">
        <v>1.0</v>
      </c>
      <c r="AN333" s="43">
        <v>0.0</v>
      </c>
      <c r="AO333" s="43">
        <v>0.0</v>
      </c>
      <c r="AP333" s="43">
        <v>0.0</v>
      </c>
      <c r="AQ333" s="43">
        <v>0.0</v>
      </c>
      <c r="AR333" s="43">
        <v>0.0</v>
      </c>
      <c r="AS333" s="43">
        <v>0.0</v>
      </c>
      <c r="AT333" s="4">
        <f t="shared" si="4"/>
        <v>1.0</v>
      </c>
      <c r="AU333" s="4">
        <f t="shared" si="5"/>
        <v>1.0</v>
      </c>
      <c r="AV333" s="4">
        <f t="shared" si="6"/>
        <v>1.1</v>
      </c>
      <c r="AW333" s="48">
        <f t="shared" si="1097"/>
        <v>0.123809523809523</v>
      </c>
      <c r="AX333" s="48">
        <f t="shared" si="1098"/>
        <v>0.154761904761904</v>
      </c>
      <c r="AY333" s="48">
        <f t="shared" si="1099"/>
        <v>0.166666666666667</v>
      </c>
      <c r="AZ333" s="48">
        <f t="shared" si="1100"/>
        <v>0.23095238095238</v>
      </c>
      <c r="BA333" s="48">
        <f t="shared" si="1101"/>
        <v>0.10952380952381</v>
      </c>
      <c r="BB333" s="48">
        <f t="shared" si="1102"/>
        <v>0.214285714285714</v>
      </c>
      <c r="BC333" s="4">
        <f t="shared" si="728"/>
        <v>0.999999999999998</v>
      </c>
      <c r="BD333" s="3">
        <f>VLOOKUP(D333,FEB23SOH,2,false)</f>
        <v>0.0</v>
      </c>
      <c r="BE333" s="44">
        <f>VLOOKUP(D333,UNITVALUE,4,false)</f>
      </c>
      <c r="BF333" s="44">
        <f t="shared" si="941"/>
        <v>0.0</v>
      </c>
      <c r="BJ333" s="1">
        <f>VLOOKUP(C333,MOQ,3,FALSE())</f>
      </c>
      <c r="BP333" s="45"/>
      <c r="BT333" s="45"/>
      <c r="BU333" s="5"/>
      <c r="BX333" s="45"/>
      <c r="BY333" s="5"/>
      <c r="CB333" s="45"/>
      <c r="CC333" s="5"/>
      <c r="CF333" s="45"/>
      <c r="CG333" s="5"/>
      <c r="CJ333" s="45"/>
      <c r="CK333" s="5"/>
      <c r="CL333" s="49"/>
      <c r="CM333" s="49"/>
      <c r="CN333" s="49"/>
      <c r="CO333" s="49"/>
      <c r="CP333" s="49"/>
      <c r="CQ333" s="49"/>
      <c r="CR333" s="49"/>
      <c r="CS333" s="49"/>
      <c r="CT333" s="49"/>
      <c r="CU333" s="49"/>
      <c r="CV333" s="49"/>
      <c r="CW333" s="49"/>
      <c r="CX333" s="49"/>
      <c r="CY333" s="49"/>
      <c r="CZ333" s="49"/>
      <c r="DA333" s="49"/>
      <c r="DB333" s="49"/>
      <c r="DC333" s="49"/>
      <c r="DD333" s="49"/>
      <c r="DE333" s="49"/>
      <c r="DF333" s="49"/>
      <c r="DG333" s="49"/>
      <c r="DH333" s="49"/>
      <c r="DI333" s="49"/>
      <c r="DJ333" s="49"/>
      <c r="DK333" s="49"/>
    </row>
    <row r="334" ht="17.0">
      <c r="A334" s="46" t="s">
        <v>30</v>
      </c>
      <c r="B334" s="46" t="s">
        <v>699</v>
      </c>
      <c r="C334" s="46" t="s">
        <v>712</v>
      </c>
      <c r="D334" s="47" t="s">
        <v>713</v>
      </c>
      <c r="E334" s="41">
        <v>0.0</v>
      </c>
      <c r="F334" s="41">
        <v>3.0</v>
      </c>
      <c r="G334" s="41">
        <v>0.0</v>
      </c>
      <c r="H334" s="41">
        <v>0.0</v>
      </c>
      <c r="I334" s="41">
        <v>1.0</v>
      </c>
      <c r="J334" s="41">
        <v>2.0</v>
      </c>
      <c r="K334" s="41">
        <v>3.0</v>
      </c>
      <c r="L334" s="41">
        <v>1.0</v>
      </c>
      <c r="M334" s="41">
        <v>1.0</v>
      </c>
      <c r="N334" s="41">
        <v>1.0</v>
      </c>
      <c r="O334" s="41">
        <v>0.0</v>
      </c>
      <c r="P334" s="41">
        <v>1.0</v>
      </c>
      <c r="Q334" s="41">
        <v>2.0</v>
      </c>
      <c r="R334" s="41">
        <v>0.0</v>
      </c>
      <c r="S334" s="41">
        <v>1.0</v>
      </c>
      <c r="T334" s="41">
        <v>0.0</v>
      </c>
      <c r="U334" s="41">
        <v>1.0</v>
      </c>
      <c r="V334" s="41">
        <v>1.0</v>
      </c>
      <c r="W334" s="41">
        <v>2.0</v>
      </c>
      <c r="X334" s="41">
        <v>0.0</v>
      </c>
      <c r="Y334" s="41">
        <v>0.0</v>
      </c>
      <c r="Z334" s="41">
        <v>0.0</v>
      </c>
      <c r="AA334" s="41">
        <v>0.0</v>
      </c>
      <c r="AB334" s="41">
        <v>0.0</v>
      </c>
      <c r="AC334" s="41">
        <v>0.0</v>
      </c>
      <c r="AD334" s="41">
        <v>0.0</v>
      </c>
      <c r="AE334" s="41">
        <v>0.0</v>
      </c>
      <c r="AF334" s="41">
        <v>0.0</v>
      </c>
      <c r="AG334" s="41">
        <v>0.0</v>
      </c>
      <c r="AH334" s="41">
        <v>0.0</v>
      </c>
      <c r="AI334" s="41">
        <v>0.0</v>
      </c>
      <c r="AJ334" s="41">
        <v>1.0</v>
      </c>
      <c r="AK334" s="41">
        <v>0.0</v>
      </c>
      <c r="AL334" s="41">
        <v>1.0</v>
      </c>
      <c r="AM334" s="43">
        <v>0.0</v>
      </c>
      <c r="AN334" s="43">
        <v>0.0</v>
      </c>
      <c r="AO334" s="43">
        <v>0.0</v>
      </c>
      <c r="AP334" s="43">
        <v>0.0</v>
      </c>
      <c r="AQ334" s="43">
        <v>0.0</v>
      </c>
      <c r="AR334" s="43">
        <v>0.0</v>
      </c>
      <c r="AS334" s="43">
        <v>0.0</v>
      </c>
      <c r="AT334" s="4">
        <f t="shared" si="4"/>
        <v>2.0</v>
      </c>
      <c r="AU334" s="4">
        <f t="shared" si="5"/>
        <v>2.0</v>
      </c>
      <c r="AV334" s="4">
        <f t="shared" si="6"/>
        <v>2.2</v>
      </c>
      <c r="AW334" s="48">
        <f t="shared" si="1097"/>
        <v>0.247619047619048</v>
      </c>
      <c r="AX334" s="48">
        <f t="shared" si="1098"/>
        <v>0.30952380952381</v>
      </c>
      <c r="AY334" s="48">
        <f t="shared" si="1099"/>
        <v>0.333333333333333</v>
      </c>
      <c r="AZ334" s="48">
        <f t="shared" si="1100"/>
        <v>0.461904761904761</v>
      </c>
      <c r="BA334" s="48">
        <f t="shared" si="1101"/>
        <v>0.219047619047619</v>
      </c>
      <c r="BB334" s="48">
        <f t="shared" si="1102"/>
        <v>0.428571428571429</v>
      </c>
      <c r="BC334" s="4">
        <f t="shared" si="728"/>
        <v>2.0</v>
      </c>
      <c r="BD334" s="3">
        <f>VLOOKUP(D334,FEB23SOH,2,false)</f>
        <v>0.0</v>
      </c>
      <c r="BE334" s="44">
        <f>VLOOKUP(D334,UNITVALUE,4,false)</f>
      </c>
      <c r="BF334" s="44">
        <f t="shared" si="941"/>
        <v>0.0</v>
      </c>
      <c r="BJ334" s="1">
        <f>VLOOKUP(C334,MOQ,3,FALSE())</f>
      </c>
      <c r="BP334" s="45"/>
      <c r="BT334" s="45"/>
      <c r="BU334" s="5"/>
      <c r="BX334" s="45"/>
      <c r="BY334" s="5"/>
      <c r="CB334" s="45"/>
      <c r="CC334" s="5"/>
      <c r="CF334" s="45"/>
      <c r="CG334" s="5"/>
      <c r="CJ334" s="45"/>
      <c r="CK334" s="5"/>
      <c r="CL334" s="49"/>
      <c r="CM334" s="49"/>
      <c r="CN334" s="49"/>
      <c r="CO334" s="49"/>
      <c r="CP334" s="49"/>
      <c r="CQ334" s="49"/>
      <c r="CR334" s="49"/>
      <c r="CS334" s="49"/>
      <c r="CT334" s="49"/>
      <c r="CU334" s="49"/>
      <c r="CV334" s="49"/>
      <c r="CW334" s="49"/>
      <c r="CX334" s="49"/>
      <c r="CY334" s="49"/>
      <c r="CZ334" s="49"/>
      <c r="DA334" s="49"/>
      <c r="DB334" s="49"/>
      <c r="DC334" s="49"/>
      <c r="DD334" s="49"/>
      <c r="DE334" s="49"/>
      <c r="DF334" s="49"/>
      <c r="DG334" s="49"/>
      <c r="DH334" s="49"/>
      <c r="DI334" s="49"/>
      <c r="DJ334" s="49"/>
      <c r="DK334" s="49"/>
    </row>
    <row r="335" ht="17.0">
      <c r="A335" s="41" t="s">
        <v>30</v>
      </c>
      <c r="B335" s="41" t="s">
        <v>197</v>
      </c>
      <c r="C335" s="41" t="s">
        <v>714</v>
      </c>
      <c r="D335" s="42" t="s">
        <v>715</v>
      </c>
      <c r="E335" s="41">
        <v>0.0</v>
      </c>
      <c r="F335" s="41">
        <v>0.0</v>
      </c>
      <c r="G335" s="41">
        <v>0.0</v>
      </c>
      <c r="H335" s="41">
        <v>0.0</v>
      </c>
      <c r="I335" s="41">
        <v>7.0</v>
      </c>
      <c r="J335" s="41">
        <v>8.0</v>
      </c>
      <c r="K335" s="41">
        <v>17.0</v>
      </c>
      <c r="L335" s="41">
        <v>15.0</v>
      </c>
      <c r="M335" s="41">
        <v>4.0</v>
      </c>
      <c r="N335" s="41">
        <v>10.0</v>
      </c>
      <c r="O335" s="41">
        <v>6.0</v>
      </c>
      <c r="P335" s="41">
        <v>4.0</v>
      </c>
      <c r="Q335" s="41">
        <v>7.0</v>
      </c>
      <c r="R335" s="41">
        <v>3.0</v>
      </c>
      <c r="S335" s="41">
        <v>1.0</v>
      </c>
      <c r="T335" s="41">
        <v>8.0</v>
      </c>
      <c r="U335" s="41">
        <v>7.0</v>
      </c>
      <c r="V335" s="41">
        <v>16.0</v>
      </c>
      <c r="W335" s="41">
        <v>10.0</v>
      </c>
      <c r="X335" s="41">
        <v>6.0</v>
      </c>
      <c r="Y335" s="41">
        <v>1.0</v>
      </c>
      <c r="Z335" s="41">
        <v>2.0</v>
      </c>
      <c r="AA335" s="41">
        <v>3.0</v>
      </c>
      <c r="AB335" s="41">
        <v>4.0</v>
      </c>
      <c r="AC335" s="41">
        <v>2.0</v>
      </c>
      <c r="AD335" s="41">
        <v>4.0</v>
      </c>
      <c r="AE335" s="41">
        <v>0.0</v>
      </c>
      <c r="AF335" s="41">
        <v>0.0</v>
      </c>
      <c r="AG335" s="41">
        <v>4.0</v>
      </c>
      <c r="AH335" s="41">
        <v>6.0</v>
      </c>
      <c r="AI335" s="41">
        <v>7.0</v>
      </c>
      <c r="AJ335" s="41">
        <v>6.0</v>
      </c>
      <c r="AK335" s="41">
        <v>5.0</v>
      </c>
      <c r="AM335" s="43">
        <v>4.0</v>
      </c>
      <c r="AN335" s="43">
        <v>6.0</v>
      </c>
      <c r="AO335" s="43">
        <v>1.0</v>
      </c>
      <c r="AP335" s="43">
        <v>2.0</v>
      </c>
      <c r="AQ335" s="43">
        <v>0.0</v>
      </c>
      <c r="AR335" s="43">
        <v>0.0</v>
      </c>
      <c r="AS335" s="43">
        <v>0.0</v>
      </c>
      <c r="AT335" s="4">
        <f t="shared" si="4"/>
        <v>37.0</v>
      </c>
      <c r="AU335" s="4">
        <f t="shared" si="5"/>
        <v>28.0</v>
      </c>
      <c r="AV335" s="4">
        <f t="shared" si="6"/>
        <v>30.8</v>
      </c>
      <c r="AW335" s="1">
        <f>AW332+AW333+AW334+AW340</f>
        <v>0.495238095238094</v>
      </c>
      <c r="AX335" s="1">
        <f>AX332+AX333+AX334+AX340</f>
        <v>0.619047619047618</v>
      </c>
      <c r="AY335" s="1">
        <f>AY332+AY333+AY334+AY340</f>
        <v>0.666666666666667</v>
      </c>
      <c r="AZ335" s="1">
        <f>AZ332+AZ333+AZ334+AZ340</f>
        <v>0.923809523809521</v>
      </c>
      <c r="BA335" s="1">
        <f>BA332+BA333+BA334+BA340</f>
        <v>0.438095238095239</v>
      </c>
      <c r="BB335" s="1">
        <f>BB332+BB333+BB334+BB340</f>
        <v>0.857142857142857</v>
      </c>
      <c r="BC335" s="4">
        <f t="shared" si="728"/>
        <v>4.0</v>
      </c>
      <c r="BD335" s="3">
        <f>VLOOKUP(D335,FEB23SOH,2,false)</f>
        <v>133.0</v>
      </c>
      <c r="BE335" s="44">
        <f>VLOOKUP(D335,UNITVALUE,4,false)</f>
        <v>34.9683</v>
      </c>
      <c r="BF335" s="44">
        <f t="shared" si="941"/>
        <v>4650.7839</v>
      </c>
      <c r="BI335" s="6">
        <f t="shared" ref="BI335:BI339" si="1110">BD335+BG335+BH335-BC335</f>
        <v>129.0</v>
      </c>
      <c r="BJ335" s="1">
        <f>VLOOKUP(C335,MOQ,3,FALSE())</f>
        <v>200.0</v>
      </c>
      <c r="BM335" s="1">
        <f t="shared" ref="BM335:BM339" si="1111">BD335</f>
        <v>133.0</v>
      </c>
      <c r="BN335" s="1">
        <f t="shared" ref="BN335:BN339" si="1112">AW335</f>
        <v>0.495238095238094</v>
      </c>
      <c r="BP335" s="45">
        <f t="shared" ref="BP335:BP339" si="1113">BM335+BO335-BN335</f>
        <v>132.504761904761</v>
      </c>
      <c r="BQ335" s="5">
        <f t="shared" ref="BQ335:BQ339" si="1114">BP335*BE335</f>
        <v>4633.46626571425</v>
      </c>
      <c r="BR335" s="1">
        <f t="shared" ref="BR335:BR339" si="1115">AX335</f>
        <v>0.619047619047618</v>
      </c>
      <c r="BS335" s="1">
        <f t="shared" ref="BS335:BS339" si="1116">BG335</f>
      </c>
      <c r="BT335" s="45">
        <f t="shared" ref="BT335:BT339" si="1117">BP335+BS335-BR335</f>
        <v>131.885714285713</v>
      </c>
      <c r="BU335" s="5">
        <f t="shared" ref="BU335:BU339" si="1118">BT335*BE335</f>
        <v>4611.8192228571</v>
      </c>
      <c r="BV335" s="1">
        <f t="shared" ref="BV335:BV339" si="1119">AY335</f>
        <v>0.666666666666667</v>
      </c>
      <c r="BW335" s="1">
        <f t="shared" ref="BW335:BW339" si="1120">BG335</f>
      </c>
      <c r="BX335" s="45">
        <f t="shared" ref="BX335:BX339" si="1121">BT335+BW335-BV335</f>
        <v>131.219047619046</v>
      </c>
      <c r="BY335" s="5">
        <f t="shared" ref="BY335:BY339" si="1122">BX335*BE335</f>
        <v>4588.50702285709</v>
      </c>
      <c r="BZ335" s="1">
        <f t="shared" ref="BZ335:BZ339" si="1123">AZ335</f>
        <v>0.923809523809521</v>
      </c>
      <c r="CB335" s="45">
        <f t="shared" ref="CB335:CB339" si="1124">BX335+CA335-BZ335</f>
        <v>130.295238095236</v>
      </c>
      <c r="CC335" s="5">
        <f t="shared" ref="CC335:CC339" si="1125">CB335*BE335</f>
        <v>4556.20297428564</v>
      </c>
      <c r="CD335" s="1">
        <f t="shared" ref="CD335:CD339" si="1126">BA335</f>
        <v>0.438095238095239</v>
      </c>
      <c r="CF335" s="45">
        <f t="shared" ref="CF335:CF339" si="1127">CB335+CE335-CD335</f>
        <v>129.85714285714</v>
      </c>
      <c r="CG335" s="5">
        <f t="shared" ref="CG335:CG339" si="1128">CF335*BE335</f>
        <v>4540.88352857132</v>
      </c>
      <c r="CH335" s="1">
        <f t="shared" ref="CH335:CH339" si="1129">BB335</f>
        <v>0.857142857142857</v>
      </c>
      <c r="CJ335" s="45">
        <f t="shared" ref="CJ335:CJ339" si="1130">CF335+CI335-CH335</f>
        <v>128.999999999997</v>
      </c>
      <c r="CK335" s="5">
        <f t="shared" ref="CK335:CK339" si="1131">CJ335*BE335</f>
        <v>4510.9106999999</v>
      </c>
    </row>
    <row r="336" ht="17.0">
      <c r="A336" s="41" t="s">
        <v>30</v>
      </c>
      <c r="B336" s="10" t="s">
        <v>699</v>
      </c>
      <c r="C336" s="41" t="s">
        <v>716</v>
      </c>
      <c r="D336" s="55" t="s">
        <v>717</v>
      </c>
      <c r="E336" s="41">
        <v>72.0</v>
      </c>
      <c r="F336" s="41">
        <v>44.0</v>
      </c>
      <c r="G336" s="41">
        <v>24.0</v>
      </c>
      <c r="H336" s="41">
        <v>4.0</v>
      </c>
      <c r="I336" s="41">
        <v>16.0</v>
      </c>
      <c r="J336" s="41">
        <v>32.0</v>
      </c>
      <c r="K336" s="41">
        <v>64.0</v>
      </c>
      <c r="L336" s="41">
        <v>68.0</v>
      </c>
      <c r="M336" s="41">
        <v>32.0</v>
      </c>
      <c r="N336" s="41">
        <v>24.0</v>
      </c>
      <c r="O336" s="41">
        <v>20.0</v>
      </c>
      <c r="P336" s="41">
        <v>4.0</v>
      </c>
      <c r="Q336" s="41">
        <v>1.0</v>
      </c>
      <c r="R336" s="41">
        <v>4.0</v>
      </c>
      <c r="S336" s="41">
        <v>14.0</v>
      </c>
      <c r="T336" s="41">
        <v>14.0</v>
      </c>
      <c r="U336" s="41">
        <v>20.0</v>
      </c>
      <c r="V336" s="41">
        <v>38.0</v>
      </c>
      <c r="W336" s="41">
        <v>17.0</v>
      </c>
      <c r="X336" s="41">
        <v>30.0</v>
      </c>
      <c r="Y336" s="41">
        <v>30.0</v>
      </c>
      <c r="Z336" s="41">
        <v>22.0</v>
      </c>
      <c r="AA336" s="41">
        <v>14.0</v>
      </c>
      <c r="AB336" s="41">
        <v>4.0</v>
      </c>
      <c r="AC336" s="41">
        <v>0.0</v>
      </c>
      <c r="AD336" s="41">
        <v>7.0</v>
      </c>
      <c r="AE336" s="41">
        <v>12.0</v>
      </c>
      <c r="AF336" s="41">
        <v>3.0</v>
      </c>
      <c r="AG336" s="41">
        <v>16.0</v>
      </c>
      <c r="AH336" s="41">
        <v>32.0</v>
      </c>
      <c r="AI336" s="41">
        <v>16.0</v>
      </c>
      <c r="AJ336" s="41">
        <v>4.0</v>
      </c>
      <c r="AK336" s="41">
        <v>40.0</v>
      </c>
      <c r="AL336" s="41">
        <v>0.0</v>
      </c>
      <c r="AM336" s="43">
        <v>20.0</v>
      </c>
      <c r="AN336" s="43">
        <v>23.0</v>
      </c>
      <c r="AO336" s="43">
        <v>17.0</v>
      </c>
      <c r="AP336" s="43">
        <v>20.0</v>
      </c>
      <c r="AQ336" s="43">
        <v>4.0</v>
      </c>
      <c r="AR336" s="43">
        <v>0.0</v>
      </c>
      <c r="AS336" s="43">
        <v>10.0</v>
      </c>
      <c r="AT336" s="4">
        <f t="shared" si="4"/>
        <v>186.0</v>
      </c>
      <c r="AU336" s="4">
        <f t="shared" si="5"/>
        <v>112.0</v>
      </c>
      <c r="AV336" s="4">
        <f t="shared" si="6"/>
        <v>123.2</v>
      </c>
      <c r="AW336" s="1">
        <f t="shared" ref="AW336:AW339" si="1132">AV336*$AW$4/$AV$4+4*$AW$332</f>
        <v>14.3619047619048</v>
      </c>
      <c r="AX336" s="1">
        <f t="shared" ref="AX336:AX339" si="1133">AV336*$AX$4/$AV$4+4*$AX$332</f>
        <v>17.9523809523809</v>
      </c>
      <c r="AY336" s="1">
        <f t="shared" ref="AY336:AY339" si="1134">AV336*$AY$4/$AV$4+4*$AY$332</f>
        <v>19.3333333333333</v>
      </c>
      <c r="AZ336" s="1">
        <f t="shared" ref="AZ336:AZ339" si="1135">AV336*$AZ$4/$AV$4+4*$AZ$332</f>
        <v>26.7904761904762</v>
      </c>
      <c r="BA336" s="1">
        <f t="shared" ref="BA336:BA339" si="1136">AV336*$BA$4/$AV$4+4*$BA$332</f>
        <v>12.7047619047619</v>
      </c>
      <c r="BB336" s="1">
        <f t="shared" ref="BB336:BB339" si="1137">AV336*$BB$4/$AV$4+4*$BB$332</f>
        <v>24.8571428571429</v>
      </c>
      <c r="BC336" s="4">
        <f t="shared" si="728"/>
        <v>116.0</v>
      </c>
      <c r="BD336" s="3">
        <f>VLOOKUP(D336,FEB23SOH,2,false)</f>
        <v>178.0</v>
      </c>
      <c r="BE336" s="44">
        <f>VLOOKUP(D336,UNITVALUE,4,false)</f>
        <v>5.1031</v>
      </c>
      <c r="BF336" s="44">
        <f t="shared" si="941"/>
        <v>908.3518</v>
      </c>
      <c r="BI336" s="6">
        <f t="shared" si="1110"/>
        <v>62.0</v>
      </c>
      <c r="BJ336" s="1">
        <f>VLOOKUP(C336,MOQ,3,FALSE())</f>
        <v>504.0</v>
      </c>
      <c r="BK336" s="53" t="s">
        <v>0</v>
      </c>
      <c r="BM336" s="1">
        <f t="shared" si="1111"/>
        <v>178.0</v>
      </c>
      <c r="BN336" s="1">
        <f t="shared" si="1112"/>
        <v>14.3619047619048</v>
      </c>
      <c r="BP336" s="45">
        <f t="shared" si="1113"/>
        <v>163.638095238095</v>
      </c>
      <c r="BQ336" s="5">
        <f t="shared" si="1114"/>
        <v>835.061563809522</v>
      </c>
      <c r="BR336" s="1">
        <f t="shared" si="1115"/>
        <v>17.9523809523809</v>
      </c>
      <c r="BS336" s="1">
        <f t="shared" si="1116"/>
      </c>
      <c r="BT336" s="45">
        <f t="shared" si="1117"/>
        <v>145.685714285714</v>
      </c>
      <c r="BU336" s="5">
        <f t="shared" si="1118"/>
        <v>743.448768571427</v>
      </c>
      <c r="BV336" s="1">
        <f t="shared" si="1119"/>
        <v>19.3333333333333</v>
      </c>
      <c r="BW336" s="1">
        <f t="shared" si="1120"/>
      </c>
      <c r="BX336" s="45">
        <f t="shared" si="1121"/>
        <v>126.35238095238</v>
      </c>
      <c r="BY336" s="5">
        <f t="shared" si="1122"/>
        <v>644.78883523809</v>
      </c>
      <c r="BZ336" s="1">
        <f t="shared" si="1123"/>
        <v>26.7904761904762</v>
      </c>
      <c r="CB336" s="45">
        <f t="shared" si="1124"/>
        <v>99.5619047619038</v>
      </c>
      <c r="CC336" s="5">
        <f t="shared" si="1125"/>
        <v>508.074356190471</v>
      </c>
      <c r="CD336" s="1">
        <f t="shared" si="1126"/>
        <v>12.7047619047619</v>
      </c>
      <c r="CF336" s="45">
        <f t="shared" si="1127"/>
        <v>86.8571428571419</v>
      </c>
      <c r="CG336" s="5">
        <f t="shared" si="1128"/>
        <v>443.24068571428</v>
      </c>
      <c r="CH336" s="1">
        <f t="shared" si="1129"/>
        <v>24.8571428571429</v>
      </c>
      <c r="CJ336" s="45">
        <f t="shared" si="1130"/>
        <v>61.999999999999</v>
      </c>
      <c r="CK336" s="5">
        <f t="shared" si="1131"/>
        <v>316.392199999994</v>
      </c>
    </row>
    <row r="337" ht="17.0">
      <c r="A337" s="41" t="s">
        <v>30</v>
      </c>
      <c r="B337" s="10" t="s">
        <v>699</v>
      </c>
      <c r="C337" s="41" t="s">
        <v>718</v>
      </c>
      <c r="D337" s="55" t="s">
        <v>719</v>
      </c>
      <c r="E337" s="41">
        <v>52.0</v>
      </c>
      <c r="F337" s="41">
        <v>32.0</v>
      </c>
      <c r="G337" s="41">
        <v>24.0</v>
      </c>
      <c r="H337" s="41">
        <v>8.0</v>
      </c>
      <c r="I337" s="41">
        <v>20.0</v>
      </c>
      <c r="J337" s="41">
        <v>12.0</v>
      </c>
      <c r="K337" s="41">
        <v>20.0</v>
      </c>
      <c r="L337" s="41">
        <v>29.0</v>
      </c>
      <c r="M337" s="41">
        <v>12.0</v>
      </c>
      <c r="N337" s="41">
        <v>16.0</v>
      </c>
      <c r="O337" s="41">
        <v>16.0</v>
      </c>
      <c r="P337" s="41">
        <v>12.0</v>
      </c>
      <c r="Q337" s="41">
        <v>4.0</v>
      </c>
      <c r="R337" s="41">
        <v>0.0</v>
      </c>
      <c r="S337" s="41">
        <v>0.0</v>
      </c>
      <c r="T337" s="41">
        <v>12.0</v>
      </c>
      <c r="U337" s="41">
        <v>10.0</v>
      </c>
      <c r="V337" s="41">
        <v>29.0</v>
      </c>
      <c r="W337" s="41">
        <v>4.0</v>
      </c>
      <c r="X337" s="41">
        <v>25.0</v>
      </c>
      <c r="Y337" s="41">
        <v>3.0</v>
      </c>
      <c r="Z337" s="41">
        <v>17.0</v>
      </c>
      <c r="AA337" s="41">
        <v>10.0</v>
      </c>
      <c r="AB337" s="41">
        <v>11.0</v>
      </c>
      <c r="AC337" s="41">
        <v>4.0</v>
      </c>
      <c r="AD337" s="41">
        <v>0.0</v>
      </c>
      <c r="AE337" s="41">
        <v>0.0</v>
      </c>
      <c r="AF337" s="41">
        <v>8.0</v>
      </c>
      <c r="AG337" s="41">
        <v>8.0</v>
      </c>
      <c r="AH337" s="41">
        <v>8.0</v>
      </c>
      <c r="AI337" s="41">
        <v>4.0</v>
      </c>
      <c r="AJ337" s="41">
        <v>16.0</v>
      </c>
      <c r="AK337" s="41">
        <v>4.0</v>
      </c>
      <c r="AL337" s="41">
        <v>12.0</v>
      </c>
      <c r="AM337" s="43">
        <v>8.0</v>
      </c>
      <c r="AN337" s="43">
        <v>-2.0</v>
      </c>
      <c r="AO337" s="43">
        <v>1.0</v>
      </c>
      <c r="AP337" s="43">
        <v>0.0</v>
      </c>
      <c r="AQ337" s="43">
        <v>0.0</v>
      </c>
      <c r="AR337" s="43">
        <v>-1.0</v>
      </c>
      <c r="AS337" s="43">
        <v>10.0</v>
      </c>
      <c r="AT337" s="4">
        <f t="shared" si="4"/>
        <v>60.0</v>
      </c>
      <c r="AU337" s="4">
        <f t="shared" si="5"/>
        <v>52.0</v>
      </c>
      <c r="AV337" s="4">
        <f t="shared" si="6"/>
        <v>57.2</v>
      </c>
      <c r="AW337" s="1">
        <f t="shared" si="1132"/>
        <v>6.93333333333332</v>
      </c>
      <c r="AX337" s="1">
        <f t="shared" si="1133"/>
        <v>8.66666666666666</v>
      </c>
      <c r="AY337" s="1">
        <f t="shared" si="1134"/>
        <v>9.3333333333333</v>
      </c>
      <c r="AZ337" s="1">
        <f t="shared" si="1135"/>
        <v>12.9333333333333</v>
      </c>
      <c r="BA337" s="1">
        <f t="shared" si="1136"/>
        <v>6.13333333333334</v>
      </c>
      <c r="BB337" s="1">
        <f t="shared" si="1137"/>
        <v>12.0</v>
      </c>
      <c r="BC337" s="4">
        <f t="shared" si="728"/>
        <v>55.9999999999999</v>
      </c>
      <c r="BD337" s="3">
        <f>VLOOKUP(D337,FEB23SOH,2,false)</f>
        <v>371.0</v>
      </c>
      <c r="BE337" s="44">
        <f>VLOOKUP(D337,UNITVALUE,4,false)</f>
        <v>5.106</v>
      </c>
      <c r="BF337" s="44">
        <f t="shared" si="941"/>
        <v>1894.326</v>
      </c>
      <c r="BI337" s="6">
        <f t="shared" si="1110"/>
        <v>315.0</v>
      </c>
      <c r="BJ337" s="1">
        <f>VLOOKUP(C337,MOQ,3,FALSE())</f>
        <v>500.0</v>
      </c>
      <c r="BK337" s="53" t="s">
        <v>0</v>
      </c>
      <c r="BM337" s="1">
        <f t="shared" si="1111"/>
        <v>371.0</v>
      </c>
      <c r="BN337" s="1">
        <f t="shared" si="1112"/>
        <v>6.93333333333332</v>
      </c>
      <c r="BP337" s="45">
        <f t="shared" si="1113"/>
        <v>364.066666666667</v>
      </c>
      <c r="BQ337" s="5">
        <f t="shared" si="1114"/>
        <v>1858.9244</v>
      </c>
      <c r="BR337" s="1">
        <f t="shared" si="1115"/>
        <v>8.66666666666666</v>
      </c>
      <c r="BS337" s="1">
        <f t="shared" si="1116"/>
      </c>
      <c r="BT337" s="45">
        <f t="shared" si="1117"/>
        <v>355.4</v>
      </c>
      <c r="BU337" s="5">
        <f t="shared" si="1118"/>
        <v>1814.6724</v>
      </c>
      <c r="BV337" s="1">
        <f t="shared" si="1119"/>
        <v>9.3333333333333</v>
      </c>
      <c r="BW337" s="1">
        <f t="shared" si="1120"/>
      </c>
      <c r="BX337" s="45">
        <f t="shared" si="1121"/>
        <v>346.066666666667</v>
      </c>
      <c r="BY337" s="5">
        <f t="shared" si="1122"/>
        <v>1767.0164</v>
      </c>
      <c r="BZ337" s="1">
        <f t="shared" si="1123"/>
        <v>12.9333333333333</v>
      </c>
      <c r="CB337" s="45">
        <f t="shared" si="1124"/>
        <v>333.133333333333</v>
      </c>
      <c r="CC337" s="5">
        <f t="shared" si="1125"/>
        <v>1700.9788</v>
      </c>
      <c r="CD337" s="1">
        <f t="shared" si="1126"/>
        <v>6.13333333333334</v>
      </c>
      <c r="CF337" s="45">
        <f t="shared" si="1127"/>
        <v>327.0</v>
      </c>
      <c r="CG337" s="5">
        <f t="shared" si="1128"/>
        <v>1669.662</v>
      </c>
      <c r="CH337" s="1">
        <f t="shared" si="1129"/>
        <v>12.0</v>
      </c>
      <c r="CJ337" s="45">
        <f t="shared" si="1130"/>
        <v>315.0</v>
      </c>
      <c r="CK337" s="5">
        <f t="shared" si="1131"/>
        <v>1608.39</v>
      </c>
    </row>
    <row r="338" ht="17.0">
      <c r="A338" s="41" t="s">
        <v>30</v>
      </c>
      <c r="B338" s="10" t="s">
        <v>699</v>
      </c>
      <c r="C338" s="41" t="s">
        <v>720</v>
      </c>
      <c r="D338" s="55" t="s">
        <v>721</v>
      </c>
      <c r="E338" s="41">
        <v>72.0</v>
      </c>
      <c r="F338" s="41">
        <v>48.0</v>
      </c>
      <c r="G338" s="41">
        <v>16.0</v>
      </c>
      <c r="H338" s="41">
        <v>4.0</v>
      </c>
      <c r="I338" s="41">
        <v>16.0</v>
      </c>
      <c r="J338" s="41">
        <v>4.0</v>
      </c>
      <c r="K338" s="41">
        <v>8.0</v>
      </c>
      <c r="L338" s="41">
        <v>25.0</v>
      </c>
      <c r="M338" s="41">
        <v>8.0</v>
      </c>
      <c r="N338" s="41">
        <v>0.0</v>
      </c>
      <c r="O338" s="41">
        <v>4.0</v>
      </c>
      <c r="P338" s="41">
        <v>4.0</v>
      </c>
      <c r="Q338" s="41">
        <v>4.0</v>
      </c>
      <c r="R338" s="41">
        <v>12.0</v>
      </c>
      <c r="S338" s="41">
        <v>8.0</v>
      </c>
      <c r="T338" s="41">
        <v>4.0</v>
      </c>
      <c r="U338" s="41">
        <v>13.0</v>
      </c>
      <c r="V338" s="41">
        <v>22.0</v>
      </c>
      <c r="W338" s="41">
        <v>6.0</v>
      </c>
      <c r="X338" s="41">
        <v>13.0</v>
      </c>
      <c r="Y338" s="41">
        <v>1.0</v>
      </c>
      <c r="Z338" s="41">
        <v>11.0</v>
      </c>
      <c r="AA338" s="41">
        <v>14.0</v>
      </c>
      <c r="AB338" s="41">
        <v>7.0</v>
      </c>
      <c r="AC338" s="41">
        <v>4.0</v>
      </c>
      <c r="AD338" s="41">
        <v>0.0</v>
      </c>
      <c r="AE338" s="41">
        <v>4.0</v>
      </c>
      <c r="AF338" s="41">
        <v>0.0</v>
      </c>
      <c r="AG338" s="41">
        <v>4.0</v>
      </c>
      <c r="AH338" s="41">
        <v>16.0</v>
      </c>
      <c r="AI338" s="41">
        <v>4.0</v>
      </c>
      <c r="AJ338" s="41">
        <v>8.0</v>
      </c>
      <c r="AK338" s="41">
        <v>0.0</v>
      </c>
      <c r="AL338" s="41">
        <v>0.0</v>
      </c>
      <c r="AM338" s="43">
        <v>4.0</v>
      </c>
      <c r="AN338" s="43">
        <v>4.0</v>
      </c>
      <c r="AO338" s="43">
        <v>1.0</v>
      </c>
      <c r="AP338" s="43">
        <v>0.0</v>
      </c>
      <c r="AQ338" s="43">
        <v>0.0</v>
      </c>
      <c r="AR338" s="43">
        <v>0.0</v>
      </c>
      <c r="AS338" s="43">
        <v>10.0</v>
      </c>
      <c r="AT338" s="4">
        <f t="shared" si="4"/>
        <v>47.0</v>
      </c>
      <c r="AU338" s="4">
        <f t="shared" si="5"/>
        <v>32.0</v>
      </c>
      <c r="AV338" s="4">
        <f t="shared" si="6"/>
        <v>35.2</v>
      </c>
      <c r="AW338" s="1">
        <f t="shared" si="1132"/>
        <v>4.45714285714285</v>
      </c>
      <c r="AX338" s="1">
        <f t="shared" si="1133"/>
        <v>5.571428571429</v>
      </c>
      <c r="AY338" s="1">
        <f t="shared" si="1134"/>
        <v>6.0</v>
      </c>
      <c r="AZ338" s="1">
        <f t="shared" si="1135"/>
        <v>8.31428571428571</v>
      </c>
      <c r="BA338" s="1">
        <f t="shared" si="1136"/>
        <v>3.94285714285714</v>
      </c>
      <c r="BB338" s="1">
        <f t="shared" si="1137"/>
        <v>7.71428571428576</v>
      </c>
      <c r="BC338" s="4">
        <f t="shared" si="728"/>
        <v>36.0000000000004</v>
      </c>
      <c r="BD338" s="3">
        <f>VLOOKUP(D338,FEB23SOH,2,false)</f>
        <v>451.0</v>
      </c>
      <c r="BE338" s="44">
        <f>VLOOKUP(D338,UNITVALUE,4,false)</f>
        <v>4.9913</v>
      </c>
      <c r="BF338" s="44">
        <f t="shared" si="941"/>
        <v>2251.0763</v>
      </c>
      <c r="BI338" s="6">
        <f t="shared" si="1110"/>
        <v>415.0</v>
      </c>
      <c r="BJ338" s="1">
        <f>VLOOKUP(C338,MOQ,3,FALSE())</f>
        <v>500.0</v>
      </c>
      <c r="BK338" s="53" t="s">
        <v>0</v>
      </c>
      <c r="BM338" s="1">
        <f t="shared" si="1111"/>
        <v>451.0</v>
      </c>
      <c r="BN338" s="1">
        <f t="shared" si="1112"/>
        <v>4.45714285714285</v>
      </c>
      <c r="BP338" s="45">
        <f t="shared" si="1113"/>
        <v>446.542857142857</v>
      </c>
      <c r="BQ338" s="5">
        <f t="shared" si="1114"/>
        <v>2228.82936285714</v>
      </c>
      <c r="BR338" s="1">
        <f t="shared" si="1115"/>
        <v>5.571428571429</v>
      </c>
      <c r="BS338" s="1">
        <f t="shared" si="1116"/>
      </c>
      <c r="BT338" s="45">
        <f t="shared" si="1117"/>
        <v>440.971428571428</v>
      </c>
      <c r="BU338" s="5">
        <f t="shared" si="1118"/>
        <v>2201.02069142857</v>
      </c>
      <c r="BV338" s="1">
        <f t="shared" si="1119"/>
        <v>6.0</v>
      </c>
      <c r="BW338" s="1">
        <f t="shared" si="1120"/>
      </c>
      <c r="BX338" s="45">
        <f t="shared" si="1121"/>
        <v>434.971428571428</v>
      </c>
      <c r="BY338" s="5">
        <f t="shared" si="1122"/>
        <v>2171.07289142857</v>
      </c>
      <c r="BZ338" s="1">
        <f t="shared" si="1123"/>
        <v>8.31428571428571</v>
      </c>
      <c r="CB338" s="45">
        <f t="shared" si="1124"/>
        <v>426.657142857142</v>
      </c>
      <c r="CC338" s="5">
        <f t="shared" si="1125"/>
        <v>2129.57379714285</v>
      </c>
      <c r="CD338" s="1">
        <f t="shared" si="1126"/>
        <v>3.94285714285714</v>
      </c>
      <c r="CF338" s="45">
        <f t="shared" si="1127"/>
        <v>422.714285714284</v>
      </c>
      <c r="CG338" s="5">
        <f t="shared" si="1128"/>
        <v>2109.8938142857</v>
      </c>
      <c r="CH338" s="1">
        <f t="shared" si="1129"/>
        <v>7.71428571428576</v>
      </c>
      <c r="CJ338" s="45">
        <f t="shared" si="1130"/>
        <v>414.999999999998</v>
      </c>
      <c r="CK338" s="5">
        <f t="shared" si="1131"/>
        <v>2071.38949999999</v>
      </c>
    </row>
    <row r="339" ht="17.0">
      <c r="A339" s="41" t="s">
        <v>30</v>
      </c>
      <c r="B339" s="10" t="s">
        <v>699</v>
      </c>
      <c r="C339" s="41" t="s">
        <v>722</v>
      </c>
      <c r="D339" s="55" t="s">
        <v>723</v>
      </c>
      <c r="E339" s="41">
        <v>28.0</v>
      </c>
      <c r="F339" s="41">
        <v>12.0</v>
      </c>
      <c r="G339" s="41">
        <v>8.0</v>
      </c>
      <c r="H339" s="41">
        <v>0.0</v>
      </c>
      <c r="I339" s="41">
        <v>12.0</v>
      </c>
      <c r="J339" s="41">
        <v>4.0</v>
      </c>
      <c r="K339" s="41">
        <v>4.0</v>
      </c>
      <c r="L339" s="41">
        <v>13.0</v>
      </c>
      <c r="M339" s="41">
        <v>4.0</v>
      </c>
      <c r="N339" s="41">
        <v>0.0</v>
      </c>
      <c r="O339" s="41">
        <v>0.0</v>
      </c>
      <c r="P339" s="41">
        <v>0.0</v>
      </c>
      <c r="Q339" s="41">
        <v>0.0</v>
      </c>
      <c r="R339" s="41">
        <v>0.0</v>
      </c>
      <c r="S339" s="41">
        <v>1.0</v>
      </c>
      <c r="T339" s="41">
        <v>2.0</v>
      </c>
      <c r="U339" s="41">
        <v>4.0</v>
      </c>
      <c r="V339" s="41">
        <v>4.0</v>
      </c>
      <c r="W339" s="41">
        <v>14.0</v>
      </c>
      <c r="X339" s="41">
        <v>2.0</v>
      </c>
      <c r="Y339" s="41">
        <v>8.0</v>
      </c>
      <c r="Z339" s="41">
        <v>2.0</v>
      </c>
      <c r="AA339" s="41">
        <v>6.0</v>
      </c>
      <c r="AB339" s="41">
        <v>0.0</v>
      </c>
      <c r="AC339" s="41">
        <v>4.0</v>
      </c>
      <c r="AD339" s="41">
        <v>4.0</v>
      </c>
      <c r="AE339" s="41">
        <v>0.0</v>
      </c>
      <c r="AF339" s="41">
        <v>0.0</v>
      </c>
      <c r="AG339" s="41">
        <v>4.0</v>
      </c>
      <c r="AH339" s="41">
        <v>4.0</v>
      </c>
      <c r="AI339" s="41">
        <v>4.0</v>
      </c>
      <c r="AJ339" s="41">
        <v>4.0</v>
      </c>
      <c r="AK339" s="41">
        <v>8.0</v>
      </c>
      <c r="AL339" s="41">
        <v>0.0</v>
      </c>
      <c r="AM339" s="43">
        <v>4.0</v>
      </c>
      <c r="AN339" s="43">
        <v>4.0</v>
      </c>
      <c r="AO339" s="43">
        <v>4.0</v>
      </c>
      <c r="AP339" s="43">
        <v>0.0</v>
      </c>
      <c r="AQ339" s="43">
        <v>0.0</v>
      </c>
      <c r="AR339" s="43">
        <v>0.0</v>
      </c>
      <c r="AS339" s="43">
        <v>5.0</v>
      </c>
      <c r="AT339" s="4">
        <f t="shared" si="4"/>
        <v>37.0</v>
      </c>
      <c r="AU339" s="4">
        <f t="shared" si="5"/>
        <v>24.0</v>
      </c>
      <c r="AV339" s="4">
        <f t="shared" si="6"/>
        <v>26.4</v>
      </c>
      <c r="AW339" s="1">
        <f t="shared" si="1132"/>
        <v>3.46666666666666</v>
      </c>
      <c r="AX339" s="1">
        <f t="shared" si="1133"/>
        <v>4.33333333333332</v>
      </c>
      <c r="AY339" s="1">
        <f t="shared" si="1134"/>
        <v>4.66666666666667</v>
      </c>
      <c r="AZ339" s="1">
        <f t="shared" si="1135"/>
        <v>6.46666666666666</v>
      </c>
      <c r="BA339" s="1">
        <f t="shared" si="1136"/>
        <v>3.06666666666666</v>
      </c>
      <c r="BB339" s="1">
        <f t="shared" si="1137"/>
        <v>6.0</v>
      </c>
      <c r="BC339" s="4">
        <f t="shared" si="728"/>
        <v>28.0</v>
      </c>
      <c r="BD339" s="3">
        <f>VLOOKUP(D339,FEB23SOH,2,false)</f>
        <v>184.0</v>
      </c>
      <c r="BE339" s="44">
        <f>VLOOKUP(D339,UNITVALUE,4,false)</f>
        <v>5.2279</v>
      </c>
      <c r="BF339" s="44">
        <f t="shared" si="941"/>
        <v>961.9336</v>
      </c>
      <c r="BI339" s="6">
        <f t="shared" si="1110"/>
        <v>156.0</v>
      </c>
      <c r="BJ339" s="1">
        <f>VLOOKUP(C339,MOQ,3,FALSE())</f>
        <v>500.0</v>
      </c>
      <c r="BK339" s="53" t="s">
        <v>0</v>
      </c>
      <c r="BM339" s="1">
        <f t="shared" si="1111"/>
        <v>184.0</v>
      </c>
      <c r="BN339" s="1">
        <f t="shared" si="1112"/>
        <v>3.46666666666666</v>
      </c>
      <c r="BP339" s="45">
        <f t="shared" si="1113"/>
        <v>180.533333333333</v>
      </c>
      <c r="BQ339" s="5">
        <f t="shared" si="1114"/>
        <v>943.810213333331</v>
      </c>
      <c r="BR339" s="1">
        <f t="shared" si="1115"/>
        <v>4.33333333333332</v>
      </c>
      <c r="BS339" s="1">
        <f t="shared" si="1116"/>
      </c>
      <c r="BT339" s="45">
        <f t="shared" si="1117"/>
        <v>176.2</v>
      </c>
      <c r="BU339" s="5">
        <f t="shared" si="1118"/>
        <v>921.15598</v>
      </c>
      <c r="BV339" s="1">
        <f t="shared" si="1119"/>
        <v>4.66666666666667</v>
      </c>
      <c r="BW339" s="1">
        <f t="shared" si="1120"/>
      </c>
      <c r="BX339" s="45">
        <f t="shared" si="1121"/>
        <v>171.533333333333</v>
      </c>
      <c r="BY339" s="5">
        <f t="shared" si="1122"/>
        <v>896.759113333331</v>
      </c>
      <c r="BZ339" s="1">
        <f t="shared" si="1123"/>
        <v>6.46666666666666</v>
      </c>
      <c r="CB339" s="45">
        <f t="shared" si="1124"/>
        <v>165.066666666666</v>
      </c>
      <c r="CC339" s="5">
        <f t="shared" si="1125"/>
        <v>862.952026666663</v>
      </c>
      <c r="CD339" s="1">
        <f t="shared" si="1126"/>
        <v>3.06666666666666</v>
      </c>
      <c r="CF339" s="45">
        <f t="shared" si="1127"/>
        <v>161.999999999999</v>
      </c>
      <c r="CG339" s="5">
        <f t="shared" si="1128"/>
        <v>846.919799999994</v>
      </c>
      <c r="CH339" s="1">
        <f t="shared" si="1129"/>
        <v>6.0</v>
      </c>
      <c r="CJ339" s="45">
        <f t="shared" si="1130"/>
        <v>155.999999999999</v>
      </c>
      <c r="CK339" s="5">
        <f t="shared" si="1131"/>
        <v>815.552399999994</v>
      </c>
    </row>
    <row r="340" ht="17.0">
      <c r="A340" s="46" t="s">
        <v>30</v>
      </c>
      <c r="B340" s="70" t="s">
        <v>699</v>
      </c>
      <c r="C340" s="46" t="s">
        <v>724</v>
      </c>
      <c r="D340" s="47" t="s">
        <v>725</v>
      </c>
      <c r="E340" s="41">
        <v>0.0</v>
      </c>
      <c r="F340" s="41">
        <v>0.0</v>
      </c>
      <c r="G340" s="41">
        <v>0.0</v>
      </c>
      <c r="H340" s="41">
        <v>0.0</v>
      </c>
      <c r="I340" s="41">
        <v>0.0</v>
      </c>
      <c r="J340" s="41">
        <v>0.0</v>
      </c>
      <c r="K340" s="41">
        <v>0.0</v>
      </c>
      <c r="L340" s="41">
        <v>0.0</v>
      </c>
      <c r="M340" s="41">
        <v>0.0</v>
      </c>
      <c r="N340" s="41">
        <v>0.0</v>
      </c>
      <c r="O340" s="41">
        <v>0.0</v>
      </c>
      <c r="P340" s="41">
        <v>0.0</v>
      </c>
      <c r="Q340" s="41">
        <v>0.0</v>
      </c>
      <c r="R340" s="41">
        <v>0.0</v>
      </c>
      <c r="S340" s="41">
        <v>0.0</v>
      </c>
      <c r="T340" s="41">
        <v>0.0</v>
      </c>
      <c r="U340" s="41">
        <v>0.0</v>
      </c>
      <c r="V340" s="41">
        <v>0.0</v>
      </c>
      <c r="W340" s="41">
        <v>0.0</v>
      </c>
      <c r="X340" s="41">
        <v>0.0</v>
      </c>
      <c r="Y340" s="41">
        <v>0.0</v>
      </c>
      <c r="Z340" s="41">
        <v>0.0</v>
      </c>
      <c r="AA340" s="41">
        <v>0.0</v>
      </c>
      <c r="AB340" s="41">
        <v>0.0</v>
      </c>
      <c r="AC340" s="41">
        <v>0.0</v>
      </c>
      <c r="AD340" s="41">
        <v>0.0</v>
      </c>
      <c r="AE340" s="41">
        <v>0.0</v>
      </c>
      <c r="AF340" s="41">
        <v>0.0</v>
      </c>
      <c r="AG340" s="41">
        <v>0.0</v>
      </c>
      <c r="AH340" s="41">
        <v>0.0</v>
      </c>
      <c r="AI340" s="41">
        <v>0.0</v>
      </c>
      <c r="AJ340" s="41">
        <v>0.0</v>
      </c>
      <c r="AK340" s="41">
        <v>0.0</v>
      </c>
      <c r="AL340" s="1">
        <v>0.0</v>
      </c>
      <c r="AM340" s="43">
        <v>0.0</v>
      </c>
      <c r="AN340" s="43">
        <v>0.0</v>
      </c>
      <c r="AO340" s="43">
        <v>0.0</v>
      </c>
      <c r="AP340" s="43">
        <v>0.0</v>
      </c>
      <c r="AQ340" s="43">
        <v>0.0</v>
      </c>
      <c r="AR340" s="43">
        <v>0.0</v>
      </c>
      <c r="AS340" s="43">
        <v>0.0</v>
      </c>
      <c r="AT340" s="4">
        <f t="shared" si="4"/>
        <v>0.0</v>
      </c>
      <c r="AU340" s="4">
        <f t="shared" si="5"/>
        <v>0.0</v>
      </c>
      <c r="AV340" s="4">
        <f t="shared" si="6"/>
        <v>0.0</v>
      </c>
      <c r="AW340" s="48">
        <f>AV340*$AW$4/$AV$4</f>
        <v>0.0</v>
      </c>
      <c r="AX340" s="48">
        <f>AV340*$AX$4/$AV$4</f>
        <v>0.0</v>
      </c>
      <c r="AY340" s="48">
        <f>AV340*$AY$4/$AV$4</f>
        <v>0.0</v>
      </c>
      <c r="AZ340" s="48">
        <f>AV340*$AZ$4/$AV$4</f>
        <v>0.0</v>
      </c>
      <c r="BA340" s="48">
        <f>AV340*$BA$4/$AV$4</f>
        <v>0.0</v>
      </c>
      <c r="BB340" s="48">
        <f>AV340*$BB$4/$AV$4</f>
        <v>0.0</v>
      </c>
      <c r="BC340" s="4">
        <f t="shared" si="728"/>
        <v>0.0</v>
      </c>
      <c r="BD340" s="3">
        <f>VLOOKUP(D340,FEB23SOH,2,false)</f>
        <v>1.0</v>
      </c>
      <c r="BE340" s="44">
        <f>VLOOKUP(D340,UNITVALUE,4,false)</f>
        <v>114.71</v>
      </c>
      <c r="BF340" s="44">
        <f t="shared" si="941"/>
        <v>114.71</v>
      </c>
      <c r="BK340" s="53" t="s">
        <v>0</v>
      </c>
      <c r="BP340" s="45"/>
      <c r="BT340" s="45"/>
      <c r="BU340" s="5"/>
      <c r="BX340" s="45"/>
      <c r="BY340" s="5"/>
      <c r="CB340" s="45"/>
      <c r="CC340" s="5"/>
      <c r="CF340" s="45"/>
      <c r="CG340" s="5"/>
      <c r="CJ340" s="45"/>
      <c r="CK340" s="5"/>
      <c r="CL340" s="49"/>
      <c r="CM340" s="49"/>
      <c r="CN340" s="49"/>
      <c r="CO340" s="49"/>
      <c r="CP340" s="49"/>
      <c r="CQ340" s="49"/>
      <c r="CR340" s="49"/>
      <c r="CS340" s="49"/>
      <c r="CT340" s="49"/>
      <c r="CU340" s="49"/>
      <c r="CV340" s="49"/>
      <c r="CW340" s="49"/>
      <c r="CX340" s="49"/>
      <c r="CY340" s="49"/>
      <c r="CZ340" s="49"/>
      <c r="DA340" s="49"/>
      <c r="DB340" s="49"/>
      <c r="DC340" s="49"/>
      <c r="DD340" s="49"/>
      <c r="DE340" s="49"/>
      <c r="DF340" s="49"/>
      <c r="DG340" s="49"/>
      <c r="DH340" s="49"/>
      <c r="DI340" s="49"/>
      <c r="DJ340" s="49"/>
      <c r="DK340" s="49"/>
    </row>
    <row r="341" ht="17.0">
      <c r="A341" s="41" t="s">
        <v>30</v>
      </c>
      <c r="B341" s="10" t="s">
        <v>699</v>
      </c>
      <c r="C341" s="41" t="s">
        <v>726</v>
      </c>
      <c r="D341" s="55" t="s">
        <v>727</v>
      </c>
      <c r="E341" s="41">
        <v>0.0</v>
      </c>
      <c r="F341" s="41">
        <v>20.0</v>
      </c>
      <c r="G341" s="41">
        <v>12.0</v>
      </c>
      <c r="H341" s="41">
        <v>4.0</v>
      </c>
      <c r="I341" s="41">
        <v>12.0</v>
      </c>
      <c r="J341" s="41">
        <v>16.0</v>
      </c>
      <c r="K341" s="41">
        <v>44.0</v>
      </c>
      <c r="L341" s="41">
        <v>49.0</v>
      </c>
      <c r="M341" s="41">
        <v>16.0</v>
      </c>
      <c r="N341" s="41">
        <v>32.0</v>
      </c>
      <c r="O341" s="41">
        <v>16.0</v>
      </c>
      <c r="P341" s="41">
        <v>4.0</v>
      </c>
      <c r="Q341" s="41">
        <v>8.0</v>
      </c>
      <c r="R341" s="41">
        <v>10.0</v>
      </c>
      <c r="S341" s="41">
        <v>6.0</v>
      </c>
      <c r="T341" s="41">
        <v>20.0</v>
      </c>
      <c r="U341" s="41">
        <v>8.0</v>
      </c>
      <c r="V341" s="41">
        <v>24.0</v>
      </c>
      <c r="W341" s="41">
        <v>32.0</v>
      </c>
      <c r="X341" s="41">
        <v>44.0</v>
      </c>
      <c r="Y341" s="41">
        <v>4.0</v>
      </c>
      <c r="Z341" s="41">
        <v>30.0</v>
      </c>
      <c r="AA341" s="41">
        <v>12.0</v>
      </c>
      <c r="AB341" s="41">
        <v>8.0</v>
      </c>
      <c r="AC341" s="41">
        <v>4.0</v>
      </c>
      <c r="AD341" s="41">
        <v>8.0</v>
      </c>
      <c r="AE341" s="41">
        <v>4.0</v>
      </c>
      <c r="AF341" s="41">
        <v>0.0</v>
      </c>
      <c r="AG341" s="41">
        <v>8.0</v>
      </c>
      <c r="AH341" s="41">
        <v>12.0</v>
      </c>
      <c r="AI341" s="41">
        <v>4.0</v>
      </c>
      <c r="AJ341" s="41">
        <v>24.0</v>
      </c>
      <c r="AK341" s="41">
        <v>8.0</v>
      </c>
      <c r="AL341" s="41">
        <v>8.0</v>
      </c>
      <c r="AM341" s="43">
        <v>8.0</v>
      </c>
      <c r="AN341" s="43">
        <v>3.0</v>
      </c>
      <c r="AO341" s="43">
        <v>5.0</v>
      </c>
      <c r="AP341" s="43">
        <v>-1.0</v>
      </c>
      <c r="AQ341" s="43">
        <v>4.0</v>
      </c>
      <c r="AR341" s="43">
        <v>7.0</v>
      </c>
      <c r="AS341" s="43">
        <v>15.0</v>
      </c>
      <c r="AT341" s="4">
        <f t="shared" si="4"/>
        <v>97.0</v>
      </c>
      <c r="AU341" s="4">
        <f t="shared" si="5"/>
        <v>64.0</v>
      </c>
      <c r="AV341" s="4">
        <f t="shared" si="6"/>
        <v>70.4</v>
      </c>
      <c r="AW341" s="1">
        <f t="shared" ref="AW341:AW346" si="1144">AV341*$AW$4/$AV$4+4*$AW$332</f>
        <v>8.41904761904761</v>
      </c>
      <c r="AX341" s="1">
        <f t="shared" ref="AX341:AX346" si="1145">AV341*$AX$4/$AV$4+4*$AX$332</f>
        <v>10.5238095238095</v>
      </c>
      <c r="AY341" s="1">
        <f t="shared" ref="AY341:AY346" si="1146">AV341*$AY$4/$AV$4+4*$AY$332</f>
        <v>11.3333333333333</v>
      </c>
      <c r="AZ341" s="1">
        <f t="shared" ref="AZ341:AZ346" si="1147">AV341*$AZ$4/$AV$4+4*$AZ$332</f>
        <v>15.7047619047618</v>
      </c>
      <c r="BA341" s="1">
        <f t="shared" ref="BA341:BA346" si="1148">AV341*$BA$4/$AV$4+4*$BA$332</f>
        <v>7.44761904761904</v>
      </c>
      <c r="BB341" s="1">
        <f t="shared" ref="BB341:BB346" si="1149">AV341*$BB$4/$AV$4+4*$BB$332</f>
        <v>14.5714285714286</v>
      </c>
      <c r="BC341" s="4">
        <f t="shared" si="728"/>
        <v>67.9999999999999</v>
      </c>
      <c r="BD341" s="3">
        <f>VLOOKUP(D341,FEB23SOH,2,false)</f>
        <v>935.0</v>
      </c>
      <c r="BE341" s="44">
        <f>VLOOKUP(D341,UNITVALUE,4,false)</f>
        <v>7.364</v>
      </c>
      <c r="BF341" s="44">
        <f t="shared" si="941"/>
        <v>6885.34</v>
      </c>
      <c r="BI341" s="6">
        <f t="shared" ref="BI341:BI349" si="1150">BD341+BG341+BH341-BC341</f>
        <v>867.0</v>
      </c>
      <c r="BJ341" s="1">
        <f>VLOOKUP(C341,MOQ,3,FALSE())</f>
        <v>500.0</v>
      </c>
      <c r="BK341" s="53" t="s">
        <v>0</v>
      </c>
      <c r="BM341" s="1">
        <f t="shared" ref="BM341:BM349" si="1152">BD341</f>
        <v>935.0</v>
      </c>
      <c r="BN341" s="1">
        <f t="shared" ref="BN341:BN349" si="1153">AW341</f>
        <v>8.41904761904761</v>
      </c>
      <c r="BP341" s="45">
        <f t="shared" ref="BP341:BP349" si="1154">BM341+BO341-BN341</f>
        <v>926.580952380952</v>
      </c>
      <c r="BQ341" s="5">
        <f t="shared" ref="BQ341:BQ349" si="1155">BP341*BE341</f>
        <v>6823.34213333333</v>
      </c>
      <c r="BR341" s="1">
        <f t="shared" ref="BR341:BR349" si="1156">AX341</f>
        <v>10.5238095238095</v>
      </c>
      <c r="BS341" s="1">
        <f t="shared" ref="BS341:BS349" si="1157">BG341</f>
      </c>
      <c r="BT341" s="45">
        <f t="shared" ref="BT341:BT349" si="1158">BP341+BS341-BR341</f>
        <v>916.057142857142</v>
      </c>
      <c r="BU341" s="5">
        <f t="shared" ref="BU341:BU349" si="1159">BT341*BE341</f>
        <v>6745.84479999999</v>
      </c>
      <c r="BV341" s="1">
        <f t="shared" ref="BV341:BV349" si="1160">AY341</f>
        <v>11.3333333333333</v>
      </c>
      <c r="BW341" s="1">
        <f t="shared" ref="BW341:BW349" si="1161">BG341</f>
      </c>
      <c r="BX341" s="45">
        <f t="shared" ref="BX341:BX349" si="1162">BT341+BW341-BV341</f>
        <v>904.723809523809</v>
      </c>
      <c r="BY341" s="5">
        <f t="shared" ref="BY341:BY349" si="1163">BX341*BE341</f>
        <v>6662.38613333333</v>
      </c>
      <c r="BZ341" s="1">
        <f t="shared" ref="BZ341:BZ349" si="1164">AZ341</f>
        <v>15.7047619047618</v>
      </c>
      <c r="CB341" s="45">
        <f t="shared" ref="CB341:CB349" si="1165">BX341+CA341-BZ341</f>
        <v>889.019047619047</v>
      </c>
      <c r="CC341" s="5">
        <f t="shared" ref="CC341:CC349" si="1166">CB341*BE341</f>
        <v>6546.73626666666</v>
      </c>
      <c r="CD341" s="1">
        <f t="shared" ref="CD341:CD349" si="1167">BA341</f>
        <v>7.44761904761904</v>
      </c>
      <c r="CF341" s="45">
        <f t="shared" ref="CF341:CF349" si="1168">CB341+CE341-CD341</f>
        <v>881.571428571428</v>
      </c>
      <c r="CG341" s="5">
        <f t="shared" ref="CG341:CG349" si="1169">CF341*BE341</f>
        <v>6491.892</v>
      </c>
      <c r="CH341" s="1">
        <f t="shared" ref="CH341:CH349" si="1170">BB341</f>
        <v>14.5714285714286</v>
      </c>
      <c r="CJ341" s="45">
        <f t="shared" ref="CJ341:CJ349" si="1171">CF341+CI341-CH341</f>
        <v>866.999999999999</v>
      </c>
      <c r="CK341" s="5">
        <f t="shared" ref="CK341:CK349" si="1172">CJ341*BE341</f>
        <v>6384.58799999999</v>
      </c>
    </row>
    <row r="342" ht="17.0">
      <c r="A342" s="41" t="s">
        <v>30</v>
      </c>
      <c r="B342" s="10" t="s">
        <v>699</v>
      </c>
      <c r="C342" s="41" t="s">
        <v>728</v>
      </c>
      <c r="D342" s="55" t="s">
        <v>729</v>
      </c>
      <c r="E342" s="41">
        <v>0.0</v>
      </c>
      <c r="F342" s="41">
        <v>28.0</v>
      </c>
      <c r="G342" s="41">
        <v>32.0</v>
      </c>
      <c r="H342" s="41">
        <v>12.0</v>
      </c>
      <c r="I342" s="41">
        <v>20.0</v>
      </c>
      <c r="J342" s="41">
        <v>22.0</v>
      </c>
      <c r="K342" s="41">
        <v>27.0</v>
      </c>
      <c r="L342" s="41">
        <v>17.0</v>
      </c>
      <c r="M342" s="41">
        <v>0.0</v>
      </c>
      <c r="N342" s="41">
        <v>24.0</v>
      </c>
      <c r="O342" s="41">
        <v>0.0</v>
      </c>
      <c r="P342" s="41">
        <v>4.0</v>
      </c>
      <c r="Q342" s="41">
        <v>1.0</v>
      </c>
      <c r="R342" s="41">
        <v>3.0</v>
      </c>
      <c r="S342" s="41">
        <v>8.0</v>
      </c>
      <c r="T342" s="41">
        <v>11.0</v>
      </c>
      <c r="U342" s="41">
        <v>9.0</v>
      </c>
      <c r="V342" s="41">
        <v>16.0</v>
      </c>
      <c r="W342" s="41">
        <v>4.0</v>
      </c>
      <c r="X342" s="41">
        <v>15.0</v>
      </c>
      <c r="Y342" s="41">
        <v>4.0</v>
      </c>
      <c r="Z342" s="41">
        <v>6.0</v>
      </c>
      <c r="AA342" s="41">
        <v>3.0</v>
      </c>
      <c r="AB342" s="41">
        <v>4.0</v>
      </c>
      <c r="AC342" s="41">
        <v>0.0</v>
      </c>
      <c r="AD342" s="41">
        <v>0.0</v>
      </c>
      <c r="AE342" s="41">
        <v>8.0</v>
      </c>
      <c r="AF342" s="41">
        <v>4.0</v>
      </c>
      <c r="AG342" s="41">
        <v>0.0</v>
      </c>
      <c r="AH342" s="41">
        <v>0.0</v>
      </c>
      <c r="AI342" s="41">
        <v>0.0</v>
      </c>
      <c r="AJ342" s="41">
        <v>8.0</v>
      </c>
      <c r="AK342" s="41">
        <v>0.0</v>
      </c>
      <c r="AL342" s="41">
        <v>4.0</v>
      </c>
      <c r="AM342" s="43">
        <v>0.0</v>
      </c>
      <c r="AN342" s="43">
        <v>4.0</v>
      </c>
      <c r="AO342" s="43">
        <v>0.0</v>
      </c>
      <c r="AP342" s="43">
        <v>0.0</v>
      </c>
      <c r="AQ342" s="43">
        <v>1.0</v>
      </c>
      <c r="AR342" s="43">
        <v>0.0</v>
      </c>
      <c r="AS342" s="43">
        <v>1.0</v>
      </c>
      <c r="AT342" s="4">
        <f t="shared" si="4"/>
        <v>18.0</v>
      </c>
      <c r="AU342" s="4">
        <f t="shared" si="5"/>
        <v>12.0</v>
      </c>
      <c r="AV342" s="4">
        <f t="shared" si="6"/>
        <v>13.2</v>
      </c>
      <c r="AW342" s="1">
        <f t="shared" si="1144"/>
        <v>1.98095238095238</v>
      </c>
      <c r="AX342" s="1">
        <f t="shared" si="1145"/>
        <v>2.4761904761904</v>
      </c>
      <c r="AY342" s="1">
        <f t="shared" si="1146"/>
        <v>2.66666666666667</v>
      </c>
      <c r="AZ342" s="1">
        <f t="shared" si="1147"/>
        <v>3.69523809523809</v>
      </c>
      <c r="BA342" s="1">
        <f t="shared" si="1148"/>
        <v>1.75238095238095</v>
      </c>
      <c r="BB342" s="1">
        <f t="shared" si="1149"/>
        <v>3.42857142857142</v>
      </c>
      <c r="BC342" s="4">
        <f t="shared" si="728"/>
        <v>15.9999999999999</v>
      </c>
      <c r="BD342" s="3">
        <f>VLOOKUP(D342,FEB23SOH,2,false)</f>
        <v>1055.0</v>
      </c>
      <c r="BE342" s="44">
        <f>VLOOKUP(D342,UNITVALUE,4,false)</f>
        <v>7.3969</v>
      </c>
      <c r="BF342" s="44">
        <f t="shared" si="941"/>
        <v>7803.7295</v>
      </c>
      <c r="BI342" s="6">
        <f t="shared" si="1150"/>
        <v>1039.0</v>
      </c>
      <c r="BJ342" s="1">
        <f>VLOOKUP(C342,MOQ,3,FALSE())</f>
        <v>500.0</v>
      </c>
      <c r="BK342" s="53" t="s">
        <v>0</v>
      </c>
      <c r="BM342" s="1">
        <f t="shared" si="1152"/>
        <v>1055.0</v>
      </c>
      <c r="BN342" s="1">
        <f t="shared" si="1153"/>
        <v>1.98095238095238</v>
      </c>
      <c r="BP342" s="45">
        <f t="shared" si="1154"/>
        <v>1053.01904761904</v>
      </c>
      <c r="BQ342" s="5">
        <f t="shared" si="1155"/>
        <v>7789.07659333328</v>
      </c>
      <c r="BR342" s="1">
        <f t="shared" si="1156"/>
        <v>2.4761904761904</v>
      </c>
      <c r="BS342" s="1">
        <f t="shared" si="1157"/>
      </c>
      <c r="BT342" s="45">
        <f t="shared" si="1158"/>
        <v>1050.54285714284</v>
      </c>
      <c r="BU342" s="5">
        <f t="shared" si="1159"/>
        <v>7770.76045999987</v>
      </c>
      <c r="BV342" s="1">
        <f t="shared" si="1160"/>
        <v>2.66666666666667</v>
      </c>
      <c r="BW342" s="1">
        <f t="shared" si="1161"/>
      </c>
      <c r="BX342" s="45">
        <f t="shared" si="1162"/>
        <v>1047.87619047617</v>
      </c>
      <c r="BY342" s="5">
        <f t="shared" si="1163"/>
        <v>7751.03539333318</v>
      </c>
      <c r="BZ342" s="1">
        <f t="shared" si="1164"/>
        <v>3.69523809523809</v>
      </c>
      <c r="CB342" s="45">
        <f t="shared" si="1165"/>
        <v>1044.18095238093</v>
      </c>
      <c r="CC342" s="5">
        <f t="shared" si="1166"/>
        <v>7723.7020866665</v>
      </c>
      <c r="CD342" s="1">
        <f t="shared" si="1167"/>
        <v>1.75238095238095</v>
      </c>
      <c r="CF342" s="45">
        <f t="shared" si="1168"/>
        <v>1042.42857142854</v>
      </c>
      <c r="CG342" s="5">
        <f t="shared" si="1169"/>
        <v>7710.73989999977</v>
      </c>
      <c r="CH342" s="1">
        <f t="shared" si="1170"/>
        <v>3.42857142857142</v>
      </c>
      <c r="CJ342" s="45">
        <f t="shared" si="1171"/>
        <v>1038.99999999997</v>
      </c>
      <c r="CK342" s="5">
        <f t="shared" si="1172"/>
        <v>7685.37909999978</v>
      </c>
    </row>
    <row r="343" ht="17.0">
      <c r="A343" s="41" t="s">
        <v>30</v>
      </c>
      <c r="B343" s="10" t="s">
        <v>699</v>
      </c>
      <c r="C343" s="41" t="s">
        <v>730</v>
      </c>
      <c r="D343" s="55" t="s">
        <v>731</v>
      </c>
      <c r="E343" s="41">
        <v>0.0</v>
      </c>
      <c r="F343" s="41">
        <v>28.0</v>
      </c>
      <c r="G343" s="41">
        <v>28.0</v>
      </c>
      <c r="H343" s="41">
        <v>4.0</v>
      </c>
      <c r="I343" s="41">
        <v>28.0</v>
      </c>
      <c r="J343" s="41">
        <v>16.0</v>
      </c>
      <c r="K343" s="41">
        <v>28.0</v>
      </c>
      <c r="L343" s="41">
        <v>45.0</v>
      </c>
      <c r="M343" s="41">
        <v>11.0</v>
      </c>
      <c r="N343" s="41">
        <v>16.0</v>
      </c>
      <c r="O343" s="41">
        <v>16.0</v>
      </c>
      <c r="P343" s="41">
        <v>8.0</v>
      </c>
      <c r="Q343" s="41">
        <v>9.0</v>
      </c>
      <c r="R343" s="41">
        <v>22.0</v>
      </c>
      <c r="S343" s="41">
        <v>13.0</v>
      </c>
      <c r="T343" s="41">
        <v>4.0</v>
      </c>
      <c r="U343" s="41">
        <v>16.0</v>
      </c>
      <c r="V343" s="41">
        <v>13.0</v>
      </c>
      <c r="W343" s="41">
        <v>16.0</v>
      </c>
      <c r="X343" s="41">
        <v>34.0</v>
      </c>
      <c r="Y343" s="41">
        <v>12.0</v>
      </c>
      <c r="Z343" s="41">
        <v>14.0</v>
      </c>
      <c r="AA343" s="41">
        <v>14.0</v>
      </c>
      <c r="AB343" s="41">
        <v>8.0</v>
      </c>
      <c r="AC343" s="41">
        <v>0.0</v>
      </c>
      <c r="AD343" s="41">
        <v>4.0</v>
      </c>
      <c r="AE343" s="41">
        <v>4.0</v>
      </c>
      <c r="AF343" s="41">
        <v>0.0</v>
      </c>
      <c r="AG343" s="41">
        <v>0.0</v>
      </c>
      <c r="AH343" s="41">
        <v>0.0</v>
      </c>
      <c r="AI343" s="41">
        <v>8.0</v>
      </c>
      <c r="AJ343" s="41">
        <v>4.0</v>
      </c>
      <c r="AK343" s="41">
        <v>8.0</v>
      </c>
      <c r="AL343" s="41">
        <v>0.0</v>
      </c>
      <c r="AM343" s="43">
        <v>4.0</v>
      </c>
      <c r="AN343" s="43">
        <v>0.0</v>
      </c>
      <c r="AO343" s="43">
        <v>5.0</v>
      </c>
      <c r="AP343" s="43">
        <v>0.0</v>
      </c>
      <c r="AQ343" s="43">
        <v>0.0</v>
      </c>
      <c r="AR343" s="43">
        <v>0.0</v>
      </c>
      <c r="AS343" s="43">
        <v>5.0</v>
      </c>
      <c r="AT343" s="4">
        <f t="shared" si="4"/>
        <v>34.0</v>
      </c>
      <c r="AU343" s="4">
        <f t="shared" si="5"/>
        <v>24.0</v>
      </c>
      <c r="AV343" s="4">
        <f t="shared" si="6"/>
        <v>26.4</v>
      </c>
      <c r="AW343" s="1">
        <f t="shared" si="1144"/>
        <v>3.46666666666666</v>
      </c>
      <c r="AX343" s="1">
        <f t="shared" si="1145"/>
        <v>4.33333333333332</v>
      </c>
      <c r="AY343" s="1">
        <f t="shared" si="1146"/>
        <v>4.66666666666667</v>
      </c>
      <c r="AZ343" s="1">
        <f t="shared" si="1147"/>
        <v>6.46666666666666</v>
      </c>
      <c r="BA343" s="1">
        <f t="shared" si="1148"/>
        <v>3.06666666666666</v>
      </c>
      <c r="BB343" s="1">
        <f t="shared" si="1149"/>
        <v>6.0</v>
      </c>
      <c r="BC343" s="4">
        <f t="shared" si="728"/>
        <v>28.0</v>
      </c>
      <c r="BD343" s="3">
        <f>VLOOKUP(D343,FEB23SOH,2,false)</f>
        <v>917.0</v>
      </c>
      <c r="BE343" s="44">
        <f>VLOOKUP(D343,UNITVALUE,4,false)</f>
        <v>7.3638</v>
      </c>
      <c r="BF343" s="44">
        <f t="shared" si="941"/>
        <v>6752.6046</v>
      </c>
      <c r="BI343" s="6">
        <f t="shared" si="1150"/>
        <v>889.0</v>
      </c>
      <c r="BJ343" s="1">
        <f>VLOOKUP(C343,MOQ,3,FALSE())</f>
        <v>500.0</v>
      </c>
      <c r="BK343" s="53" t="s">
        <v>0</v>
      </c>
      <c r="BM343" s="1">
        <f t="shared" si="1152"/>
        <v>917.0</v>
      </c>
      <c r="BN343" s="1">
        <f t="shared" si="1153"/>
        <v>3.46666666666666</v>
      </c>
      <c r="BP343" s="45">
        <f t="shared" si="1154"/>
        <v>913.533333333333</v>
      </c>
      <c r="BQ343" s="5">
        <f t="shared" si="1155"/>
        <v>6727.07676</v>
      </c>
      <c r="BR343" s="1">
        <f t="shared" si="1156"/>
        <v>4.33333333333332</v>
      </c>
      <c r="BS343" s="1">
        <f t="shared" si="1157"/>
      </c>
      <c r="BT343" s="45">
        <f t="shared" si="1158"/>
        <v>909.2</v>
      </c>
      <c r="BU343" s="5">
        <f t="shared" si="1159"/>
        <v>6695.16696</v>
      </c>
      <c r="BV343" s="1">
        <f t="shared" si="1160"/>
        <v>4.66666666666667</v>
      </c>
      <c r="BW343" s="1">
        <f t="shared" si="1161"/>
      </c>
      <c r="BX343" s="45">
        <f t="shared" si="1162"/>
        <v>904.533333333333</v>
      </c>
      <c r="BY343" s="5">
        <f t="shared" si="1163"/>
        <v>6660.80256</v>
      </c>
      <c r="BZ343" s="1">
        <f t="shared" si="1164"/>
        <v>6.46666666666666</v>
      </c>
      <c r="CB343" s="45">
        <f t="shared" si="1165"/>
        <v>898.066666666666</v>
      </c>
      <c r="CC343" s="5">
        <f t="shared" si="1166"/>
        <v>6613.18332</v>
      </c>
      <c r="CD343" s="1">
        <f t="shared" si="1167"/>
        <v>3.06666666666666</v>
      </c>
      <c r="CF343" s="45">
        <f t="shared" si="1168"/>
        <v>894.999999999999</v>
      </c>
      <c r="CG343" s="5">
        <f t="shared" si="1169"/>
        <v>6590.60099999999</v>
      </c>
      <c r="CH343" s="1">
        <f t="shared" si="1170"/>
        <v>6.0</v>
      </c>
      <c r="CJ343" s="45">
        <f t="shared" si="1171"/>
        <v>888.999999999999</v>
      </c>
      <c r="CK343" s="5">
        <f t="shared" si="1172"/>
        <v>6546.41819999999</v>
      </c>
    </row>
    <row r="344" ht="17.0">
      <c r="A344" s="41" t="s">
        <v>30</v>
      </c>
      <c r="B344" s="10" t="s">
        <v>699</v>
      </c>
      <c r="C344" s="41" t="s">
        <v>732</v>
      </c>
      <c r="D344" s="55" t="s">
        <v>733</v>
      </c>
      <c r="E344" s="41">
        <v>98.0</v>
      </c>
      <c r="F344" s="41">
        <v>84.0</v>
      </c>
      <c r="G344" s="41">
        <v>32.0</v>
      </c>
      <c r="H344" s="41">
        <v>10.0</v>
      </c>
      <c r="I344" s="41">
        <v>56.0</v>
      </c>
      <c r="J344" s="41">
        <v>19.0</v>
      </c>
      <c r="K344" s="41">
        <v>60.0</v>
      </c>
      <c r="L344" s="41">
        <v>24.0</v>
      </c>
      <c r="M344" s="41">
        <v>12.0</v>
      </c>
      <c r="N344" s="41">
        <v>23.0</v>
      </c>
      <c r="O344" s="41">
        <v>24.0</v>
      </c>
      <c r="P344" s="41">
        <v>20.0</v>
      </c>
      <c r="Q344" s="41">
        <v>21.0</v>
      </c>
      <c r="R344" s="41">
        <v>22.0</v>
      </c>
      <c r="S344" s="41">
        <v>8.0</v>
      </c>
      <c r="T344" s="41">
        <v>17.0</v>
      </c>
      <c r="U344" s="41">
        <v>36.0</v>
      </c>
      <c r="V344" s="41">
        <v>52.0</v>
      </c>
      <c r="W344" s="41">
        <v>25.0</v>
      </c>
      <c r="X344" s="41">
        <v>-1.0</v>
      </c>
      <c r="Y344" s="41">
        <v>6.0</v>
      </c>
      <c r="Z344" s="41">
        <v>0.0</v>
      </c>
      <c r="AA344" s="41">
        <v>17.0</v>
      </c>
      <c r="AB344" s="41">
        <v>20.0</v>
      </c>
      <c r="AC344" s="41">
        <v>0.0</v>
      </c>
      <c r="AD344" s="41">
        <v>4.0</v>
      </c>
      <c r="AE344" s="41">
        <v>15.0</v>
      </c>
      <c r="AF344" s="41">
        <v>0.0</v>
      </c>
      <c r="AG344" s="41">
        <v>8.0</v>
      </c>
      <c r="AH344" s="41">
        <v>12.0</v>
      </c>
      <c r="AI344" s="41">
        <v>12.0</v>
      </c>
      <c r="AJ344" s="41">
        <v>16.0</v>
      </c>
      <c r="AK344" s="41">
        <v>4.0</v>
      </c>
      <c r="AL344" s="41">
        <v>4.0</v>
      </c>
      <c r="AM344" s="43">
        <v>4.0</v>
      </c>
      <c r="AN344" s="43">
        <v>20.0</v>
      </c>
      <c r="AO344" s="43">
        <v>12.0</v>
      </c>
      <c r="AP344" s="43">
        <v>8.0</v>
      </c>
      <c r="AQ344" s="43">
        <v>12.0</v>
      </c>
      <c r="AR344" s="43">
        <v>4.0</v>
      </c>
      <c r="AS344" s="43">
        <v>5.0</v>
      </c>
      <c r="AT344" s="4">
        <f t="shared" si="4"/>
        <v>113.0</v>
      </c>
      <c r="AU344" s="4">
        <f t="shared" si="5"/>
        <v>52.0</v>
      </c>
      <c r="AV344" s="4">
        <f t="shared" si="6"/>
        <v>57.2</v>
      </c>
      <c r="AW344" s="1">
        <f t="shared" si="1144"/>
        <v>6.93333333333332</v>
      </c>
      <c r="AX344" s="1">
        <f t="shared" si="1145"/>
        <v>8.66666666666666</v>
      </c>
      <c r="AY344" s="1">
        <f t="shared" si="1146"/>
        <v>9.3333333333333</v>
      </c>
      <c r="AZ344" s="1">
        <f t="shared" si="1147"/>
        <v>12.9333333333333</v>
      </c>
      <c r="BA344" s="1">
        <f t="shared" si="1148"/>
        <v>6.13333333333334</v>
      </c>
      <c r="BB344" s="1">
        <f t="shared" si="1149"/>
        <v>12.0</v>
      </c>
      <c r="BC344" s="4">
        <f t="shared" si="728"/>
        <v>55.9999999999999</v>
      </c>
      <c r="BD344" s="3">
        <f>VLOOKUP(D344,FEB23SOH,2,false)</f>
        <v>307.0</v>
      </c>
      <c r="BE344" s="44">
        <f>VLOOKUP(D344,UNITVALUE,4,false)</f>
        <v>6.2817</v>
      </c>
      <c r="BF344" s="44">
        <f t="shared" si="941"/>
        <v>1928.4819</v>
      </c>
      <c r="BI344" s="6">
        <f t="shared" si="1150"/>
        <v>251.0</v>
      </c>
      <c r="BJ344" s="1">
        <f>VLOOKUP(C344,MOQ,3,FALSE())</f>
        <v>500.0</v>
      </c>
      <c r="BK344" s="53" t="s">
        <v>0</v>
      </c>
      <c r="BM344" s="1">
        <f t="shared" si="1152"/>
        <v>307.0</v>
      </c>
      <c r="BN344" s="1">
        <f t="shared" si="1153"/>
        <v>6.93333333333332</v>
      </c>
      <c r="BP344" s="45">
        <f t="shared" si="1154"/>
        <v>300.066666666667</v>
      </c>
      <c r="BQ344" s="5">
        <f t="shared" si="1155"/>
        <v>1884.92878</v>
      </c>
      <c r="BR344" s="1">
        <f t="shared" si="1156"/>
        <v>8.66666666666666</v>
      </c>
      <c r="BS344" s="1">
        <f t="shared" si="1157"/>
      </c>
      <c r="BT344" s="45">
        <f t="shared" si="1158"/>
        <v>291.4</v>
      </c>
      <c r="BU344" s="5">
        <f t="shared" si="1159"/>
        <v>1830.48738</v>
      </c>
      <c r="BV344" s="1">
        <f t="shared" si="1160"/>
        <v>9.3333333333333</v>
      </c>
      <c r="BW344" s="1">
        <f t="shared" si="1161"/>
      </c>
      <c r="BX344" s="45">
        <f t="shared" si="1162"/>
        <v>282.066666666667</v>
      </c>
      <c r="BY344" s="5">
        <f t="shared" si="1163"/>
        <v>1771.85818</v>
      </c>
      <c r="BZ344" s="1">
        <f t="shared" si="1164"/>
        <v>12.9333333333333</v>
      </c>
      <c r="CB344" s="45">
        <f t="shared" si="1165"/>
        <v>269.133333333333</v>
      </c>
      <c r="CC344" s="5">
        <f t="shared" si="1166"/>
        <v>1690.61486</v>
      </c>
      <c r="CD344" s="1">
        <f t="shared" si="1167"/>
        <v>6.13333333333334</v>
      </c>
      <c r="CF344" s="45">
        <f t="shared" si="1168"/>
        <v>263.0</v>
      </c>
      <c r="CG344" s="5">
        <f t="shared" si="1169"/>
        <v>1652.0871</v>
      </c>
      <c r="CH344" s="1">
        <f t="shared" si="1170"/>
        <v>12.0</v>
      </c>
      <c r="CJ344" s="45">
        <f t="shared" si="1171"/>
        <v>251.0</v>
      </c>
      <c r="CK344" s="5">
        <f t="shared" si="1172"/>
        <v>1576.7067</v>
      </c>
    </row>
    <row r="345" ht="17.0">
      <c r="A345" s="41" t="s">
        <v>30</v>
      </c>
      <c r="B345" s="41" t="s">
        <v>699</v>
      </c>
      <c r="C345" s="41" t="s">
        <v>734</v>
      </c>
      <c r="D345" s="55" t="s">
        <v>735</v>
      </c>
      <c r="E345" s="41">
        <v>0.0</v>
      </c>
      <c r="F345" s="41">
        <v>128.0</v>
      </c>
      <c r="G345" s="41">
        <v>48.0</v>
      </c>
      <c r="H345" s="41">
        <v>20.0</v>
      </c>
      <c r="I345" s="41">
        <v>71.0</v>
      </c>
      <c r="J345" s="41">
        <v>76.0</v>
      </c>
      <c r="K345" s="41">
        <v>119.0</v>
      </c>
      <c r="L345" s="41">
        <v>53.0</v>
      </c>
      <c r="M345" s="41">
        <v>20.0</v>
      </c>
      <c r="N345" s="41">
        <v>31.0</v>
      </c>
      <c r="O345" s="41">
        <v>33.0</v>
      </c>
      <c r="P345" s="41">
        <v>20.0</v>
      </c>
      <c r="Q345" s="41">
        <v>47.0</v>
      </c>
      <c r="R345" s="41">
        <v>47.0</v>
      </c>
      <c r="S345" s="41">
        <v>32.0</v>
      </c>
      <c r="T345" s="41">
        <v>35.0</v>
      </c>
      <c r="U345" s="41">
        <v>53.0</v>
      </c>
      <c r="V345" s="41">
        <v>98.0</v>
      </c>
      <c r="W345" s="41">
        <v>50.0</v>
      </c>
      <c r="X345" s="41">
        <v>-5.0</v>
      </c>
      <c r="Y345" s="41">
        <v>4.0</v>
      </c>
      <c r="Z345" s="41">
        <v>1.0</v>
      </c>
      <c r="AA345" s="41">
        <v>43.0</v>
      </c>
      <c r="AB345" s="41">
        <v>48.0</v>
      </c>
      <c r="AC345" s="41">
        <v>14.0</v>
      </c>
      <c r="AD345" s="41">
        <v>32.0</v>
      </c>
      <c r="AE345" s="41">
        <v>32.0</v>
      </c>
      <c r="AF345" s="41">
        <v>32.0</v>
      </c>
      <c r="AG345" s="41">
        <v>48.0</v>
      </c>
      <c r="AH345" s="41">
        <v>43.0</v>
      </c>
      <c r="AI345" s="41">
        <v>48.0</v>
      </c>
      <c r="AJ345" s="41">
        <v>52.0</v>
      </c>
      <c r="AK345" s="41">
        <v>48.0</v>
      </c>
      <c r="AL345" s="41">
        <v>16.0</v>
      </c>
      <c r="AM345" s="43">
        <v>27.0</v>
      </c>
      <c r="AN345" s="43">
        <v>23.0</v>
      </c>
      <c r="AO345" s="43">
        <v>32.0</v>
      </c>
      <c r="AP345" s="43">
        <v>16.0</v>
      </c>
      <c r="AQ345" s="43">
        <v>9.0</v>
      </c>
      <c r="AR345" s="43">
        <v>6.0</v>
      </c>
      <c r="AS345" s="43">
        <v>19.0</v>
      </c>
      <c r="AT345" s="4">
        <f t="shared" si="4"/>
        <v>339.0</v>
      </c>
      <c r="AU345" s="4">
        <f t="shared" si="5"/>
        <v>234.0</v>
      </c>
      <c r="AV345" s="4">
        <f t="shared" si="6"/>
        <v>257.4</v>
      </c>
      <c r="AW345" s="1">
        <f t="shared" si="1144"/>
        <v>29.4666666666667</v>
      </c>
      <c r="AX345" s="1">
        <f t="shared" si="1145"/>
        <v>36.8333333333333</v>
      </c>
      <c r="AY345" s="1">
        <f t="shared" si="1146"/>
        <v>39.6666666666667</v>
      </c>
      <c r="AZ345" s="1">
        <f t="shared" si="1147"/>
        <v>54.9666666666666</v>
      </c>
      <c r="BA345" s="1">
        <f t="shared" si="1148"/>
        <v>26.0666666666666</v>
      </c>
      <c r="BB345" s="1">
        <f t="shared" si="1149"/>
        <v>51.0</v>
      </c>
      <c r="BC345" s="4">
        <f t="shared" si="728"/>
        <v>238.0</v>
      </c>
      <c r="BD345" s="3">
        <f>VLOOKUP(D345,FEB23SOH,2,false)</f>
        <v>407.0</v>
      </c>
      <c r="BE345" s="44">
        <f>VLOOKUP(D345,UNITVALUE,4,false)</f>
        <v>5.7139</v>
      </c>
      <c r="BF345" s="44">
        <f t="shared" si="941"/>
        <v>2325.5573</v>
      </c>
      <c r="BI345" s="6">
        <f t="shared" si="1150"/>
        <v>169.0</v>
      </c>
      <c r="BJ345" s="1">
        <f>VLOOKUP(C345,MOQ,3,FALSE())</f>
        <v>500.0</v>
      </c>
      <c r="BM345" s="1">
        <f t="shared" si="1152"/>
        <v>407.0</v>
      </c>
      <c r="BN345" s="1">
        <f t="shared" si="1153"/>
        <v>29.4666666666667</v>
      </c>
      <c r="BP345" s="45">
        <f t="shared" si="1154"/>
        <v>377.533333333333</v>
      </c>
      <c r="BQ345" s="5">
        <f t="shared" si="1155"/>
        <v>2157.18771333333</v>
      </c>
      <c r="BR345" s="1">
        <f t="shared" si="1156"/>
        <v>36.8333333333333</v>
      </c>
      <c r="BS345" s="1">
        <f t="shared" si="1157"/>
      </c>
      <c r="BT345" s="45">
        <f t="shared" si="1158"/>
        <v>340.7</v>
      </c>
      <c r="BU345" s="5">
        <f t="shared" si="1159"/>
        <v>1946.72573</v>
      </c>
      <c r="BV345" s="1">
        <f t="shared" si="1160"/>
        <v>39.6666666666667</v>
      </c>
      <c r="BW345" s="1">
        <f t="shared" si="1161"/>
      </c>
      <c r="BX345" s="45">
        <f t="shared" si="1162"/>
        <v>301.033333333333</v>
      </c>
      <c r="BY345" s="5">
        <f t="shared" si="1163"/>
        <v>1720.07436333333</v>
      </c>
      <c r="BZ345" s="1">
        <f t="shared" si="1164"/>
        <v>54.9666666666666</v>
      </c>
      <c r="CB345" s="45">
        <f t="shared" si="1165"/>
        <v>246.066666666666</v>
      </c>
      <c r="CC345" s="5">
        <f t="shared" si="1166"/>
        <v>1406.00032666666</v>
      </c>
      <c r="CD345" s="1">
        <f t="shared" si="1167"/>
        <v>26.0666666666666</v>
      </c>
      <c r="CF345" s="45">
        <f t="shared" si="1168"/>
        <v>219.999999999999</v>
      </c>
      <c r="CG345" s="5">
        <f t="shared" si="1169"/>
        <v>1257.05799999999</v>
      </c>
      <c r="CH345" s="1">
        <f t="shared" si="1170"/>
        <v>51.0</v>
      </c>
      <c r="CJ345" s="45">
        <f t="shared" si="1171"/>
        <v>168.999999999999</v>
      </c>
      <c r="CK345" s="5">
        <f t="shared" si="1172"/>
        <v>965.649099999994</v>
      </c>
    </row>
    <row r="346" ht="17.0">
      <c r="A346" s="41" t="s">
        <v>30</v>
      </c>
      <c r="B346" s="10" t="s">
        <v>699</v>
      </c>
      <c r="C346" s="41" t="s">
        <v>736</v>
      </c>
      <c r="D346" s="55" t="s">
        <v>737</v>
      </c>
      <c r="E346" s="41">
        <v>0.0</v>
      </c>
      <c r="F346" s="41">
        <v>0.0</v>
      </c>
      <c r="G346" s="41">
        <v>0.0</v>
      </c>
      <c r="H346" s="41">
        <v>0.0</v>
      </c>
      <c r="I346" s="41">
        <v>0.0</v>
      </c>
      <c r="J346" s="41">
        <v>0.0</v>
      </c>
      <c r="K346" s="41">
        <v>0.0</v>
      </c>
      <c r="L346" s="41">
        <v>0.0</v>
      </c>
      <c r="M346" s="41">
        <v>0.0</v>
      </c>
      <c r="N346" s="41">
        <v>0.0</v>
      </c>
      <c r="O346" s="41">
        <v>0.0</v>
      </c>
      <c r="P346" s="41">
        <v>0.0</v>
      </c>
      <c r="Q346" s="41">
        <v>0.0</v>
      </c>
      <c r="R346" s="41">
        <v>0.0</v>
      </c>
      <c r="S346" s="41">
        <v>0.0</v>
      </c>
      <c r="T346" s="41">
        <v>0.0</v>
      </c>
      <c r="U346" s="41">
        <v>0.0</v>
      </c>
      <c r="V346" s="41">
        <v>0.0</v>
      </c>
      <c r="W346" s="41">
        <v>0.0</v>
      </c>
      <c r="X346" s="41">
        <v>0.0</v>
      </c>
      <c r="Y346" s="41">
        <v>0.0</v>
      </c>
      <c r="Z346" s="41">
        <v>0.0</v>
      </c>
      <c r="AA346" s="41">
        <v>4.0</v>
      </c>
      <c r="AB346" s="41">
        <v>20.0</v>
      </c>
      <c r="AC346" s="41">
        <v>4.0</v>
      </c>
      <c r="AD346" s="41">
        <v>12.0</v>
      </c>
      <c r="AE346" s="41">
        <v>8.0</v>
      </c>
      <c r="AF346" s="41">
        <v>4.0</v>
      </c>
      <c r="AG346" s="41">
        <v>8.0</v>
      </c>
      <c r="AH346" s="41">
        <v>12.0</v>
      </c>
      <c r="AI346" s="41">
        <v>12.0</v>
      </c>
      <c r="AJ346" s="41">
        <v>24.0</v>
      </c>
      <c r="AK346" s="41">
        <v>16.0</v>
      </c>
      <c r="AL346" s="41">
        <v>8.0</v>
      </c>
      <c r="AM346" s="43">
        <v>16.0</v>
      </c>
      <c r="AN346" s="43">
        <v>-3.0</v>
      </c>
      <c r="AO346" s="43">
        <v>5.0</v>
      </c>
      <c r="AP346" s="43">
        <v>8.0</v>
      </c>
      <c r="AQ346" s="43">
        <v>4.0</v>
      </c>
      <c r="AR346" s="43">
        <v>8.0</v>
      </c>
      <c r="AS346" s="43">
        <v>5.0</v>
      </c>
      <c r="AT346" s="4">
        <f t="shared" si="4"/>
        <v>115.0</v>
      </c>
      <c r="AU346" s="4">
        <f t="shared" si="5"/>
        <v>88.0</v>
      </c>
      <c r="AV346" s="4">
        <f t="shared" si="6"/>
        <v>96.8</v>
      </c>
      <c r="AW346" s="1">
        <f t="shared" si="1144"/>
        <v>11.390476190476</v>
      </c>
      <c r="AX346" s="1">
        <f t="shared" si="1145"/>
        <v>14.2380952380952</v>
      </c>
      <c r="AY346" s="1">
        <f t="shared" si="1146"/>
        <v>15.3333333333333</v>
      </c>
      <c r="AZ346" s="1">
        <f t="shared" si="1147"/>
        <v>21.247619047619</v>
      </c>
      <c r="BA346" s="1">
        <f t="shared" si="1148"/>
        <v>10.0761904761904</v>
      </c>
      <c r="BB346" s="1">
        <f t="shared" si="1149"/>
        <v>19.7142857142858</v>
      </c>
      <c r="BC346" s="4">
        <f t="shared" si="728"/>
        <v>91.9999999999997</v>
      </c>
      <c r="BD346" s="3">
        <f>VLOOKUP(D346,FEB23SOH,2,false)</f>
        <v>322.0</v>
      </c>
      <c r="BE346" s="44">
        <f>VLOOKUP(D346,UNITVALUE,4,false)</f>
        <v>6.2817</v>
      </c>
      <c r="BF346" s="44">
        <f t="shared" si="941"/>
        <v>2022.7074</v>
      </c>
      <c r="BI346" s="6">
        <f t="shared" si="1150"/>
        <v>230.0</v>
      </c>
      <c r="BK346" s="53" t="s">
        <v>0</v>
      </c>
      <c r="BM346" s="1">
        <f t="shared" si="1152"/>
        <v>322.0</v>
      </c>
      <c r="BN346" s="1">
        <f t="shared" si="1153"/>
        <v>11.390476190476</v>
      </c>
      <c r="BP346" s="45">
        <f t="shared" si="1154"/>
        <v>310.609523809524</v>
      </c>
      <c r="BQ346" s="5">
        <f t="shared" si="1155"/>
        <v>1951.15584571429</v>
      </c>
      <c r="BR346" s="1">
        <f t="shared" si="1156"/>
        <v>14.2380952380952</v>
      </c>
      <c r="BS346" s="1">
        <f t="shared" si="1157"/>
      </c>
      <c r="BT346" s="45">
        <f t="shared" si="1158"/>
        <v>296.371428571429</v>
      </c>
      <c r="BU346" s="5">
        <f t="shared" si="1159"/>
        <v>1861.71640285714</v>
      </c>
      <c r="BV346" s="1">
        <f t="shared" si="1160"/>
        <v>15.3333333333333</v>
      </c>
      <c r="BW346" s="1">
        <f t="shared" si="1161"/>
      </c>
      <c r="BX346" s="45">
        <f t="shared" si="1162"/>
        <v>281.0380952381</v>
      </c>
      <c r="BY346" s="5">
        <f t="shared" si="1163"/>
        <v>1765.39700285717</v>
      </c>
      <c r="BZ346" s="1">
        <f t="shared" si="1164"/>
        <v>21.247619047619</v>
      </c>
      <c r="CB346" s="45">
        <f t="shared" si="1165"/>
        <v>259.790476190481</v>
      </c>
      <c r="CC346" s="5">
        <f t="shared" si="1166"/>
        <v>1631.92583428574</v>
      </c>
      <c r="CD346" s="1">
        <f t="shared" si="1167"/>
        <v>10.0761904761904</v>
      </c>
      <c r="CF346" s="45">
        <f t="shared" si="1168"/>
        <v>249.71428571429</v>
      </c>
      <c r="CG346" s="5">
        <f t="shared" si="1169"/>
        <v>1568.63022857146</v>
      </c>
      <c r="CH346" s="1">
        <f t="shared" si="1170"/>
        <v>19.7142857142858</v>
      </c>
      <c r="CJ346" s="45">
        <f t="shared" si="1171"/>
        <v>230.000000000004</v>
      </c>
      <c r="CK346" s="5">
        <f t="shared" si="1172"/>
        <v>1444.79100000002</v>
      </c>
    </row>
    <row r="347" ht="17.0">
      <c r="A347" s="1" t="s">
        <v>30</v>
      </c>
      <c r="B347" s="78" t="s">
        <v>699</v>
      </c>
      <c r="C347" s="1" t="s">
        <v>738</v>
      </c>
      <c r="D347" s="2" t="s">
        <v>739</v>
      </c>
      <c r="G347" s="1">
        <v>16.0</v>
      </c>
      <c r="H347" s="1">
        <v>8.0</v>
      </c>
      <c r="I347" s="1">
        <v>32.0</v>
      </c>
      <c r="J347" s="1">
        <v>16.0</v>
      </c>
      <c r="K347" s="1">
        <v>76.0</v>
      </c>
      <c r="L347" s="1">
        <v>73.0</v>
      </c>
      <c r="M347" s="1">
        <v>16.0</v>
      </c>
      <c r="N347" s="1">
        <v>31.0</v>
      </c>
      <c r="O347" s="1">
        <v>40.0</v>
      </c>
      <c r="P347" s="1">
        <v>12.0</v>
      </c>
      <c r="Q347" s="1">
        <v>5.0</v>
      </c>
      <c r="R347" s="1">
        <v>10.0</v>
      </c>
      <c r="S347" s="1">
        <v>20.0</v>
      </c>
      <c r="T347" s="1">
        <v>11.0</v>
      </c>
      <c r="U347" s="1">
        <v>17.0</v>
      </c>
      <c r="V347" s="1">
        <v>36.0</v>
      </c>
      <c r="W347" s="1">
        <v>15.0</v>
      </c>
      <c r="X347" s="1">
        <v>34.0</v>
      </c>
      <c r="Y347" s="1">
        <v>24.0</v>
      </c>
      <c r="Z347" s="1">
        <v>22.0</v>
      </c>
      <c r="AA347" s="1">
        <v>11.0</v>
      </c>
      <c r="AB347" s="1">
        <v>8.0</v>
      </c>
      <c r="AC347" s="1">
        <v>3.0</v>
      </c>
      <c r="AD347" s="1">
        <v>12.0</v>
      </c>
      <c r="AE347" s="1">
        <v>12.0</v>
      </c>
      <c r="AF347" s="1">
        <v>8.0</v>
      </c>
      <c r="AG347" s="1">
        <v>28.0</v>
      </c>
      <c r="AH347" s="1">
        <v>136.0</v>
      </c>
      <c r="AI347" s="1">
        <v>60.0</v>
      </c>
      <c r="AJ347" s="1">
        <v>28.0</v>
      </c>
      <c r="AK347" s="1">
        <v>32.0</v>
      </c>
      <c r="AL347" s="1">
        <v>12.0</v>
      </c>
      <c r="AM347" s="1">
        <v>24.0</v>
      </c>
      <c r="AN347" s="1">
        <v>1.0</v>
      </c>
      <c r="AO347" s="1">
        <v>8.0</v>
      </c>
      <c r="AP347" s="43">
        <v>0.0</v>
      </c>
      <c r="AQ347" s="43">
        <v>4.0</v>
      </c>
      <c r="AR347" s="43">
        <v>4.0</v>
      </c>
      <c r="AS347" s="43">
        <v>15.0</v>
      </c>
      <c r="AT347" s="4">
        <f t="shared" si="4"/>
        <v>324.0</v>
      </c>
      <c r="AU347" s="4">
        <f t="shared" si="5"/>
        <v>292.0</v>
      </c>
      <c r="AV347" s="4">
        <f t="shared" si="6"/>
        <v>321.2</v>
      </c>
      <c r="AW347" s="79">
        <f t="shared" ref="AW347:AW349" si="1173">AV347*$AW$4/$AV$4</f>
        <v>36.152380952381</v>
      </c>
      <c r="AX347" s="1">
        <f t="shared" ref="AX347:AX349" si="1174">AV347*$AX$4/$AV$4</f>
        <v>45.1904761904761</v>
      </c>
      <c r="AY347" s="1">
        <f t="shared" ref="AY347:AY349" si="1175">AV347*$AY$4/$AV$4</f>
        <v>48.6666666666667</v>
      </c>
      <c r="AZ347" s="1">
        <f t="shared" ref="AZ347:AZ349" si="1176">AV347*$AZ$4/$AV$4</f>
        <v>67.4380952380952</v>
      </c>
      <c r="BA347" s="1">
        <f t="shared" ref="BA347:BA349" si="1177">AV347*$BA$4/$AV$4</f>
        <v>31.9809523809523</v>
      </c>
      <c r="BB347" s="1">
        <f t="shared" ref="BB347:BB349" si="1178">AV347*$BB$4/$AV$4</f>
        <v>62.5714285714286</v>
      </c>
      <c r="BC347" s="4">
        <f t="shared" si="728"/>
        <v>292.0</v>
      </c>
      <c r="BD347" s="3">
        <f>VLOOKUP(D347,FEB23SOH,2,false)</f>
        <v>252.0</v>
      </c>
      <c r="BE347" s="44">
        <f>VLOOKUP(D347,UNITVALUE,4,false)</f>
        <v>7.3625</v>
      </c>
      <c r="BF347" s="44">
        <f t="shared" si="941"/>
        <v>1855.35</v>
      </c>
      <c r="BI347" s="6">
        <f t="shared" si="1150"/>
        <v>-40.0</v>
      </c>
      <c r="BJ347" s="1">
        <f>VLOOKUP(C347,MOQ,3,FALSE())</f>
        <v>501.0</v>
      </c>
      <c r="BK347" s="53" t="s">
        <v>0</v>
      </c>
      <c r="BL347" s="8" t="s">
        <v>10</v>
      </c>
      <c r="BM347" s="1">
        <f t="shared" si="1152"/>
        <v>252.0</v>
      </c>
      <c r="BN347" s="1">
        <f t="shared" si="1153"/>
        <v>36.152380952381</v>
      </c>
      <c r="BP347" s="45">
        <f t="shared" si="1154"/>
        <v>215.847619047619</v>
      </c>
      <c r="BQ347" s="5">
        <f t="shared" si="1155"/>
        <v>1589.17809523809</v>
      </c>
      <c r="BR347" s="1">
        <f t="shared" si="1156"/>
        <v>45.1904761904761</v>
      </c>
      <c r="BS347" s="1">
        <f t="shared" si="1157"/>
      </c>
      <c r="BT347" s="45">
        <f t="shared" si="1158"/>
        <v>170.657142857142</v>
      </c>
      <c r="BU347" s="5">
        <f t="shared" si="1159"/>
        <v>1256.4632142857</v>
      </c>
      <c r="BV347" s="1">
        <f t="shared" si="1160"/>
        <v>48.6666666666667</v>
      </c>
      <c r="BW347" s="1">
        <f t="shared" si="1161"/>
      </c>
      <c r="BX347" s="45">
        <f t="shared" si="1162"/>
        <v>121.990476190475</v>
      </c>
      <c r="BY347" s="5">
        <f t="shared" si="1163"/>
        <v>898.154880952372</v>
      </c>
      <c r="BZ347" s="1">
        <f t="shared" si="1164"/>
        <v>67.4380952380952</v>
      </c>
      <c r="CB347" s="45">
        <f t="shared" si="1165"/>
        <v>54.5523809523798</v>
      </c>
      <c r="CC347" s="5">
        <f t="shared" si="1166"/>
        <v>401.641904761896</v>
      </c>
      <c r="CD347" s="1">
        <f t="shared" si="1167"/>
        <v>31.9809523809523</v>
      </c>
      <c r="CF347" s="45">
        <f t="shared" si="1168"/>
        <v>22.5714285714275</v>
      </c>
      <c r="CG347" s="5">
        <f t="shared" si="1169"/>
        <v>166.182142857134</v>
      </c>
      <c r="CH347" s="1">
        <f t="shared" si="1170"/>
        <v>62.5714285714286</v>
      </c>
      <c r="CJ347" s="45">
        <f t="shared" si="1171"/>
        <v>-40.000000000001</v>
      </c>
      <c r="CK347" s="5">
        <f t="shared" si="1172"/>
        <v>-294.500000000007</v>
      </c>
    </row>
    <row r="348" ht="17.0">
      <c r="A348" s="1" t="s">
        <v>30</v>
      </c>
      <c r="B348" s="78" t="s">
        <v>682</v>
      </c>
      <c r="C348" s="1" t="s">
        <v>740</v>
      </c>
      <c r="D348" s="2" t="s">
        <v>741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2.0</v>
      </c>
      <c r="N348" s="1">
        <v>51.0</v>
      </c>
      <c r="O348" s="1">
        <v>77.0</v>
      </c>
      <c r="P348" s="1">
        <v>44.0</v>
      </c>
      <c r="Q348" s="1">
        <v>60.0</v>
      </c>
      <c r="R348" s="1">
        <v>54.0</v>
      </c>
      <c r="S348" s="1">
        <v>51.0</v>
      </c>
      <c r="T348" s="1">
        <v>46.0</v>
      </c>
      <c r="U348" s="1">
        <v>44.0</v>
      </c>
      <c r="V348" s="1">
        <v>101.0</v>
      </c>
      <c r="W348" s="1">
        <v>69.0</v>
      </c>
      <c r="X348" s="1">
        <v>47.0</v>
      </c>
      <c r="Y348" s="1">
        <v>30.0</v>
      </c>
      <c r="Z348" s="1">
        <v>40.0</v>
      </c>
      <c r="AA348" s="1">
        <v>26.0</v>
      </c>
      <c r="AB348" s="1">
        <v>32.0</v>
      </c>
      <c r="AC348" s="1">
        <v>44.0</v>
      </c>
      <c r="AD348" s="1">
        <v>28.0</v>
      </c>
      <c r="AE348" s="1">
        <v>18.0</v>
      </c>
      <c r="AF348" s="1">
        <v>18.0</v>
      </c>
      <c r="AG348" s="1">
        <v>27.0</v>
      </c>
      <c r="AH348" s="1">
        <v>29.0</v>
      </c>
      <c r="AI348" s="1">
        <v>21.0</v>
      </c>
      <c r="AJ348" s="1">
        <v>27.0</v>
      </c>
      <c r="AK348" s="1">
        <v>12.0</v>
      </c>
      <c r="AL348" s="1">
        <v>15.0</v>
      </c>
      <c r="AM348" s="1">
        <v>3.0</v>
      </c>
      <c r="AN348" s="1">
        <v>10.0</v>
      </c>
      <c r="AO348" s="1">
        <v>24.0</v>
      </c>
      <c r="AP348" s="43">
        <v>12.0</v>
      </c>
      <c r="AQ348" s="43">
        <v>25.0</v>
      </c>
      <c r="AR348" s="43">
        <v>8.0</v>
      </c>
      <c r="AS348" s="43">
        <v>37.0</v>
      </c>
      <c r="AT348" s="4">
        <f t="shared" si="4"/>
        <v>223.0</v>
      </c>
      <c r="AU348" s="4">
        <f t="shared" si="5"/>
        <v>107.0</v>
      </c>
      <c r="AV348" s="4">
        <f t="shared" si="6"/>
        <v>117.7</v>
      </c>
      <c r="AW348" s="79">
        <f t="shared" si="1173"/>
        <v>13.247619047619</v>
      </c>
      <c r="AX348" s="1">
        <f t="shared" si="1174"/>
        <v>16.5595238095238</v>
      </c>
      <c r="AY348" s="1">
        <f t="shared" si="1175"/>
        <v>17.8333333333333</v>
      </c>
      <c r="AZ348" s="1">
        <f t="shared" si="1176"/>
        <v>24.7119047619048</v>
      </c>
      <c r="BA348" s="1">
        <f t="shared" si="1177"/>
        <v>11.7190476190476</v>
      </c>
      <c r="BB348" s="1">
        <f t="shared" si="1178"/>
        <v>22.9285714285714</v>
      </c>
      <c r="BC348" s="4">
        <f t="shared" si="728"/>
        <v>107.0</v>
      </c>
      <c r="BD348" s="3">
        <f>VLOOKUP(D348,FEB23SOH,2,false)</f>
        <v>466.0</v>
      </c>
      <c r="BE348" s="44">
        <f>VLOOKUP(D348,UNITVALUE,4,false)</f>
        <v>4.1413</v>
      </c>
      <c r="BF348" s="44">
        <f t="shared" si="941"/>
        <v>1929.8458</v>
      </c>
      <c r="BI348" s="6">
        <f t="shared" si="1150"/>
        <v>359.0</v>
      </c>
      <c r="BJ348" s="1">
        <f>VLOOKUP(C348,MOQ,3,FALSE())</f>
        <v>500.0</v>
      </c>
      <c r="BK348" s="53" t="s">
        <v>0</v>
      </c>
      <c r="BM348" s="1">
        <f t="shared" si="1152"/>
        <v>466.0</v>
      </c>
      <c r="BN348" s="1">
        <f t="shared" si="1153"/>
        <v>13.247619047619</v>
      </c>
      <c r="BP348" s="45">
        <f t="shared" si="1154"/>
        <v>452.752380952381</v>
      </c>
      <c r="BQ348" s="5">
        <f t="shared" si="1155"/>
        <v>1874.9834352381</v>
      </c>
      <c r="BR348" s="1">
        <f t="shared" si="1156"/>
        <v>16.5595238095238</v>
      </c>
      <c r="BS348" s="1">
        <f t="shared" si="1157"/>
      </c>
      <c r="BT348" s="45">
        <f t="shared" si="1158"/>
        <v>436.192857142857</v>
      </c>
      <c r="BU348" s="5">
        <f t="shared" si="1159"/>
        <v>1806.40547928571</v>
      </c>
      <c r="BV348" s="1">
        <f t="shared" si="1160"/>
        <v>17.8333333333333</v>
      </c>
      <c r="BW348" s="1">
        <f t="shared" si="1161"/>
      </c>
      <c r="BX348" s="45">
        <f t="shared" si="1162"/>
        <v>418.359523809523</v>
      </c>
      <c r="BY348" s="5">
        <f t="shared" si="1163"/>
        <v>1732.55229595238</v>
      </c>
      <c r="BZ348" s="1">
        <f t="shared" si="1164"/>
        <v>24.7119047619048</v>
      </c>
      <c r="CB348" s="45">
        <f t="shared" si="1165"/>
        <v>393.647619047618</v>
      </c>
      <c r="CC348" s="5">
        <f t="shared" si="1166"/>
        <v>1630.2128847619</v>
      </c>
      <c r="CD348" s="1">
        <f t="shared" si="1167"/>
        <v>11.7190476190476</v>
      </c>
      <c r="CF348" s="45">
        <f t="shared" si="1168"/>
        <v>381.92857142857</v>
      </c>
      <c r="CG348" s="5">
        <f t="shared" si="1169"/>
        <v>1581.68079285713</v>
      </c>
      <c r="CH348" s="1">
        <f t="shared" si="1170"/>
        <v>22.9285714285714</v>
      </c>
      <c r="CJ348" s="45">
        <f t="shared" si="1171"/>
        <v>359.0</v>
      </c>
      <c r="CK348" s="5">
        <f t="shared" si="1172"/>
        <v>1486.7267</v>
      </c>
    </row>
    <row r="349" ht="17.0">
      <c r="A349" s="1" t="s">
        <v>30</v>
      </c>
      <c r="B349" s="10" t="s">
        <v>682</v>
      </c>
      <c r="C349" s="41" t="s">
        <v>742</v>
      </c>
      <c r="D349" s="2" t="s">
        <v>743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2.0</v>
      </c>
      <c r="N349" s="1">
        <v>36.0</v>
      </c>
      <c r="O349" s="1">
        <v>51.0</v>
      </c>
      <c r="P349" s="1">
        <v>45.0</v>
      </c>
      <c r="Q349" s="1">
        <v>37.0</v>
      </c>
      <c r="R349" s="1">
        <v>24.0</v>
      </c>
      <c r="S349" s="1">
        <v>21.0</v>
      </c>
      <c r="T349" s="1">
        <v>7.0</v>
      </c>
      <c r="U349" s="1">
        <v>15.0</v>
      </c>
      <c r="V349" s="1">
        <v>42.0</v>
      </c>
      <c r="W349" s="1">
        <v>15.0</v>
      </c>
      <c r="X349" s="1">
        <v>9.0</v>
      </c>
      <c r="Y349" s="1">
        <v>6.0</v>
      </c>
      <c r="Z349" s="1">
        <v>5.0</v>
      </c>
      <c r="AA349" s="1">
        <v>3.0</v>
      </c>
      <c r="AB349" s="1">
        <v>12.0</v>
      </c>
      <c r="AC349" s="1">
        <v>10.0</v>
      </c>
      <c r="AD349" s="1">
        <v>12.0</v>
      </c>
      <c r="AE349" s="1">
        <v>6.0</v>
      </c>
      <c r="AF349" s="1">
        <v>12.0</v>
      </c>
      <c r="AG349" s="1">
        <v>15.0</v>
      </c>
      <c r="AH349" s="1">
        <v>9.0</v>
      </c>
      <c r="AI349" s="1">
        <v>0.0</v>
      </c>
      <c r="AJ349" s="1">
        <v>3.0</v>
      </c>
      <c r="AK349" s="1">
        <v>3.0</v>
      </c>
      <c r="AL349" s="1">
        <v>12.0</v>
      </c>
      <c r="AM349" s="1">
        <v>12.0</v>
      </c>
      <c r="AN349" s="1">
        <v>12.0</v>
      </c>
      <c r="AO349" s="1">
        <v>9.0</v>
      </c>
      <c r="AP349" s="43">
        <v>15.0</v>
      </c>
      <c r="AQ349" s="43">
        <v>18.0</v>
      </c>
      <c r="AR349" s="43">
        <v>6.0</v>
      </c>
      <c r="AS349" s="43">
        <v>11.0</v>
      </c>
      <c r="AT349" s="4">
        <f t="shared" si="4"/>
        <v>110.0</v>
      </c>
      <c r="AU349" s="4">
        <f t="shared" si="5"/>
        <v>39.0</v>
      </c>
      <c r="AV349" s="4">
        <f t="shared" si="6"/>
        <v>42.9</v>
      </c>
      <c r="AW349" s="79">
        <f t="shared" si="1173"/>
        <v>4.82857142857142</v>
      </c>
      <c r="AX349" s="1">
        <f t="shared" si="1174"/>
        <v>6.03571428571429</v>
      </c>
      <c r="AY349" s="1">
        <f t="shared" si="1175"/>
        <v>6.5</v>
      </c>
      <c r="AZ349" s="1">
        <f t="shared" si="1176"/>
        <v>9.00714285714286</v>
      </c>
      <c r="BA349" s="1">
        <f t="shared" si="1177"/>
        <v>4.27142857142857</v>
      </c>
      <c r="BB349" s="1">
        <f t="shared" si="1178"/>
        <v>8.3571428571429</v>
      </c>
      <c r="BC349" s="4">
        <f t="shared" si="728"/>
        <v>39.0</v>
      </c>
      <c r="BD349" s="3">
        <f>VLOOKUP(D349,FEB23SOH,2,false)</f>
        <v>505.0</v>
      </c>
      <c r="BE349" s="44">
        <f>VLOOKUP(D349,UNITVALUE,4,false)</f>
        <v>4.1859</v>
      </c>
      <c r="BF349" s="44">
        <f t="shared" si="941"/>
        <v>2113.8795</v>
      </c>
      <c r="BI349" s="6">
        <f t="shared" si="1150"/>
        <v>466.0</v>
      </c>
      <c r="BJ349" s="1">
        <f>VLOOKUP(C349,MOQ,3,FALSE())</f>
        <v>500.0</v>
      </c>
      <c r="BK349" s="53" t="s">
        <v>0</v>
      </c>
      <c r="BM349" s="1">
        <f t="shared" si="1152"/>
        <v>505.0</v>
      </c>
      <c r="BN349" s="1">
        <f t="shared" si="1153"/>
        <v>4.82857142857142</v>
      </c>
      <c r="BP349" s="45">
        <f t="shared" si="1154"/>
        <v>500.17142857142</v>
      </c>
      <c r="BQ349" s="5">
        <f t="shared" si="1155"/>
        <v>2093.6675828571</v>
      </c>
      <c r="BR349" s="1">
        <f t="shared" si="1156"/>
        <v>6.03571428571429</v>
      </c>
      <c r="BS349" s="1">
        <f t="shared" si="1157"/>
      </c>
      <c r="BT349" s="45">
        <f t="shared" si="1158"/>
        <v>494.135714285706</v>
      </c>
      <c r="BU349" s="5">
        <f t="shared" si="1159"/>
        <v>2068.40268642853</v>
      </c>
      <c r="BV349" s="1">
        <f t="shared" si="1160"/>
        <v>6.5</v>
      </c>
      <c r="BW349" s="1">
        <f t="shared" si="1161"/>
      </c>
      <c r="BX349" s="45">
        <f t="shared" si="1162"/>
        <v>487.635714285706</v>
      </c>
      <c r="BY349" s="5">
        <f t="shared" si="1163"/>
        <v>2041.19433642853</v>
      </c>
      <c r="BZ349" s="1">
        <f t="shared" si="1164"/>
        <v>9.00714285714286</v>
      </c>
      <c r="CB349" s="45">
        <f t="shared" si="1165"/>
        <v>478.628571428563</v>
      </c>
      <c r="CC349" s="5">
        <f t="shared" si="1166"/>
        <v>2003.49133714282</v>
      </c>
      <c r="CD349" s="1">
        <f t="shared" si="1167"/>
        <v>4.27142857142857</v>
      </c>
      <c r="CF349" s="45">
        <f t="shared" si="1168"/>
        <v>474.357142857134</v>
      </c>
      <c r="CG349" s="5">
        <f t="shared" si="1169"/>
        <v>1985.61156428568</v>
      </c>
      <c r="CH349" s="1">
        <f t="shared" si="1170"/>
        <v>8.3571428571429</v>
      </c>
      <c r="CJ349" s="45">
        <f t="shared" si="1171"/>
        <v>465.999999999991</v>
      </c>
      <c r="CK349" s="5">
        <f t="shared" si="1172"/>
        <v>1950.62939999996</v>
      </c>
    </row>
    <row r="350" ht="17.0" customFormat="1" s="80">
      <c r="A350" s="1" t="s">
        <v>30</v>
      </c>
      <c r="B350" s="1" t="s">
        <v>138</v>
      </c>
      <c r="C350" s="1" t="s">
        <v>744</v>
      </c>
      <c r="D350" s="2" t="s">
        <v>745</v>
      </c>
      <c r="E350" s="1"/>
      <c r="F350" s="1"/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1">
        <v>0.0</v>
      </c>
      <c r="AN350" s="1">
        <v>0.0</v>
      </c>
      <c r="AO350" s="1">
        <v>3.0</v>
      </c>
      <c r="AP350" s="43">
        <v>0.0</v>
      </c>
      <c r="AQ350" s="43">
        <v>1.0</v>
      </c>
      <c r="AR350" s="43">
        <v>0.0</v>
      </c>
      <c r="AS350" s="43">
        <v>0.0</v>
      </c>
      <c r="AT350" s="4">
        <f t="shared" si="4"/>
        <v>4.0</v>
      </c>
      <c r="AU350" s="4">
        <f t="shared" ref="AU350:AU386" si="1180">SUM(AN350:AS350)</f>
        <v>4.0</v>
      </c>
      <c r="AV350" s="4">
        <f t="shared" si="6"/>
        <v>4.4</v>
      </c>
      <c r="AW350" s="79">
        <f>AV350*$AW$4/$AV$3</f>
        <v>0.358620689655172</v>
      </c>
      <c r="AX350" s="1">
        <f>AV350*$AX$4/$AV$3</f>
        <v>0.448275862068965</v>
      </c>
      <c r="AY350" s="1">
        <f>AV350*$AY$4/$AV$3</f>
        <v>0.482758620689655</v>
      </c>
      <c r="AZ350" s="1">
        <f>AV350*$AZ$4/$AV$3</f>
        <v>0.668965517241379</v>
      </c>
      <c r="BA350" s="1">
        <f>AV350*$BA$4/$AV$3</f>
        <v>0.317241379310344</v>
      </c>
      <c r="BB350" s="1">
        <f>AV350*$BB$4/$AV$3</f>
        <v>0.620689655172413</v>
      </c>
      <c r="BC350" s="4">
        <f t="shared" si="728"/>
        <v>2.89655172413792</v>
      </c>
      <c r="BD350" s="3">
        <f>VLOOKUP(D350,FEB23SOH,2,false)</f>
        <v>2.0</v>
      </c>
      <c r="BE350" s="44">
        <f>VLOOKUP(D350,UNITVALUE,4,false)</f>
        <v>80.75</v>
      </c>
      <c r="BF350" s="44">
        <f t="shared" si="941"/>
        <v>161.5</v>
      </c>
      <c r="BG350" s="1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</row>
    <row r="351" ht="17.0" outlineLevel="1" customFormat="1" s="80">
      <c r="A351" s="1" t="s">
        <v>30</v>
      </c>
      <c r="B351" s="78" t="s">
        <v>138</v>
      </c>
      <c r="C351" s="1" t="s">
        <v>746</v>
      </c>
      <c r="D351" s="2" t="s">
        <v>747</v>
      </c>
      <c r="E351" s="1"/>
      <c r="F351" s="1"/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1.0</v>
      </c>
      <c r="AO351" s="1">
        <v>1.0</v>
      </c>
      <c r="AP351" s="43">
        <v>1.0</v>
      </c>
      <c r="AQ351" s="43">
        <v>2.0</v>
      </c>
      <c r="AR351" s="43">
        <v>0.0</v>
      </c>
      <c r="AS351" s="43">
        <v>0.0</v>
      </c>
      <c r="AT351" s="4">
        <f t="shared" si="4"/>
        <v>5.0</v>
      </c>
      <c r="AU351" s="4">
        <f t="shared" si="1180"/>
        <v>5.0</v>
      </c>
      <c r="AV351" s="4">
        <f t="shared" si="6"/>
        <v>5.5</v>
      </c>
      <c r="AW351" s="81">
        <f t="shared" ref="AW351:AW356" si="1187">AVERAGE(AN351:AR351)</f>
        <v>1.0</v>
      </c>
      <c r="AX351" s="45">
        <f t="shared" ref="AX351:AX356" si="1188">AW351</f>
        <v>1.0</v>
      </c>
      <c r="AY351" s="45">
        <f t="shared" ref="AY351:AY356" si="1189">AX351</f>
        <v>1.0</v>
      </c>
      <c r="AZ351" s="45">
        <f t="shared" ref="AZ351:AZ356" si="1190">AY351</f>
        <v>1.0</v>
      </c>
      <c r="BA351" s="45">
        <f t="shared" ref="BA351:BA356" si="1191">AZ351</f>
        <v>1.0</v>
      </c>
      <c r="BB351" s="45">
        <f t="shared" ref="BB351:BB356" si="1192">BA351</f>
        <v>1.0</v>
      </c>
      <c r="BC351" s="4">
        <f t="shared" si="728"/>
        <v>6.0</v>
      </c>
      <c r="BD351" s="3">
        <f>VLOOKUP(D351,FEB23SOH,2,false)</f>
        <v>0.0</v>
      </c>
      <c r="BE351" s="44">
        <f>VLOOKUP(D351,UNITVALUE,4,false)</f>
      </c>
      <c r="BF351" s="44">
        <f t="shared" si="941"/>
        <v>0.0</v>
      </c>
      <c r="BG351" s="1"/>
      <c r="BH351" s="6"/>
      <c r="BI351" s="6">
        <f t="shared" ref="BI351:BI356" si="1193">BD351+BG351+BH351-BC351</f>
        <v>-6.0</v>
      </c>
      <c r="BJ351" s="1"/>
      <c r="BK351" s="72" t="s">
        <v>509</v>
      </c>
      <c r="BL351" s="8" t="s">
        <v>68</v>
      </c>
      <c r="BM351" s="1">
        <f t="shared" ref="BM351:BM356" si="1194">BD351</f>
        <v>0.0</v>
      </c>
      <c r="BN351" s="1">
        <f t="shared" ref="BN351:BN356" si="1195">AW351</f>
        <v>1.0</v>
      </c>
      <c r="BO351" s="1"/>
      <c r="BP351" s="45">
        <f t="shared" ref="BP351:BP356" si="1196">BM351+BO351-BN351</f>
        <v>-1.0</v>
      </c>
      <c r="BQ351" s="5">
        <f t="shared" ref="BQ351:BQ356" si="1197">BP351*BE351</f>
        <v>0.0</v>
      </c>
      <c r="BR351" s="1">
        <f t="shared" ref="BR351:BR356" si="1198">AX351</f>
        <v>1.0</v>
      </c>
      <c r="BS351" s="1">
        <f t="shared" ref="BS351:BS356" si="1199">BG351</f>
      </c>
      <c r="BT351" s="45">
        <f t="shared" ref="BT351:BT356" si="1200">BP351+BS351-BR351</f>
        <v>-2.0</v>
      </c>
      <c r="BU351" s="5">
        <f t="shared" ref="BU351:BU356" si="1201">BT351*BE351</f>
        <v>0.0</v>
      </c>
      <c r="BV351" s="1">
        <f t="shared" ref="BV351:BV356" si="1202">AY351</f>
        <v>1.0</v>
      </c>
      <c r="BW351" s="1">
        <f t="shared" ref="BW351:BW356" si="1203">BG351</f>
      </c>
      <c r="BX351" s="45">
        <f t="shared" ref="BX351:BX356" si="1204">BT351+BW351-BV351</f>
        <v>-3.0</v>
      </c>
      <c r="BY351" s="5">
        <f t="shared" ref="BY351:BY356" si="1205">BX351*BE351</f>
        <v>0.0</v>
      </c>
      <c r="BZ351" s="1">
        <f t="shared" ref="BZ351:BZ356" si="1206">AZ351</f>
        <v>1.0</v>
      </c>
      <c r="CA351" s="1"/>
      <c r="CB351" s="45">
        <f t="shared" ref="CB351:CB356" si="1207">BX351+CA351-BZ351</f>
        <v>-4.0</v>
      </c>
      <c r="CC351" s="5">
        <f t="shared" ref="CC351:CC356" si="1208">CB351*BE351</f>
        <v>0.0</v>
      </c>
      <c r="CD351" s="1">
        <f t="shared" ref="CD351:CD356" si="1209">BA351</f>
        <v>1.0</v>
      </c>
      <c r="CE351" s="1"/>
      <c r="CF351" s="45">
        <f t="shared" ref="CF351:CF356" si="1210">CB351+CE351-CD351</f>
        <v>-5.0</v>
      </c>
      <c r="CG351" s="5">
        <f t="shared" ref="CG351:CG356" si="1211">CF351*BE351</f>
        <v>0.0</v>
      </c>
      <c r="CH351" s="1">
        <f t="shared" ref="CH351:CH356" si="1212">BB351</f>
        <v>1.0</v>
      </c>
      <c r="CI351" s="1"/>
      <c r="CJ351" s="45">
        <f t="shared" ref="CJ351:CJ356" si="1213">CF351+CI351-CH351</f>
        <v>-6.0</v>
      </c>
      <c r="CK351" s="5">
        <f t="shared" ref="CK351:CK356" si="1214">CJ351*BE351</f>
        <v>0.0</v>
      </c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</row>
    <row r="352" ht="14.0" customFormat="1" s="80">
      <c r="A352" s="1" t="s">
        <v>30</v>
      </c>
      <c r="B352" s="78" t="s">
        <v>138</v>
      </c>
      <c r="C352" s="1" t="s">
        <v>748</v>
      </c>
      <c r="D352" s="2" t="s">
        <v>749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H352" s="1"/>
      <c r="AI352" s="1"/>
      <c r="AJ352" s="1"/>
      <c r="AK352" s="1"/>
      <c r="AL352" s="1"/>
      <c r="AM352" s="1"/>
      <c r="AN352" s="1"/>
      <c r="AO352" s="1">
        <v>0.0</v>
      </c>
      <c r="AP352" s="1">
        <v>1.0</v>
      </c>
      <c r="AQ352" s="1">
        <v>0.0</v>
      </c>
      <c r="AR352" s="1">
        <v>0.0</v>
      </c>
      <c r="AS352" s="1">
        <v>0.0</v>
      </c>
      <c r="AT352" s="4">
        <f t="shared" si="4"/>
        <v>1.0</v>
      </c>
      <c r="AU352" s="4">
        <f t="shared" si="1180"/>
        <v>1.0</v>
      </c>
      <c r="AV352" s="4">
        <f t="shared" si="6"/>
        <v>1.1</v>
      </c>
      <c r="AW352" s="81">
        <f t="shared" si="1187"/>
        <v>0.25</v>
      </c>
      <c r="AX352" s="45">
        <f t="shared" si="1188"/>
        <v>0.25</v>
      </c>
      <c r="AY352" s="45">
        <f t="shared" si="1189"/>
        <v>0.25</v>
      </c>
      <c r="AZ352" s="45">
        <f t="shared" si="1190"/>
        <v>0.25</v>
      </c>
      <c r="BA352" s="45">
        <f t="shared" si="1191"/>
        <v>0.25</v>
      </c>
      <c r="BB352" s="45">
        <f t="shared" si="1192"/>
        <v>0.25</v>
      </c>
      <c r="BC352" s="4">
        <f t="shared" si="728"/>
        <v>1.5</v>
      </c>
      <c r="BD352" s="3">
        <f>VLOOKUP(D352,FEB23SOH,2,false)</f>
        <v>0.0</v>
      </c>
      <c r="BE352" s="44">
        <f>VLOOKUP(D352,UNITVALUE,4,false)</f>
      </c>
      <c r="BF352" s="44">
        <f t="shared" si="941"/>
        <v>0.0</v>
      </c>
      <c r="BG352" s="1"/>
      <c r="BH352" s="6"/>
      <c r="BI352" s="6">
        <f t="shared" si="1193"/>
        <v>-1.5</v>
      </c>
      <c r="BJ352" s="1"/>
      <c r="BK352" s="72" t="s">
        <v>509</v>
      </c>
      <c r="BL352" s="8" t="s">
        <v>68</v>
      </c>
      <c r="BM352" s="1">
        <f t="shared" si="1194"/>
        <v>0.0</v>
      </c>
      <c r="BN352" s="1">
        <f t="shared" si="1195"/>
        <v>0.25</v>
      </c>
      <c r="BO352" s="1"/>
      <c r="BP352" s="45">
        <f t="shared" si="1196"/>
        <v>-0.25</v>
      </c>
      <c r="BQ352" s="5">
        <f t="shared" si="1197"/>
        <v>0.0</v>
      </c>
      <c r="BR352" s="1">
        <f t="shared" si="1198"/>
        <v>0.25</v>
      </c>
      <c r="BS352" s="1">
        <f t="shared" si="1199"/>
      </c>
      <c r="BT352" s="45">
        <f t="shared" si="1200"/>
        <v>-0.5</v>
      </c>
      <c r="BU352" s="5">
        <f t="shared" si="1201"/>
        <v>0.0</v>
      </c>
      <c r="BV352" s="1">
        <f t="shared" si="1202"/>
        <v>0.25</v>
      </c>
      <c r="BW352" s="1">
        <f t="shared" si="1203"/>
      </c>
      <c r="BX352" s="45">
        <f t="shared" si="1204"/>
        <v>-0.75</v>
      </c>
      <c r="BY352" s="5">
        <f t="shared" si="1205"/>
        <v>0.0</v>
      </c>
      <c r="BZ352" s="1">
        <f t="shared" si="1206"/>
        <v>0.25</v>
      </c>
      <c r="CA352" s="1"/>
      <c r="CB352" s="45">
        <f t="shared" si="1207"/>
        <v>-1.0</v>
      </c>
      <c r="CC352" s="5">
        <f t="shared" si="1208"/>
        <v>0.0</v>
      </c>
      <c r="CD352" s="1">
        <f t="shared" si="1209"/>
        <v>0.25</v>
      </c>
      <c r="CE352" s="1"/>
      <c r="CF352" s="45">
        <f t="shared" si="1210"/>
        <v>-1.25</v>
      </c>
      <c r="CG352" s="5">
        <f t="shared" si="1211"/>
        <v>0.0</v>
      </c>
      <c r="CH352" s="1">
        <f t="shared" si="1212"/>
        <v>0.25</v>
      </c>
      <c r="CI352" s="1"/>
      <c r="CJ352" s="45">
        <f t="shared" si="1213"/>
        <v>-1.5</v>
      </c>
      <c r="CK352" s="5">
        <f t="shared" si="1214"/>
        <v>0.0</v>
      </c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</row>
    <row r="353" customHeight="1" ht="13.0" customFormat="1" s="80">
      <c r="A353" s="1" t="s">
        <v>30</v>
      </c>
      <c r="B353" s="78" t="s">
        <v>138</v>
      </c>
      <c r="C353" s="1" t="s">
        <v>750</v>
      </c>
      <c r="D353" s="2" t="s">
        <v>751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>
        <v>2.0</v>
      </c>
      <c r="AR353" s="1">
        <v>0.0</v>
      </c>
      <c r="AS353" s="1">
        <v>0.0</v>
      </c>
      <c r="AT353" s="4">
        <f t="shared" si="4"/>
        <v>2.0</v>
      </c>
      <c r="AU353" s="4">
        <f t="shared" si="1180"/>
        <v>2.0</v>
      </c>
      <c r="AV353" s="4">
        <f t="shared" si="6"/>
        <v>2.2</v>
      </c>
      <c r="AW353" s="81">
        <f t="shared" si="1187"/>
        <v>1.0</v>
      </c>
      <c r="AX353" s="45">
        <f t="shared" si="1188"/>
        <v>1.0</v>
      </c>
      <c r="AY353" s="45">
        <f t="shared" si="1189"/>
        <v>1.0</v>
      </c>
      <c r="AZ353" s="45">
        <f t="shared" si="1190"/>
        <v>1.0</v>
      </c>
      <c r="BA353" s="45">
        <f t="shared" si="1191"/>
        <v>1.0</v>
      </c>
      <c r="BB353" s="45">
        <f t="shared" si="1192"/>
        <v>1.0</v>
      </c>
      <c r="BC353" s="4">
        <f t="shared" si="728"/>
        <v>6.0</v>
      </c>
      <c r="BD353" s="3">
        <f>VLOOKUP(D353,FEB23SOH,2,false)</f>
        <v>1.0</v>
      </c>
      <c r="BE353" s="44">
        <f>VLOOKUP(D353,UNITVALUE,4,false)</f>
        <v>1.22</v>
      </c>
      <c r="BF353" s="44">
        <f t="shared" si="941"/>
        <v>1.22</v>
      </c>
      <c r="BG353" s="1"/>
      <c r="BH353" s="6"/>
      <c r="BI353" s="6">
        <f t="shared" si="1193"/>
        <v>-5.0</v>
      </c>
      <c r="BJ353" s="1"/>
      <c r="BK353" s="72" t="s">
        <v>509</v>
      </c>
      <c r="BL353" s="8" t="s">
        <v>6</v>
      </c>
      <c r="BM353" s="1">
        <f t="shared" si="1194"/>
        <v>1.0</v>
      </c>
      <c r="BN353" s="1">
        <f t="shared" si="1195"/>
        <v>1.0</v>
      </c>
      <c r="BO353" s="1"/>
      <c r="BP353" s="45">
        <f t="shared" si="1196"/>
        <v>0.0</v>
      </c>
      <c r="BQ353" s="5">
        <f t="shared" si="1197"/>
        <v>0.0</v>
      </c>
      <c r="BR353" s="1">
        <f t="shared" si="1198"/>
        <v>1.0</v>
      </c>
      <c r="BS353" s="1">
        <f t="shared" si="1199"/>
      </c>
      <c r="BT353" s="45">
        <f t="shared" si="1200"/>
        <v>-1.0</v>
      </c>
      <c r="BU353" s="5">
        <f t="shared" si="1201"/>
        <v>-1.22</v>
      </c>
      <c r="BV353" s="1">
        <f t="shared" si="1202"/>
        <v>1.0</v>
      </c>
      <c r="BW353" s="1">
        <f t="shared" si="1203"/>
      </c>
      <c r="BX353" s="45">
        <f t="shared" si="1204"/>
        <v>-2.0</v>
      </c>
      <c r="BY353" s="5">
        <f t="shared" si="1205"/>
        <v>-2.44</v>
      </c>
      <c r="BZ353" s="1">
        <f t="shared" si="1206"/>
        <v>1.0</v>
      </c>
      <c r="CA353" s="1"/>
      <c r="CB353" s="45">
        <f t="shared" si="1207"/>
        <v>-3.0</v>
      </c>
      <c r="CC353" s="5">
        <f t="shared" si="1208"/>
        <v>-3.66</v>
      </c>
      <c r="CD353" s="1">
        <f t="shared" si="1209"/>
        <v>1.0</v>
      </c>
      <c r="CE353" s="1"/>
      <c r="CF353" s="45">
        <f t="shared" si="1210"/>
        <v>-4.0</v>
      </c>
      <c r="CG353" s="5">
        <f t="shared" si="1211"/>
        <v>-4.88</v>
      </c>
      <c r="CH353" s="1">
        <f t="shared" si="1212"/>
        <v>1.0</v>
      </c>
      <c r="CI353" s="1"/>
      <c r="CJ353" s="45">
        <f t="shared" si="1213"/>
        <v>-5.0</v>
      </c>
      <c r="CK353" s="5">
        <f t="shared" si="1214"/>
        <v>-6.1</v>
      </c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</row>
    <row r="354" ht="17.0" outlineLevel="1" customFormat="1" s="80">
      <c r="A354" s="1" t="s">
        <v>30</v>
      </c>
      <c r="B354" s="78" t="s">
        <v>138</v>
      </c>
      <c r="C354" s="1" t="s">
        <v>752</v>
      </c>
      <c r="D354" s="2" t="s">
        <v>753</v>
      </c>
      <c r="E354" s="1"/>
      <c r="F354" s="1"/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  <c r="AO354" s="1">
        <v>1.0</v>
      </c>
      <c r="AP354" s="43">
        <v>2.0</v>
      </c>
      <c r="AQ354" s="43">
        <v>2.0</v>
      </c>
      <c r="AR354" s="43">
        <v>0.0</v>
      </c>
      <c r="AS354" s="43">
        <v>1.0</v>
      </c>
      <c r="AT354" s="4">
        <f t="shared" si="4"/>
        <v>6.0</v>
      </c>
      <c r="AU354" s="4">
        <f t="shared" si="1180"/>
        <v>6.0</v>
      </c>
      <c r="AV354" s="4">
        <f t="shared" si="6"/>
        <v>6.6</v>
      </c>
      <c r="AW354" s="81">
        <f t="shared" si="1187"/>
        <v>1.0</v>
      </c>
      <c r="AX354" s="45">
        <f t="shared" si="1188"/>
        <v>1.0</v>
      </c>
      <c r="AY354" s="45">
        <f t="shared" si="1189"/>
        <v>1.0</v>
      </c>
      <c r="AZ354" s="45">
        <f t="shared" si="1190"/>
        <v>1.0</v>
      </c>
      <c r="BA354" s="45">
        <f t="shared" si="1191"/>
        <v>1.0</v>
      </c>
      <c r="BB354" s="45">
        <f t="shared" si="1192"/>
        <v>1.0</v>
      </c>
      <c r="BC354" s="4">
        <f t="shared" si="728"/>
        <v>6.0</v>
      </c>
      <c r="BD354" s="3">
        <f>VLOOKUP(D354,FEB23SOH,2,false)</f>
        <v>2.0</v>
      </c>
      <c r="BE354" s="44">
        <f>VLOOKUP(D354,UNITVALUE,4,false)</f>
        <v>1.22</v>
      </c>
      <c r="BF354" s="44">
        <f t="shared" si="941"/>
        <v>2.44</v>
      </c>
      <c r="BG354" s="1"/>
      <c r="BH354" s="6"/>
      <c r="BI354" s="6">
        <f t="shared" si="1193"/>
        <v>-4.0</v>
      </c>
      <c r="BJ354" s="1"/>
      <c r="BK354" s="72" t="s">
        <v>509</v>
      </c>
      <c r="BL354" s="8" t="s">
        <v>7</v>
      </c>
      <c r="BM354" s="1">
        <f t="shared" si="1194"/>
        <v>2.0</v>
      </c>
      <c r="BN354" s="1">
        <f t="shared" si="1195"/>
        <v>1.0</v>
      </c>
      <c r="BO354" s="1"/>
      <c r="BP354" s="45">
        <f t="shared" si="1196"/>
        <v>1.0</v>
      </c>
      <c r="BQ354" s="5">
        <f t="shared" si="1197"/>
        <v>1.22</v>
      </c>
      <c r="BR354" s="1">
        <f t="shared" si="1198"/>
        <v>1.0</v>
      </c>
      <c r="BS354" s="1">
        <f t="shared" si="1199"/>
      </c>
      <c r="BT354" s="45">
        <f t="shared" si="1200"/>
        <v>0.0</v>
      </c>
      <c r="BU354" s="5">
        <f t="shared" si="1201"/>
        <v>0.0</v>
      </c>
      <c r="BV354" s="1">
        <f t="shared" si="1202"/>
        <v>1.0</v>
      </c>
      <c r="BW354" s="1">
        <f t="shared" si="1203"/>
      </c>
      <c r="BX354" s="45">
        <f t="shared" si="1204"/>
        <v>-1.0</v>
      </c>
      <c r="BY354" s="5">
        <f t="shared" si="1205"/>
        <v>-1.22</v>
      </c>
      <c r="BZ354" s="1">
        <f t="shared" si="1206"/>
        <v>1.0</v>
      </c>
      <c r="CA354" s="1"/>
      <c r="CB354" s="45">
        <f t="shared" si="1207"/>
        <v>-2.0</v>
      </c>
      <c r="CC354" s="5">
        <f t="shared" si="1208"/>
        <v>-2.44</v>
      </c>
      <c r="CD354" s="1">
        <f t="shared" si="1209"/>
        <v>1.0</v>
      </c>
      <c r="CE354" s="1"/>
      <c r="CF354" s="45">
        <f t="shared" si="1210"/>
        <v>-3.0</v>
      </c>
      <c r="CG354" s="5">
        <f t="shared" si="1211"/>
        <v>-3.66</v>
      </c>
      <c r="CH354" s="1">
        <f t="shared" si="1212"/>
        <v>1.0</v>
      </c>
      <c r="CI354" s="1"/>
      <c r="CJ354" s="45">
        <f t="shared" si="1213"/>
        <v>-4.0</v>
      </c>
      <c r="CK354" s="5">
        <f t="shared" si="1214"/>
        <v>-4.88</v>
      </c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</row>
    <row r="355" ht="17.0" outlineLevel="1" customFormat="1" s="80">
      <c r="A355" s="1" t="s">
        <v>30</v>
      </c>
      <c r="B355" s="78" t="s">
        <v>138</v>
      </c>
      <c r="C355" s="1" t="s">
        <v>754</v>
      </c>
      <c r="D355" s="2" t="s">
        <v>755</v>
      </c>
      <c r="E355" s="1"/>
      <c r="F355" s="1"/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  <c r="AO355" s="1">
        <v>1.0</v>
      </c>
      <c r="AP355" s="43">
        <v>2.0</v>
      </c>
      <c r="AQ355" s="43">
        <v>0.0</v>
      </c>
      <c r="AR355" s="43">
        <v>0.0</v>
      </c>
      <c r="AS355" s="43">
        <v>1.0</v>
      </c>
      <c r="AT355" s="4">
        <f t="shared" si="4"/>
        <v>4.0</v>
      </c>
      <c r="AU355" s="4">
        <f t="shared" si="1180"/>
        <v>4.0</v>
      </c>
      <c r="AV355" s="4">
        <f t="shared" si="6"/>
        <v>4.4</v>
      </c>
      <c r="AW355" s="81">
        <f t="shared" si="1187"/>
        <v>0.6</v>
      </c>
      <c r="AX355" s="45">
        <f t="shared" si="1188"/>
        <v>0.6</v>
      </c>
      <c r="AY355" s="45">
        <f t="shared" si="1189"/>
        <v>0.6</v>
      </c>
      <c r="AZ355" s="45">
        <f t="shared" si="1190"/>
        <v>0.6</v>
      </c>
      <c r="BA355" s="45">
        <f t="shared" si="1191"/>
        <v>0.6</v>
      </c>
      <c r="BB355" s="45">
        <f t="shared" si="1192"/>
        <v>0.6</v>
      </c>
      <c r="BC355" s="4">
        <f t="shared" si="728"/>
        <v>3.6</v>
      </c>
      <c r="BD355" s="3">
        <f>VLOOKUP(D355,FEB23SOH,2,false)</f>
        <v>2.0</v>
      </c>
      <c r="BE355" s="44">
        <f>VLOOKUP(D355,UNITVALUE,4,false)</f>
        <v>1.22</v>
      </c>
      <c r="BF355" s="44">
        <f t="shared" si="941"/>
        <v>2.44</v>
      </c>
      <c r="BG355" s="1"/>
      <c r="BH355" s="6"/>
      <c r="BI355" s="6">
        <f t="shared" si="1193"/>
        <v>-1.6</v>
      </c>
      <c r="BJ355" s="1"/>
      <c r="BK355" s="72" t="s">
        <v>509</v>
      </c>
      <c r="BL355" s="8" t="s">
        <v>8</v>
      </c>
      <c r="BM355" s="1">
        <f t="shared" si="1194"/>
        <v>2.0</v>
      </c>
      <c r="BN355" s="1">
        <f t="shared" si="1195"/>
        <v>0.6</v>
      </c>
      <c r="BO355" s="1"/>
      <c r="BP355" s="45">
        <f t="shared" si="1196"/>
        <v>1.4</v>
      </c>
      <c r="BQ355" s="5">
        <f t="shared" si="1197"/>
        <v>1.708</v>
      </c>
      <c r="BR355" s="1">
        <f t="shared" si="1198"/>
        <v>0.6</v>
      </c>
      <c r="BS355" s="1">
        <f t="shared" si="1199"/>
      </c>
      <c r="BT355" s="45">
        <f t="shared" si="1200"/>
        <v>0.8</v>
      </c>
      <c r="BU355" s="5">
        <f t="shared" si="1201"/>
        <v>0.976</v>
      </c>
      <c r="BV355" s="1">
        <f t="shared" si="1202"/>
        <v>0.6</v>
      </c>
      <c r="BW355" s="1">
        <f t="shared" si="1203"/>
      </c>
      <c r="BX355" s="45">
        <f t="shared" si="1204"/>
        <v>0.2</v>
      </c>
      <c r="BY355" s="5">
        <f t="shared" si="1205"/>
        <v>0.244</v>
      </c>
      <c r="BZ355" s="1">
        <f t="shared" si="1206"/>
        <v>0.6</v>
      </c>
      <c r="CA355" s="1"/>
      <c r="CB355" s="45">
        <f t="shared" si="1207"/>
        <v>-0.399999999999998</v>
      </c>
      <c r="CC355" s="5">
        <f t="shared" si="1208"/>
        <v>-0.487999999999996</v>
      </c>
      <c r="CD355" s="1">
        <f t="shared" si="1209"/>
        <v>0.6</v>
      </c>
      <c r="CE355" s="1"/>
      <c r="CF355" s="45">
        <f t="shared" si="1210"/>
        <v>-0.999999999999998</v>
      </c>
      <c r="CG355" s="5">
        <f t="shared" si="1211"/>
        <v>-1.21999999999998</v>
      </c>
      <c r="CH355" s="1">
        <f t="shared" si="1212"/>
        <v>0.6</v>
      </c>
      <c r="CI355" s="1"/>
      <c r="CJ355" s="45">
        <f t="shared" si="1213"/>
        <v>-1.59999999999998</v>
      </c>
      <c r="CK355" s="5">
        <f t="shared" si="1214"/>
        <v>-1.95199999999996</v>
      </c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</row>
    <row r="356" ht="17.0" outlineLevel="1" customFormat="1" s="80">
      <c r="A356" s="1" t="s">
        <v>30</v>
      </c>
      <c r="B356" s="78" t="s">
        <v>138</v>
      </c>
      <c r="C356" s="1" t="s">
        <v>756</v>
      </c>
      <c r="D356" s="2" t="s">
        <v>757</v>
      </c>
      <c r="E356" s="1"/>
      <c r="F356" s="1"/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  <c r="AO356" s="1">
        <v>1.0</v>
      </c>
      <c r="AP356" s="43">
        <v>2.0</v>
      </c>
      <c r="AQ356" s="43">
        <v>1.0</v>
      </c>
      <c r="AR356" s="43">
        <v>0.0</v>
      </c>
      <c r="AS356" s="43">
        <v>1.0</v>
      </c>
      <c r="AT356" s="4">
        <f t="shared" si="4"/>
        <v>5.0</v>
      </c>
      <c r="AU356" s="4">
        <f t="shared" si="1180"/>
        <v>5.0</v>
      </c>
      <c r="AV356" s="4">
        <f t="shared" si="6"/>
        <v>5.5</v>
      </c>
      <c r="AW356" s="81">
        <f t="shared" si="1187"/>
        <v>0.8</v>
      </c>
      <c r="AX356" s="45">
        <f t="shared" si="1188"/>
        <v>0.8</v>
      </c>
      <c r="AY356" s="45">
        <f t="shared" si="1189"/>
        <v>0.8</v>
      </c>
      <c r="AZ356" s="45">
        <f t="shared" si="1190"/>
        <v>0.8</v>
      </c>
      <c r="BA356" s="45">
        <f t="shared" si="1191"/>
        <v>0.8</v>
      </c>
      <c r="BB356" s="45">
        <f t="shared" si="1192"/>
        <v>0.8</v>
      </c>
      <c r="BC356" s="4">
        <f t="shared" si="728"/>
        <v>4.8</v>
      </c>
      <c r="BD356" s="3">
        <f>VLOOKUP(D356,FEB23SOH,2,false)</f>
        <v>1.0</v>
      </c>
      <c r="BE356" s="44">
        <f>VLOOKUP(D356,UNITVALUE,4,false)</f>
        <v>1.22</v>
      </c>
      <c r="BF356" s="44">
        <f t="shared" si="941"/>
        <v>1.22</v>
      </c>
      <c r="BG356" s="1"/>
      <c r="BH356" s="6"/>
      <c r="BI356" s="6">
        <f t="shared" si="1193"/>
        <v>-3.8</v>
      </c>
      <c r="BJ356" s="1"/>
      <c r="BK356" s="72" t="s">
        <v>509</v>
      </c>
      <c r="BL356" s="8" t="s">
        <v>6</v>
      </c>
      <c r="BM356" s="1">
        <f t="shared" si="1194"/>
        <v>1.0</v>
      </c>
      <c r="BN356" s="1">
        <f t="shared" si="1195"/>
        <v>0.8</v>
      </c>
      <c r="BO356" s="1"/>
      <c r="BP356" s="45">
        <f t="shared" si="1196"/>
        <v>0.2</v>
      </c>
      <c r="BQ356" s="5">
        <f t="shared" si="1197"/>
        <v>0.244</v>
      </c>
      <c r="BR356" s="1">
        <f t="shared" si="1198"/>
        <v>0.8</v>
      </c>
      <c r="BS356" s="1">
        <f t="shared" si="1199"/>
      </c>
      <c r="BT356" s="45">
        <f t="shared" si="1200"/>
        <v>-0.6</v>
      </c>
      <c r="BU356" s="5">
        <f t="shared" si="1201"/>
        <v>-0.732</v>
      </c>
      <c r="BV356" s="1">
        <f t="shared" si="1202"/>
        <v>0.8</v>
      </c>
      <c r="BW356" s="1">
        <f t="shared" si="1203"/>
      </c>
      <c r="BX356" s="45">
        <f t="shared" si="1204"/>
        <v>-1.4</v>
      </c>
      <c r="BY356" s="5">
        <f t="shared" si="1205"/>
        <v>-1.708</v>
      </c>
      <c r="BZ356" s="1">
        <f t="shared" si="1206"/>
        <v>0.8</v>
      </c>
      <c r="CA356" s="1"/>
      <c r="CB356" s="45">
        <f t="shared" si="1207"/>
        <v>-2.2</v>
      </c>
      <c r="CC356" s="5">
        <f t="shared" si="1208"/>
        <v>-2.684</v>
      </c>
      <c r="CD356" s="1">
        <f t="shared" si="1209"/>
        <v>0.8</v>
      </c>
      <c r="CE356" s="1"/>
      <c r="CF356" s="45">
        <f t="shared" si="1210"/>
        <v>-3.0</v>
      </c>
      <c r="CG356" s="5">
        <f t="shared" si="1211"/>
        <v>-3.66</v>
      </c>
      <c r="CH356" s="1">
        <f t="shared" si="1212"/>
        <v>0.8</v>
      </c>
      <c r="CI356" s="1"/>
      <c r="CJ356" s="45">
        <f t="shared" si="1213"/>
        <v>-3.8</v>
      </c>
      <c r="CK356" s="5">
        <f t="shared" si="1214"/>
        <v>-4.636</v>
      </c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</row>
    <row r="357" ht="17.0" outlineLevel="1">
      <c r="A357" s="1" t="s">
        <v>30</v>
      </c>
      <c r="B357" s="82" t="s">
        <v>758</v>
      </c>
      <c r="C357" s="1" t="s">
        <v>759</v>
      </c>
      <c r="D357" s="2" t="s">
        <v>760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0.0</v>
      </c>
      <c r="AP357" s="43">
        <v>1.0</v>
      </c>
      <c r="AQ357" s="43">
        <v>0.0</v>
      </c>
      <c r="AR357" s="43">
        <v>0.0</v>
      </c>
      <c r="AS357" s="43">
        <v>1.0</v>
      </c>
      <c r="AT357" s="4">
        <f t="shared" si="4"/>
        <v>2.0</v>
      </c>
      <c r="AU357" s="4">
        <f t="shared" si="1180"/>
        <v>2.0</v>
      </c>
      <c r="AV357" s="4">
        <f t="shared" si="6"/>
        <v>2.2</v>
      </c>
      <c r="AW357" s="79">
        <f t="shared" ref="AW357:AW362" si="1215">AV357*$AW$4/$AV$3</f>
        <v>0.179310344827586</v>
      </c>
      <c r="AX357" s="1">
        <f t="shared" ref="AX357:AX362" si="1216">AV357*$AX$4/$AV$3</f>
        <v>0.224137931034482</v>
      </c>
      <c r="AY357" s="1">
        <f t="shared" ref="AY357:AY362" si="1217">AV357*$AY$4/$AV$3</f>
        <v>0.241379310344828</v>
      </c>
      <c r="AZ357" s="1">
        <f t="shared" ref="AZ357:AZ362" si="1218">AV357*$AZ$4/$AV$3</f>
        <v>0.33448275862069</v>
      </c>
      <c r="BA357" s="1">
        <f t="shared" ref="BA357:BA359" si="1219">AV357*$BA$4/$AV$3</f>
        <v>0.158620689655172</v>
      </c>
      <c r="BB357" s="1">
        <f t="shared" ref="BB357:BB359" si="1220">AV357*$BB$4/$AV$3</f>
        <v>0.310344827586207</v>
      </c>
      <c r="BC357" s="4">
        <f t="shared" si="728"/>
        <v>1.44827586206897</v>
      </c>
      <c r="BD357" s="3">
        <f>VLOOKUP(D357,FEB23SOH,2,false)</f>
        <v>1.0</v>
      </c>
      <c r="BE357" s="44">
        <f>VLOOKUP(D357,UNITVALUE,4,false)</f>
        <v>104.84</v>
      </c>
      <c r="BF357" s="44">
        <f t="shared" si="941"/>
        <v>104.84</v>
      </c>
      <c r="BJ357" s="6"/>
      <c r="BU357" s="5"/>
      <c r="BY357" s="5"/>
      <c r="CB357" s="45"/>
      <c r="CC357" s="5"/>
      <c r="CF357" s="45"/>
      <c r="CG357" s="5"/>
      <c r="CJ357" s="45"/>
      <c r="CK357" s="5"/>
    </row>
    <row r="358" ht="17.0" outlineLevel="1" customFormat="1" s="80">
      <c r="A358" s="1" t="s">
        <v>30</v>
      </c>
      <c r="B358" s="82" t="s">
        <v>758</v>
      </c>
      <c r="C358" s="1" t="s">
        <v>761</v>
      </c>
      <c r="D358" s="2" t="s">
        <v>762</v>
      </c>
      <c r="E358" s="1"/>
      <c r="F358" s="1"/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1.0</v>
      </c>
      <c r="AP358" s="43">
        <v>0.0</v>
      </c>
      <c r="AQ358" s="43">
        <v>0.0</v>
      </c>
      <c r="AR358" s="43">
        <v>0.0</v>
      </c>
      <c r="AS358" s="43">
        <v>0.0</v>
      </c>
      <c r="AT358" s="4">
        <f t="shared" si="4"/>
        <v>1.0</v>
      </c>
      <c r="AU358" s="4">
        <f t="shared" si="1180"/>
        <v>1.0</v>
      </c>
      <c r="AV358" s="4">
        <f t="shared" si="6"/>
        <v>1.1</v>
      </c>
      <c r="AW358" s="79">
        <f t="shared" si="1215"/>
        <v>0.0896551724137931</v>
      </c>
      <c r="AX358" s="1">
        <f t="shared" si="1216"/>
        <v>0.112068965517241</v>
      </c>
      <c r="AY358" s="1">
        <f t="shared" si="1217"/>
        <v>0.120689655172413</v>
      </c>
      <c r="AZ358" s="1">
        <f t="shared" si="1218"/>
        <v>0.167241379310344</v>
      </c>
      <c r="BA358" s="1">
        <f t="shared" si="1219"/>
        <v>0.0793103448275862</v>
      </c>
      <c r="BB358" s="1">
        <f t="shared" si="1220"/>
        <v>0.155172413793103</v>
      </c>
      <c r="BC358" s="4">
        <f t="shared" si="728"/>
        <v>0.72413793103448</v>
      </c>
      <c r="BD358" s="3">
        <f>VLOOKUP(D358,FEB23SOH,2,false)</f>
        <v>2.0</v>
      </c>
      <c r="BE358" s="44">
        <f>VLOOKUP(D358,UNITVALUE,4,false)</f>
        <v>78.865</v>
      </c>
      <c r="BF358" s="44">
        <f t="shared" si="941"/>
        <v>157.73</v>
      </c>
      <c r="BG358" s="1"/>
      <c r="BH358" s="6"/>
      <c r="BI358" s="6">
        <f>BD358+BG358+BH358-BC358</f>
        <v>1.27586206896552</v>
      </c>
      <c r="BJ358" s="1"/>
      <c r="BK358" s="7"/>
      <c r="BL358" s="8"/>
      <c r="BM358" s="1"/>
      <c r="BN358" s="1"/>
      <c r="BO358" s="1"/>
      <c r="BP358" s="1"/>
      <c r="BQ358" s="5"/>
      <c r="BR358" s="1"/>
      <c r="BS358" s="1"/>
      <c r="BT358" s="1"/>
      <c r="BU358" s="5"/>
      <c r="BV358" s="1"/>
      <c r="BW358" s="1"/>
      <c r="BX358" s="1"/>
      <c r="BY358" s="5"/>
      <c r="BZ358" s="1"/>
      <c r="CA358" s="1"/>
      <c r="CB358" s="45"/>
      <c r="CC358" s="5"/>
      <c r="CD358" s="1"/>
      <c r="CE358" s="1"/>
      <c r="CF358" s="45"/>
      <c r="CG358" s="5"/>
      <c r="CH358" s="1"/>
      <c r="CI358" s="1"/>
      <c r="CJ358" s="45"/>
      <c r="CK358" s="5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</row>
    <row r="359" ht="17.0" outlineLevel="1" customFormat="1" s="80">
      <c r="A359" s="1" t="s">
        <v>30</v>
      </c>
      <c r="B359" s="82" t="s">
        <v>758</v>
      </c>
      <c r="C359" s="1" t="s">
        <v>763</v>
      </c>
      <c r="D359" s="2" t="s">
        <v>764</v>
      </c>
      <c r="E359" s="1"/>
      <c r="F359" s="1"/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3.0</v>
      </c>
      <c r="AP359" s="43">
        <v>1.0</v>
      </c>
      <c r="AQ359" s="43">
        <v>1.0</v>
      </c>
      <c r="AR359" s="43">
        <v>0.0</v>
      </c>
      <c r="AS359" s="43">
        <v>0.0</v>
      </c>
      <c r="AT359" s="4">
        <f t="shared" si="4"/>
        <v>5.0</v>
      </c>
      <c r="AU359" s="4">
        <f t="shared" si="1180"/>
        <v>5.0</v>
      </c>
      <c r="AV359" s="4">
        <f t="shared" si="6"/>
        <v>5.5</v>
      </c>
      <c r="AW359" s="79">
        <f t="shared" si="1215"/>
        <v>0.448275862068965</v>
      </c>
      <c r="AX359" s="1">
        <f t="shared" si="1216"/>
        <v>0.560344827586207</v>
      </c>
      <c r="AY359" s="1">
        <f t="shared" si="1217"/>
        <v>0.603448275862069</v>
      </c>
      <c r="AZ359" s="1">
        <f t="shared" si="1218"/>
        <v>0.836206896551724</v>
      </c>
      <c r="BA359" s="1">
        <f t="shared" si="1219"/>
        <v>0.396551724137931</v>
      </c>
      <c r="BB359" s="1">
        <f t="shared" si="1220"/>
        <v>0.775862068965517</v>
      </c>
      <c r="BC359" s="4">
        <f t="shared" si="728"/>
        <v>3.62068965517241</v>
      </c>
      <c r="BD359" s="3">
        <f>VLOOKUP(D359,FEB23SOH,2,false)</f>
        <v>0.0</v>
      </c>
      <c r="BE359" s="44">
        <f>VLOOKUP(D359,UNITVALUE,4,false)</f>
      </c>
      <c r="BF359" s="44">
        <f t="shared" si="941"/>
        <v>0.0</v>
      </c>
      <c r="BG359" s="1"/>
      <c r="BH359" s="6"/>
      <c r="BI359" s="6"/>
      <c r="BJ359" s="6"/>
      <c r="BK359" s="7"/>
      <c r="BL359" s="8"/>
      <c r="BM359" s="1"/>
      <c r="BN359" s="1"/>
      <c r="BO359" s="1"/>
      <c r="BP359" s="45"/>
      <c r="BQ359" s="5"/>
      <c r="BR359" s="1"/>
      <c r="BS359" s="1"/>
      <c r="BT359" s="45"/>
      <c r="BU359" s="5"/>
      <c r="BV359" s="1"/>
      <c r="BW359" s="1"/>
      <c r="BX359" s="45"/>
      <c r="BY359" s="5"/>
      <c r="BZ359" s="1"/>
      <c r="CA359" s="1"/>
      <c r="CB359" s="45"/>
      <c r="CC359" s="5"/>
      <c r="CD359" s="1"/>
      <c r="CE359" s="1"/>
      <c r="CF359" s="45"/>
      <c r="CG359" s="5"/>
      <c r="CH359" s="1"/>
      <c r="CI359" s="1"/>
      <c r="CJ359" s="45"/>
      <c r="CK359" s="5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</row>
    <row r="360" ht="17.0" outlineLevel="1" customFormat="1" s="80">
      <c r="A360" s="1" t="s">
        <v>30</v>
      </c>
      <c r="B360" s="1" t="s">
        <v>401</v>
      </c>
      <c r="C360" s="1" t="s">
        <v>765</v>
      </c>
      <c r="D360" s="83" t="s">
        <v>766</v>
      </c>
      <c r="E360" s="1"/>
      <c r="F360" s="1"/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20.0</v>
      </c>
      <c r="AB360" s="1">
        <v>5.0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0.0</v>
      </c>
      <c r="AL360" s="1">
        <v>10.0</v>
      </c>
      <c r="AM360" s="1">
        <v>2.0</v>
      </c>
      <c r="AN360" s="1">
        <v>1.0</v>
      </c>
      <c r="AO360" s="1">
        <v>1.0</v>
      </c>
      <c r="AP360" s="43">
        <v>1.0</v>
      </c>
      <c r="AQ360" s="43">
        <v>0.0</v>
      </c>
      <c r="AR360" s="43">
        <v>0.0</v>
      </c>
      <c r="AS360" s="43">
        <v>0.0</v>
      </c>
      <c r="AT360" s="4">
        <f t="shared" si="4"/>
        <v>15.0</v>
      </c>
      <c r="AU360" s="4">
        <f t="shared" si="1180"/>
        <v>3.0</v>
      </c>
      <c r="AV360" s="4">
        <f t="shared" si="6"/>
        <v>3.3</v>
      </c>
      <c r="AW360" s="48">
        <f t="shared" si="1215"/>
        <v>0.268965517241379</v>
      </c>
      <c r="AX360" s="48">
        <f t="shared" si="1216"/>
        <v>0.336206896551724</v>
      </c>
      <c r="AY360" s="48">
        <f t="shared" si="1217"/>
        <v>0.362068965517241</v>
      </c>
      <c r="AZ360" s="48">
        <f t="shared" si="1218"/>
        <v>0.501724137931034</v>
      </c>
      <c r="BA360" s="84">
        <f t="shared" ref="BA360:BA362" si="1222">AL360</f>
        <v>10.0</v>
      </c>
      <c r="BB360" s="84">
        <f t="shared" ref="BB360:BB362" si="1223">AM360</f>
        <v>2.0</v>
      </c>
      <c r="BC360" s="4">
        <f t="shared" si="728"/>
        <v>13.4689655172413</v>
      </c>
      <c r="BD360" s="3">
        <f>VLOOKUP(D360,FEB23SOH,2,false)</f>
        <v>0.0</v>
      </c>
      <c r="BE360" s="44">
        <f>VLOOKUP(D360,UNITVALUE,4,false)</f>
      </c>
      <c r="BF360" s="44">
        <f t="shared" si="941"/>
        <v>0.0</v>
      </c>
      <c r="BG360" s="1"/>
      <c r="BH360" s="6"/>
      <c r="BI360" s="6"/>
      <c r="BJ360" s="1"/>
      <c r="BK360" s="7"/>
      <c r="BL360" s="8"/>
      <c r="BM360" s="1">
        <f t="shared" ref="BM360:BM364" si="1224">BD360</f>
        <v>0.0</v>
      </c>
      <c r="BN360" s="1">
        <f t="shared" ref="BN360:BN364" si="1225">AW360</f>
        <v>0.268965517241379</v>
      </c>
      <c r="BO360" s="1"/>
      <c r="BP360" s="45">
        <f t="shared" ref="BP360:BP364" si="1226">BM360+BO360-BN360</f>
        <v>-0.268965517241379</v>
      </c>
      <c r="BQ360" s="5">
        <f t="shared" ref="BQ360:BQ364" si="1227">BP360*BE360</f>
        <v>0.0</v>
      </c>
      <c r="BR360" s="1">
        <f t="shared" ref="BR360:BR364" si="1228">AX360</f>
        <v>0.336206896551724</v>
      </c>
      <c r="BS360" s="1">
        <f t="shared" ref="BS360:BS364" si="1229">BG360</f>
      </c>
      <c r="BT360" s="45">
        <f t="shared" ref="BT360:BT364" si="1230">BP360+BS360-BR360</f>
        <v>-0.605172413793102</v>
      </c>
      <c r="BU360" s="5">
        <f t="shared" ref="BU360:BU364" si="1231">BT360*BE360</f>
        <v>0.0</v>
      </c>
      <c r="BV360" s="1">
        <f t="shared" ref="BV360:BV364" si="1232">AY360</f>
        <v>0.362068965517241</v>
      </c>
      <c r="BW360" s="1">
        <f t="shared" ref="BW360:BW364" si="1233">BG360</f>
      </c>
      <c r="BX360" s="45">
        <f t="shared" ref="BX360:BX364" si="1234">BT360+BW360-BV360</f>
        <v>-0.967241379310343</v>
      </c>
      <c r="BY360" s="5">
        <f t="shared" ref="BY360:BY364" si="1235">BX360*BE360</f>
        <v>0.0</v>
      </c>
      <c r="BZ360" s="1">
        <f t="shared" ref="BZ360:BZ364" si="1236">AZ360</f>
        <v>0.501724137931034</v>
      </c>
      <c r="CA360" s="1"/>
      <c r="CB360" s="45">
        <f t="shared" ref="CB360:CB364" si="1237">BX360+CA360-BZ360</f>
        <v>-1.46896551724136</v>
      </c>
      <c r="CC360" s="5">
        <f t="shared" ref="CC360:CC364" si="1238">CB360*BE360</f>
        <v>0.0</v>
      </c>
      <c r="CD360" s="1">
        <f t="shared" ref="CD360:CD364" si="1239">BA360</f>
        <v>10.0</v>
      </c>
      <c r="CE360" s="1"/>
      <c r="CF360" s="45">
        <f t="shared" ref="CF360:CF364" si="1240">CB360+CE360-CD360</f>
        <v>-11.4689655172413</v>
      </c>
      <c r="CG360" s="5">
        <f t="shared" ref="CG360:CG364" si="1241">CF360*BE360</f>
        <v>0.0</v>
      </c>
      <c r="CH360" s="1">
        <f t="shared" ref="CH360:CH364" si="1242">BB360</f>
        <v>2.0</v>
      </c>
      <c r="CI360" s="1"/>
      <c r="CJ360" s="45">
        <f t="shared" ref="CJ360:CJ364" si="1243">CF360+CI360-CH360</f>
        <v>-13.4689655172413</v>
      </c>
      <c r="CK360" s="5">
        <f t="shared" ref="CK360:CK364" si="1244">CJ360*BE360</f>
        <v>0.0</v>
      </c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</row>
    <row r="361" ht="17.0" outlineLevel="1" customFormat="1" s="80">
      <c r="A361" s="1" t="s">
        <v>30</v>
      </c>
      <c r="B361" s="1" t="s">
        <v>401</v>
      </c>
      <c r="C361" s="1" t="s">
        <v>767</v>
      </c>
      <c r="D361" s="85" t="s">
        <v>768</v>
      </c>
      <c r="E361" s="1"/>
      <c r="F361" s="1"/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5.0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4.0</v>
      </c>
      <c r="AM361" s="1">
        <v>3.0</v>
      </c>
      <c r="AN361" s="1">
        <v>1.0</v>
      </c>
      <c r="AO361" s="1">
        <v>2.0</v>
      </c>
      <c r="AP361" s="43">
        <v>0.0</v>
      </c>
      <c r="AQ361" s="43">
        <v>0.0</v>
      </c>
      <c r="AR361" s="43">
        <v>0.0</v>
      </c>
      <c r="AS361" s="43">
        <v>0.0</v>
      </c>
      <c r="AT361" s="4">
        <f t="shared" si="4"/>
        <v>10.0</v>
      </c>
      <c r="AU361" s="4">
        <f t="shared" si="1180"/>
        <v>3.0</v>
      </c>
      <c r="AV361" s="4">
        <f t="shared" si="6"/>
        <v>3.3</v>
      </c>
      <c r="AW361" s="48">
        <f t="shared" si="1215"/>
        <v>0.268965517241379</v>
      </c>
      <c r="AX361" s="48">
        <f t="shared" si="1216"/>
        <v>0.336206896551724</v>
      </c>
      <c r="AY361" s="48">
        <f t="shared" si="1217"/>
        <v>0.362068965517241</v>
      </c>
      <c r="AZ361" s="48">
        <f t="shared" si="1218"/>
        <v>0.501724137931034</v>
      </c>
      <c r="BA361" s="84">
        <f t="shared" si="1222"/>
        <v>4.0</v>
      </c>
      <c r="BB361" s="84">
        <f t="shared" si="1223"/>
        <v>3.0</v>
      </c>
      <c r="BC361" s="4">
        <f t="shared" si="728"/>
        <v>8.4689655172413</v>
      </c>
      <c r="BD361" s="3">
        <f>VLOOKUP(D361,FEB23SOH,2,false)</f>
        <v>0.0</v>
      </c>
      <c r="BE361" s="44">
        <f>VLOOKUP(D361,UNITVALUE,4,false)</f>
      </c>
      <c r="BF361" s="44">
        <f t="shared" si="941"/>
        <v>0.0</v>
      </c>
      <c r="BG361" s="1"/>
      <c r="BH361" s="6"/>
      <c r="BI361" s="6"/>
      <c r="BJ361" s="1"/>
      <c r="BK361" s="7"/>
      <c r="BL361" s="8"/>
      <c r="BM361" s="1">
        <f t="shared" si="1224"/>
        <v>0.0</v>
      </c>
      <c r="BN361" s="1">
        <f t="shared" si="1225"/>
        <v>0.268965517241379</v>
      </c>
      <c r="BO361" s="1"/>
      <c r="BP361" s="45">
        <f t="shared" si="1226"/>
        <v>-0.268965517241379</v>
      </c>
      <c r="BQ361" s="5">
        <f t="shared" si="1227"/>
        <v>0.0</v>
      </c>
      <c r="BR361" s="1">
        <f t="shared" si="1228"/>
        <v>0.336206896551724</v>
      </c>
      <c r="BS361" s="1">
        <f t="shared" si="1229"/>
      </c>
      <c r="BT361" s="45">
        <f t="shared" si="1230"/>
        <v>-0.605172413793102</v>
      </c>
      <c r="BU361" s="5">
        <f t="shared" si="1231"/>
        <v>0.0</v>
      </c>
      <c r="BV361" s="1">
        <f t="shared" si="1232"/>
        <v>0.362068965517241</v>
      </c>
      <c r="BW361" s="1">
        <f t="shared" si="1233"/>
      </c>
      <c r="BX361" s="45">
        <f t="shared" si="1234"/>
        <v>-0.967241379310343</v>
      </c>
      <c r="BY361" s="5">
        <f t="shared" si="1235"/>
        <v>0.0</v>
      </c>
      <c r="BZ361" s="1">
        <f t="shared" si="1236"/>
        <v>0.501724137931034</v>
      </c>
      <c r="CA361" s="1"/>
      <c r="CB361" s="45">
        <f t="shared" si="1237"/>
        <v>-1.46896551724136</v>
      </c>
      <c r="CC361" s="5">
        <f t="shared" si="1238"/>
        <v>0.0</v>
      </c>
      <c r="CD361" s="1">
        <f t="shared" si="1239"/>
        <v>4.0</v>
      </c>
      <c r="CE361" s="1"/>
      <c r="CF361" s="45">
        <f t="shared" si="1240"/>
        <v>-5.46896551724136</v>
      </c>
      <c r="CG361" s="5">
        <f t="shared" si="1241"/>
        <v>0.0</v>
      </c>
      <c r="CH361" s="1">
        <f t="shared" si="1242"/>
        <v>3.0</v>
      </c>
      <c r="CI361" s="1"/>
      <c r="CJ361" s="45">
        <f t="shared" si="1243"/>
        <v>-8.46896551724136</v>
      </c>
      <c r="CK361" s="5">
        <f t="shared" si="1244"/>
        <v>0.0</v>
      </c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</row>
    <row r="362" ht="17.0" outlineLevel="1">
      <c r="A362" s="1" t="s">
        <v>30</v>
      </c>
      <c r="B362" s="1" t="s">
        <v>401</v>
      </c>
      <c r="C362" s="1" t="s">
        <v>769</v>
      </c>
      <c r="D362" s="86" t="s">
        <v>770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3.0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4.0</v>
      </c>
      <c r="AM362" s="1">
        <v>6.0</v>
      </c>
      <c r="AN362" s="1">
        <v>0.0</v>
      </c>
      <c r="AO362" s="1">
        <v>0.0</v>
      </c>
      <c r="AP362" s="43">
        <v>1.0</v>
      </c>
      <c r="AQ362" s="43">
        <v>0.0</v>
      </c>
      <c r="AR362" s="43">
        <v>0.0</v>
      </c>
      <c r="AS362" s="43">
        <v>0.0</v>
      </c>
      <c r="AT362" s="4">
        <f t="shared" si="4"/>
        <v>11.0</v>
      </c>
      <c r="AU362" s="4">
        <f t="shared" si="1180"/>
        <v>1.0</v>
      </c>
      <c r="AV362" s="4">
        <f t="shared" si="6"/>
        <v>1.1</v>
      </c>
      <c r="AW362" s="48">
        <f t="shared" si="1215"/>
        <v>0.0896551724137931</v>
      </c>
      <c r="AX362" s="48">
        <f t="shared" si="1216"/>
        <v>0.112068965517241</v>
      </c>
      <c r="AY362" s="48">
        <f t="shared" si="1217"/>
        <v>0.120689655172413</v>
      </c>
      <c r="AZ362" s="48">
        <f t="shared" si="1218"/>
        <v>0.167241379310344</v>
      </c>
      <c r="BA362" s="84">
        <f t="shared" si="1222"/>
        <v>4.0</v>
      </c>
      <c r="BB362" s="84">
        <f t="shared" si="1223"/>
        <v>6.0</v>
      </c>
      <c r="BC362" s="4">
        <f t="shared" si="728"/>
        <v>10.4896551724138</v>
      </c>
      <c r="BD362" s="3">
        <f>VLOOKUP(D362,FEB23SOH,2,false)</f>
        <v>0.0</v>
      </c>
      <c r="BE362" s="44">
        <f>VLOOKUP(D362,UNITVALUE,4,false)</f>
      </c>
      <c r="BF362" s="44">
        <f t="shared" si="941"/>
        <v>0.0</v>
      </c>
      <c r="BM362" s="1">
        <f t="shared" si="1224"/>
        <v>0.0</v>
      </c>
      <c r="BN362" s="1">
        <f t="shared" si="1225"/>
        <v>0.0896551724137931</v>
      </c>
      <c r="BP362" s="45">
        <f t="shared" si="1226"/>
        <v>-0.0896551724137931</v>
      </c>
      <c r="BQ362" s="5">
        <f t="shared" si="1227"/>
        <v>0.0</v>
      </c>
      <c r="BR362" s="1">
        <f t="shared" si="1228"/>
        <v>0.112068965517241</v>
      </c>
      <c r="BS362" s="1">
        <f t="shared" si="1229"/>
      </c>
      <c r="BT362" s="45">
        <f t="shared" si="1230"/>
        <v>-0.201724137931034</v>
      </c>
      <c r="BU362" s="5">
        <f t="shared" si="1231"/>
        <v>0.0</v>
      </c>
      <c r="BV362" s="1">
        <f t="shared" si="1232"/>
        <v>0.120689655172413</v>
      </c>
      <c r="BW362" s="1">
        <f t="shared" si="1233"/>
      </c>
      <c r="BX362" s="45">
        <f t="shared" si="1234"/>
        <v>-0.322413793103447</v>
      </c>
      <c r="BY362" s="5">
        <f t="shared" si="1235"/>
        <v>0.0</v>
      </c>
      <c r="BZ362" s="1">
        <f t="shared" si="1236"/>
        <v>0.167241379310344</v>
      </c>
      <c r="CB362" s="45">
        <f t="shared" si="1237"/>
        <v>-0.489655172413791</v>
      </c>
      <c r="CC362" s="5">
        <f t="shared" si="1238"/>
        <v>0.0</v>
      </c>
      <c r="CD362" s="1">
        <f t="shared" si="1239"/>
        <v>4.0</v>
      </c>
      <c r="CF362" s="45">
        <f t="shared" si="1240"/>
        <v>-4.48965517241379</v>
      </c>
      <c r="CG362" s="5">
        <f t="shared" si="1241"/>
        <v>0.0</v>
      </c>
      <c r="CH362" s="1">
        <f t="shared" si="1242"/>
        <v>6.0</v>
      </c>
      <c r="CJ362" s="45">
        <f t="shared" si="1243"/>
        <v>-10.4896551724136</v>
      </c>
      <c r="CK362" s="5">
        <f t="shared" si="1244"/>
        <v>0.0</v>
      </c>
    </row>
    <row r="363" ht="17.0">
      <c r="A363" s="1" t="s">
        <v>30</v>
      </c>
      <c r="B363" s="1" t="s">
        <v>771</v>
      </c>
      <c r="C363" s="1" t="s">
        <v>772</v>
      </c>
      <c r="D363" s="2" t="s">
        <v>773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1.0</v>
      </c>
      <c r="AE363" s="1">
        <v>-1.0</v>
      </c>
      <c r="AF363" s="1">
        <v>1.0</v>
      </c>
      <c r="AG363" s="1">
        <v>0.0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0.0</v>
      </c>
      <c r="AP363" s="43">
        <v>12.0</v>
      </c>
      <c r="AQ363" s="43">
        <v>48.0</v>
      </c>
      <c r="AR363" s="43">
        <v>48.0</v>
      </c>
      <c r="AS363" s="43">
        <v>44.0</v>
      </c>
      <c r="AT363" s="4">
        <f t="shared" si="4"/>
        <v>152.0</v>
      </c>
      <c r="AU363" s="4">
        <f t="shared" si="1180"/>
        <v>152.0</v>
      </c>
      <c r="AV363" s="4">
        <f t="shared" si="6"/>
        <v>167.2</v>
      </c>
      <c r="AW363" s="81">
        <f t="shared" ref="AW363:AW366" si="1245">AVERAGE(AO363:AS363)</f>
        <v>30.4</v>
      </c>
      <c r="AX363" s="1">
        <f t="shared" ref="AX363:AX386" si="1246">AW363</f>
        <v>30.4</v>
      </c>
      <c r="AY363" s="1">
        <f t="shared" ref="AY363:AY386" si="1247">AX363</f>
        <v>30.4</v>
      </c>
      <c r="AZ363" s="1">
        <f t="shared" ref="AZ363:AZ386" si="1248">AY363</f>
        <v>30.4</v>
      </c>
      <c r="BA363" s="1">
        <f t="shared" ref="BA363:BA386" si="1249">AZ363</f>
        <v>30.4</v>
      </c>
      <c r="BB363" s="1">
        <f t="shared" ref="BB363:BB386" si="1250">BA363</f>
        <v>30.4</v>
      </c>
      <c r="BC363" s="4">
        <f t="shared" si="728"/>
        <v>182.4</v>
      </c>
      <c r="BD363" s="3">
        <f>VLOOKUP(D363,FEB23SOH,2,false)</f>
        <v>6.0</v>
      </c>
      <c r="BE363" s="44">
        <f>VLOOKUP(D363,UNITVALUE,4,false)</f>
        <v>1.005</v>
      </c>
      <c r="BF363" s="44">
        <f t="shared" si="941"/>
        <v>6.03</v>
      </c>
      <c r="BI363" s="6">
        <f t="shared" ref="BI363:BI372" si="1251">BD363+BG363+BH363-BC363</f>
        <v>-176.4</v>
      </c>
      <c r="BJ363" s="1">
        <v>500.0</v>
      </c>
      <c r="BK363" s="51">
        <f t="shared" ref="BK363:BK364" si="1252">BJ363</f>
        <v>500.0</v>
      </c>
      <c r="BL363" s="8" t="s">
        <v>5</v>
      </c>
      <c r="BM363" s="1">
        <f t="shared" si="1224"/>
        <v>6.0</v>
      </c>
      <c r="BN363" s="1">
        <f t="shared" si="1225"/>
        <v>30.4</v>
      </c>
      <c r="BP363" s="45">
        <f t="shared" si="1226"/>
        <v>-24.4</v>
      </c>
      <c r="BQ363" s="5">
        <f t="shared" si="1227"/>
        <v>-24.5219999999998</v>
      </c>
      <c r="BR363" s="1">
        <f t="shared" si="1228"/>
        <v>30.4</v>
      </c>
      <c r="BS363" s="1">
        <f t="shared" si="1229"/>
      </c>
      <c r="BT363" s="45">
        <f t="shared" si="1230"/>
        <v>-54.8</v>
      </c>
      <c r="BU363" s="5">
        <f t="shared" si="1231"/>
        <v>-55.0739999999998</v>
      </c>
      <c r="BV363" s="1">
        <f t="shared" si="1232"/>
        <v>30.4</v>
      </c>
      <c r="BW363" s="1">
        <f t="shared" si="1233"/>
      </c>
      <c r="BX363" s="45">
        <f t="shared" si="1234"/>
        <v>-85.1999999999998</v>
      </c>
      <c r="BY363" s="5">
        <f t="shared" si="1235"/>
        <v>-85.6259999999996</v>
      </c>
      <c r="BZ363" s="1">
        <f t="shared" si="1236"/>
        <v>30.4</v>
      </c>
      <c r="CB363" s="45">
        <f t="shared" si="1237"/>
        <v>-115.599999999998</v>
      </c>
      <c r="CC363" s="5">
        <f t="shared" si="1238"/>
        <v>-116.177999999996</v>
      </c>
      <c r="CD363" s="1">
        <f t="shared" si="1239"/>
        <v>30.4</v>
      </c>
      <c r="CF363" s="45">
        <f t="shared" si="1240"/>
        <v>-145.999999999998</v>
      </c>
      <c r="CG363" s="5">
        <f t="shared" si="1241"/>
        <v>-146.729999999996</v>
      </c>
      <c r="CH363" s="1">
        <f t="shared" si="1242"/>
        <v>30.4</v>
      </c>
      <c r="CJ363" s="45">
        <f t="shared" si="1243"/>
        <v>-176.399999999998</v>
      </c>
      <c r="CK363" s="5">
        <f t="shared" si="1244"/>
        <v>-177.281999999996</v>
      </c>
    </row>
    <row r="364" ht="14.0" customFormat="1" s="80">
      <c r="A364" s="1" t="s">
        <v>30</v>
      </c>
      <c r="B364" s="1" t="s">
        <v>771</v>
      </c>
      <c r="C364" s="1" t="s">
        <v>774</v>
      </c>
      <c r="D364" s="2" t="s">
        <v>775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>
        <v>1.0</v>
      </c>
      <c r="AR364" s="1">
        <v>0.0</v>
      </c>
      <c r="AS364" s="1">
        <v>0.0</v>
      </c>
      <c r="AT364" s="4">
        <f t="shared" si="4"/>
        <v>1.0</v>
      </c>
      <c r="AU364" s="4">
        <f t="shared" si="1180"/>
        <v>1.0</v>
      </c>
      <c r="AV364" s="4">
        <f t="shared" si="6"/>
        <v>1.1</v>
      </c>
      <c r="AW364" s="81">
        <f t="shared" si="1245"/>
        <v>0.333333333333333</v>
      </c>
      <c r="AX364" s="1">
        <f t="shared" si="1246"/>
        <v>0.333333333333333</v>
      </c>
      <c r="AY364" s="1">
        <f t="shared" si="1247"/>
        <v>0.333333333333333</v>
      </c>
      <c r="AZ364" s="1">
        <f t="shared" si="1248"/>
        <v>0.333333333333333</v>
      </c>
      <c r="BA364" s="1">
        <f t="shared" si="1249"/>
        <v>0.333333333333333</v>
      </c>
      <c r="BB364" s="1">
        <f t="shared" si="1250"/>
        <v>0.333333333333333</v>
      </c>
      <c r="BC364" s="4">
        <f t="shared" si="728"/>
        <v>2.0</v>
      </c>
      <c r="BD364" s="3">
        <f>VLOOKUP(D364,FEB23SOH,2,false)</f>
        <v>0.0</v>
      </c>
      <c r="BE364" s="44">
        <f>VLOOKUP(D364,UNITVALUE,4,false)</f>
      </c>
      <c r="BF364" s="44">
        <f t="shared" si="941"/>
        <v>0.0</v>
      </c>
      <c r="BG364" s="1"/>
      <c r="BH364" s="6"/>
      <c r="BI364" s="6">
        <f t="shared" si="1251"/>
        <v>-2.0</v>
      </c>
      <c r="BJ364" s="1">
        <v>100.0</v>
      </c>
      <c r="BK364" s="51">
        <f t="shared" si="1252"/>
        <v>100.0</v>
      </c>
      <c r="BL364" s="8" t="s">
        <v>68</v>
      </c>
      <c r="BM364" s="1">
        <f t="shared" si="1224"/>
        <v>0.0</v>
      </c>
      <c r="BN364" s="1">
        <f t="shared" si="1225"/>
        <v>0.333333333333333</v>
      </c>
      <c r="BO364" s="1"/>
      <c r="BP364" s="45">
        <f t="shared" si="1226"/>
        <v>-0.333333333333333</v>
      </c>
      <c r="BQ364" s="5">
        <f t="shared" si="1227"/>
        <v>0.0</v>
      </c>
      <c r="BR364" s="1">
        <f t="shared" si="1228"/>
        <v>0.333333333333333</v>
      </c>
      <c r="BS364" s="1">
        <f t="shared" si="1229"/>
      </c>
      <c r="BT364" s="45">
        <f t="shared" si="1230"/>
        <v>-0.666666666666666</v>
      </c>
      <c r="BU364" s="5">
        <f t="shared" si="1231"/>
        <v>0.0</v>
      </c>
      <c r="BV364" s="1">
        <f t="shared" si="1232"/>
        <v>0.333333333333333</v>
      </c>
      <c r="BW364" s="1">
        <f t="shared" si="1233"/>
      </c>
      <c r="BX364" s="45">
        <f t="shared" si="1234"/>
        <v>-0.999999999999997</v>
      </c>
      <c r="BY364" s="5">
        <f t="shared" si="1235"/>
        <v>0.0</v>
      </c>
      <c r="BZ364" s="1">
        <f t="shared" si="1236"/>
        <v>0.333333333333333</v>
      </c>
      <c r="CA364" s="1"/>
      <c r="CB364" s="45">
        <f t="shared" si="1237"/>
        <v>-1.33333333333333</v>
      </c>
      <c r="CC364" s="5">
        <f t="shared" si="1238"/>
        <v>0.0</v>
      </c>
      <c r="CD364" s="1">
        <f t="shared" si="1239"/>
        <v>0.333333333333333</v>
      </c>
      <c r="CE364" s="1"/>
      <c r="CF364" s="45">
        <f t="shared" si="1240"/>
        <v>-1.66666666666666</v>
      </c>
      <c r="CG364" s="5">
        <f t="shared" si="1241"/>
        <v>0.0</v>
      </c>
      <c r="CH364" s="1">
        <f t="shared" si="1242"/>
        <v>0.333333333333333</v>
      </c>
      <c r="CI364" s="1"/>
      <c r="CJ364" s="45">
        <f t="shared" si="1243"/>
        <v>-1.99999999999999</v>
      </c>
      <c r="CK364" s="5">
        <f t="shared" si="1244"/>
        <v>0.0</v>
      </c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</row>
    <row r="365" ht="17.0">
      <c r="A365" s="1" t="s">
        <v>30</v>
      </c>
      <c r="B365" s="1" t="s">
        <v>197</v>
      </c>
      <c r="C365" s="1" t="s">
        <v>776</v>
      </c>
      <c r="D365" s="2" t="s">
        <v>777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2.0</v>
      </c>
      <c r="AN365" s="1">
        <v>2.0</v>
      </c>
      <c r="AO365" s="1">
        <v>4.0</v>
      </c>
      <c r="AP365" s="43">
        <v>4.0</v>
      </c>
      <c r="AQ365" s="43">
        <v>3.0</v>
      </c>
      <c r="AR365" s="43">
        <v>0.0</v>
      </c>
      <c r="AS365" s="43">
        <v>6.0</v>
      </c>
      <c r="AT365" s="4">
        <f t="shared" si="4"/>
        <v>21.0</v>
      </c>
      <c r="AU365" s="4">
        <f t="shared" si="1180"/>
        <v>19.0</v>
      </c>
      <c r="AV365" s="4">
        <f t="shared" si="6"/>
        <v>20.9</v>
      </c>
      <c r="AW365" s="87">
        <f t="shared" si="1245"/>
        <v>3.4</v>
      </c>
      <c r="AX365" s="88">
        <f t="shared" si="1246"/>
        <v>3.4</v>
      </c>
      <c r="AY365" s="88">
        <f t="shared" si="1247"/>
        <v>3.4</v>
      </c>
      <c r="AZ365" s="88">
        <f t="shared" si="1248"/>
        <v>3.4</v>
      </c>
      <c r="BA365" s="88">
        <f t="shared" si="1249"/>
        <v>3.4</v>
      </c>
      <c r="BB365" s="88">
        <f t="shared" si="1250"/>
        <v>3.4</v>
      </c>
      <c r="BC365" s="4">
        <f t="shared" si="728"/>
        <v>20.4</v>
      </c>
      <c r="BD365" s="3">
        <f>VLOOKUP(D365,FEB23SOH,2,false)</f>
        <v>167.0</v>
      </c>
      <c r="BE365" s="44">
        <f>VLOOKUP(D365,UNITVALUE,4,false)</f>
        <v>21.9692</v>
      </c>
      <c r="BF365" s="44">
        <f t="shared" si="941"/>
        <v>3668.8564</v>
      </c>
      <c r="BI365" s="6">
        <f t="shared" si="1251"/>
        <v>146.6</v>
      </c>
      <c r="BU365" s="5"/>
      <c r="BY365" s="5"/>
      <c r="CB365" s="45"/>
      <c r="CC365" s="5"/>
      <c r="CF365" s="45"/>
      <c r="CG365" s="5"/>
      <c r="CJ365" s="45"/>
      <c r="CK365" s="5"/>
    </row>
    <row r="366" ht="17.0">
      <c r="A366" s="1" t="s">
        <v>30</v>
      </c>
      <c r="B366" s="1" t="s">
        <v>520</v>
      </c>
      <c r="C366" s="1" t="s">
        <v>778</v>
      </c>
      <c r="D366" s="2" t="s">
        <v>779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  <c r="AK366" s="1">
        <v>1.0</v>
      </c>
      <c r="AL366" s="1">
        <v>0.0</v>
      </c>
      <c r="AM366" s="1">
        <v>0.0</v>
      </c>
      <c r="AN366" s="1">
        <v>0.0</v>
      </c>
      <c r="AO366" s="1">
        <v>0.0</v>
      </c>
      <c r="AP366" s="43">
        <v>0.0</v>
      </c>
      <c r="AQ366" s="43">
        <v>0.0</v>
      </c>
      <c r="AR366" s="43">
        <v>0.0</v>
      </c>
      <c r="AS366" s="43">
        <v>0.0</v>
      </c>
      <c r="AT366" s="4">
        <f t="shared" si="4"/>
        <v>1.0</v>
      </c>
      <c r="AU366" s="4">
        <f t="shared" si="1180"/>
        <v>0.0</v>
      </c>
      <c r="AV366" s="4">
        <f t="shared" si="6"/>
        <v>0.0</v>
      </c>
      <c r="AW366" s="81">
        <f t="shared" si="1245"/>
        <v>0.0</v>
      </c>
      <c r="AX366" s="1">
        <f t="shared" si="1246"/>
        <v>0.0</v>
      </c>
      <c r="AY366" s="1">
        <f t="shared" si="1247"/>
        <v>0.0</v>
      </c>
      <c r="AZ366" s="1">
        <f t="shared" si="1248"/>
        <v>0.0</v>
      </c>
      <c r="BA366" s="1">
        <f t="shared" si="1249"/>
        <v>0.0</v>
      </c>
      <c r="BB366" s="1">
        <f t="shared" si="1250"/>
        <v>0.0</v>
      </c>
      <c r="BC366" s="4">
        <f t="shared" si="728"/>
        <v>0.0</v>
      </c>
      <c r="BD366" s="3">
        <f>VLOOKUP(D366,FEB23SOH,2,false)</f>
        <v>49.0</v>
      </c>
      <c r="BE366" s="44">
        <f>VLOOKUP(D366,UNITVALUE,4,false)</f>
        <v>15.6835</v>
      </c>
      <c r="BF366" s="44">
        <f t="shared" si="941"/>
        <v>768.4915</v>
      </c>
      <c r="BI366" s="6">
        <f t="shared" si="1251"/>
        <v>49.0</v>
      </c>
      <c r="BU366" s="5"/>
      <c r="BY366" s="5"/>
      <c r="CB366" s="45"/>
      <c r="CC366" s="5"/>
      <c r="CF366" s="45"/>
      <c r="CG366" s="5"/>
      <c r="CJ366" s="45"/>
      <c r="CK366" s="5"/>
    </row>
    <row r="367" ht="14.0" customFormat="1" s="80">
      <c r="A367" s="1" t="s">
        <v>30</v>
      </c>
      <c r="B367" s="1" t="s">
        <v>780</v>
      </c>
      <c r="C367" s="1" t="s">
        <v>781</v>
      </c>
      <c r="D367" s="2" t="s">
        <v>782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0.0</v>
      </c>
      <c r="AP367" s="1">
        <v>42.0</v>
      </c>
      <c r="AQ367" s="1">
        <v>82.0</v>
      </c>
      <c r="AR367" s="1">
        <v>39.0</v>
      </c>
      <c r="AS367" s="1">
        <v>11.0</v>
      </c>
      <c r="AT367" s="4">
        <f t="shared" si="4"/>
        <v>174.0</v>
      </c>
      <c r="AU367" s="4">
        <f t="shared" si="1180"/>
        <v>174.0</v>
      </c>
      <c r="AV367" s="4">
        <f t="shared" si="6"/>
        <v>191.4</v>
      </c>
      <c r="AW367" s="81">
        <f t="shared" ref="AW367:AW375" si="1253">AVERAGE(AP367:AS367)</f>
        <v>43.5</v>
      </c>
      <c r="AX367" s="1">
        <f t="shared" si="1246"/>
        <v>43.5</v>
      </c>
      <c r="AY367" s="1">
        <f t="shared" si="1247"/>
        <v>43.5</v>
      </c>
      <c r="AZ367" s="1">
        <f t="shared" si="1248"/>
        <v>43.5</v>
      </c>
      <c r="BA367" s="1">
        <f t="shared" si="1249"/>
        <v>43.5</v>
      </c>
      <c r="BB367" s="1">
        <f t="shared" si="1250"/>
        <v>43.5</v>
      </c>
      <c r="BC367" s="4">
        <f t="shared" si="728"/>
        <v>261.0</v>
      </c>
      <c r="BD367" s="3">
        <f>VLOOKUP(D367,FEB23SOH,2,false)</f>
        <v>437.0</v>
      </c>
      <c r="BE367" s="44">
        <f>VLOOKUP(D367,UNITVALUE,4,false)</f>
        <v>2.6774</v>
      </c>
      <c r="BF367" s="44">
        <f t="shared" si="941"/>
        <v>1170.0238</v>
      </c>
      <c r="BG367" s="1"/>
      <c r="BH367" s="6"/>
      <c r="BI367" s="6">
        <f t="shared" si="1251"/>
        <v>176.0</v>
      </c>
      <c r="BJ367" s="1">
        <v>600.0</v>
      </c>
      <c r="BK367" s="7"/>
      <c r="BL367" s="8"/>
      <c r="BM367" s="1">
        <f t="shared" ref="BM367:BM372" si="1254">BD367</f>
        <v>437.0</v>
      </c>
      <c r="BN367" s="1">
        <f t="shared" ref="BN367:BN372" si="1255">AW367</f>
        <v>43.5</v>
      </c>
      <c r="BO367" s="1"/>
      <c r="BP367" s="45">
        <f t="shared" ref="BP367:BP372" si="1256">BM367+BO367-BN367</f>
        <v>393.5</v>
      </c>
      <c r="BQ367" s="5">
        <f t="shared" ref="BQ367:BQ372" si="1257">BP367*BE367</f>
        <v>1053.5569</v>
      </c>
      <c r="BR367" s="1">
        <f t="shared" ref="BR367:BR372" si="1258">AX367</f>
        <v>43.5</v>
      </c>
      <c r="BS367" s="1">
        <f t="shared" ref="BS367:BS372" si="1259">BG367</f>
      </c>
      <c r="BT367" s="45">
        <f t="shared" ref="BT367:BT372" si="1260">BP367+BS367-BR367</f>
        <v>350.0</v>
      </c>
      <c r="BU367" s="5">
        <f t="shared" ref="BU367:BU372" si="1261">BT367*BE367</f>
        <v>937.09</v>
      </c>
      <c r="BV367" s="1">
        <f t="shared" ref="BV367:BV372" si="1262">AY367</f>
        <v>43.5</v>
      </c>
      <c r="BW367" s="1">
        <f t="shared" ref="BW367:BW372" si="1263">BG367</f>
      </c>
      <c r="BX367" s="45">
        <f t="shared" ref="BX367:BX372" si="1264">BT367+BW367-BV367</f>
        <v>306.5</v>
      </c>
      <c r="BY367" s="5">
        <f t="shared" ref="BY367:BY372" si="1265">BX367*BE367</f>
        <v>820.6231</v>
      </c>
      <c r="BZ367" s="1">
        <f t="shared" ref="BZ367:BZ372" si="1266">AZ367</f>
        <v>43.5</v>
      </c>
      <c r="CA367" s="1"/>
      <c r="CB367" s="45">
        <f t="shared" ref="CB367:CB372" si="1267">BX367+CA367-BZ367</f>
        <v>263.0</v>
      </c>
      <c r="CC367" s="5">
        <f t="shared" ref="CC367:CC372" si="1268">CB367*BE367</f>
        <v>704.1562</v>
      </c>
      <c r="CD367" s="1">
        <f t="shared" ref="CD367:CD372" si="1269">BA367</f>
        <v>43.5</v>
      </c>
      <c r="CE367" s="1"/>
      <c r="CF367" s="45">
        <f t="shared" ref="CF367:CF372" si="1270">CB367+CE367-CD367</f>
        <v>219.5</v>
      </c>
      <c r="CG367" s="5">
        <f t="shared" ref="CG367:CG372" si="1271">CF367*BE367</f>
        <v>587.6893</v>
      </c>
      <c r="CH367" s="1">
        <f t="shared" ref="CH367:CH372" si="1272">BB367</f>
        <v>43.5</v>
      </c>
      <c r="CI367" s="1"/>
      <c r="CJ367" s="45">
        <f t="shared" ref="CJ367:CJ372" si="1273">CF367+CI367-CH367</f>
        <v>176.0</v>
      </c>
      <c r="CK367" s="5">
        <f t="shared" ref="CK367:CK372" si="1274">CJ367*BE367</f>
        <v>471.2224</v>
      </c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</row>
    <row r="368" ht="14.0">
      <c r="A368" s="1" t="s">
        <v>30</v>
      </c>
      <c r="B368" s="1" t="s">
        <v>780</v>
      </c>
      <c r="C368" s="1" t="s">
        <v>783</v>
      </c>
      <c r="D368" s="2" t="s">
        <v>784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0.0</v>
      </c>
      <c r="AP368" s="1">
        <v>42.0</v>
      </c>
      <c r="AQ368" s="1">
        <v>75.0</v>
      </c>
      <c r="AR368" s="1">
        <v>21.0</v>
      </c>
      <c r="AS368" s="1">
        <v>62.0</v>
      </c>
      <c r="AT368" s="4">
        <f t="shared" si="4"/>
        <v>200.0</v>
      </c>
      <c r="AU368" s="4">
        <f t="shared" si="1180"/>
        <v>200.0</v>
      </c>
      <c r="AV368" s="4">
        <f t="shared" si="6"/>
        <v>220.0</v>
      </c>
      <c r="AW368" s="81">
        <f t="shared" si="1253"/>
        <v>50.0</v>
      </c>
      <c r="AX368" s="1">
        <f t="shared" si="1246"/>
        <v>50.0</v>
      </c>
      <c r="AY368" s="1">
        <f t="shared" si="1247"/>
        <v>50.0</v>
      </c>
      <c r="AZ368" s="1">
        <f t="shared" si="1248"/>
        <v>50.0</v>
      </c>
      <c r="BA368" s="1">
        <f t="shared" si="1249"/>
        <v>50.0</v>
      </c>
      <c r="BB368" s="1">
        <f t="shared" si="1250"/>
        <v>50.0</v>
      </c>
      <c r="BC368" s="4">
        <f t="shared" si="728"/>
        <v>300.0</v>
      </c>
      <c r="BD368" s="3">
        <f>VLOOKUP(D368,FEB23SOH,2,false)</f>
        <v>420.0</v>
      </c>
      <c r="BE368" s="44">
        <f>VLOOKUP(D368,UNITVALUE,4,false)</f>
        <v>2.6775</v>
      </c>
      <c r="BF368" s="44">
        <f t="shared" si="941"/>
        <v>1124.55</v>
      </c>
      <c r="BI368" s="6">
        <f t="shared" si="1251"/>
        <v>120.0</v>
      </c>
      <c r="BJ368" s="1">
        <v>600.0</v>
      </c>
      <c r="BM368" s="1">
        <f t="shared" si="1254"/>
        <v>420.0</v>
      </c>
      <c r="BN368" s="1">
        <f t="shared" si="1255"/>
        <v>50.0</v>
      </c>
      <c r="BP368" s="45">
        <f t="shared" si="1256"/>
        <v>370.0</v>
      </c>
      <c r="BQ368" s="5">
        <f t="shared" si="1257"/>
        <v>990.675</v>
      </c>
      <c r="BR368" s="1">
        <f t="shared" si="1258"/>
        <v>50.0</v>
      </c>
      <c r="BS368" s="1">
        <f t="shared" si="1259"/>
      </c>
      <c r="BT368" s="45">
        <f t="shared" si="1260"/>
        <v>320.0</v>
      </c>
      <c r="BU368" s="5">
        <f t="shared" si="1261"/>
        <v>856.8</v>
      </c>
      <c r="BV368" s="1">
        <f t="shared" si="1262"/>
        <v>50.0</v>
      </c>
      <c r="BW368" s="1">
        <f t="shared" si="1263"/>
      </c>
      <c r="BX368" s="45">
        <f t="shared" si="1264"/>
        <v>270.0</v>
      </c>
      <c r="BY368" s="5">
        <f t="shared" si="1265"/>
        <v>722.925</v>
      </c>
      <c r="BZ368" s="1">
        <f t="shared" si="1266"/>
        <v>50.0</v>
      </c>
      <c r="CB368" s="45">
        <f t="shared" si="1267"/>
        <v>220.0</v>
      </c>
      <c r="CC368" s="5">
        <f t="shared" si="1268"/>
        <v>589.05</v>
      </c>
      <c r="CD368" s="1">
        <f t="shared" si="1269"/>
        <v>50.0</v>
      </c>
      <c r="CF368" s="45">
        <f t="shared" si="1270"/>
        <v>170.0</v>
      </c>
      <c r="CG368" s="5">
        <f t="shared" si="1271"/>
        <v>455.175</v>
      </c>
      <c r="CH368" s="1">
        <f t="shared" si="1272"/>
        <v>50.0</v>
      </c>
      <c r="CJ368" s="45">
        <f t="shared" si="1273"/>
        <v>120.0</v>
      </c>
      <c r="CK368" s="5">
        <f t="shared" si="1274"/>
        <v>321.3</v>
      </c>
    </row>
    <row r="369" ht="14.0">
      <c r="A369" s="1" t="s">
        <v>30</v>
      </c>
      <c r="B369" s="1" t="s">
        <v>780</v>
      </c>
      <c r="C369" s="1" t="s">
        <v>785</v>
      </c>
      <c r="D369" s="2" t="s">
        <v>786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0.0</v>
      </c>
      <c r="AP369" s="1">
        <v>30.0</v>
      </c>
      <c r="AQ369" s="1">
        <v>63.0</v>
      </c>
      <c r="AR369" s="1">
        <v>39.0</v>
      </c>
      <c r="AS369" s="1">
        <v>22.0</v>
      </c>
      <c r="AT369" s="4">
        <f t="shared" si="4"/>
        <v>154.0</v>
      </c>
      <c r="AU369" s="4">
        <f t="shared" si="1180"/>
        <v>154.0</v>
      </c>
      <c r="AV369" s="4">
        <f t="shared" si="6"/>
        <v>169.4</v>
      </c>
      <c r="AW369" s="81">
        <f t="shared" si="1253"/>
        <v>38.5</v>
      </c>
      <c r="AX369" s="1">
        <f t="shared" si="1246"/>
        <v>38.5</v>
      </c>
      <c r="AY369" s="1">
        <f t="shared" si="1247"/>
        <v>38.5</v>
      </c>
      <c r="AZ369" s="1">
        <f t="shared" si="1248"/>
        <v>38.5</v>
      </c>
      <c r="BA369" s="1">
        <f t="shared" si="1249"/>
        <v>38.5</v>
      </c>
      <c r="BB369" s="1">
        <f t="shared" si="1250"/>
        <v>38.5</v>
      </c>
      <c r="BC369" s="4">
        <f t="shared" si="728"/>
        <v>231.0</v>
      </c>
      <c r="BD369" s="3">
        <f>VLOOKUP(D369,FEB23SOH,2,false)</f>
        <v>459.0</v>
      </c>
      <c r="BE369" s="44">
        <f>VLOOKUP(D369,UNITVALUE,4,false)</f>
        <v>2.6774</v>
      </c>
      <c r="BF369" s="44">
        <f t="shared" si="941"/>
        <v>1228.9266</v>
      </c>
      <c r="BI369" s="6">
        <f t="shared" si="1251"/>
        <v>228.0</v>
      </c>
      <c r="BJ369" s="1">
        <v>600.0</v>
      </c>
      <c r="BM369" s="1">
        <f t="shared" si="1254"/>
        <v>459.0</v>
      </c>
      <c r="BN369" s="1">
        <f t="shared" si="1255"/>
        <v>38.5</v>
      </c>
      <c r="BP369" s="45">
        <f t="shared" si="1256"/>
        <v>420.5</v>
      </c>
      <c r="BQ369" s="5">
        <f t="shared" si="1257"/>
        <v>1125.8467</v>
      </c>
      <c r="BR369" s="1">
        <f t="shared" si="1258"/>
        <v>38.5</v>
      </c>
      <c r="BS369" s="1">
        <f t="shared" si="1259"/>
      </c>
      <c r="BT369" s="45">
        <f t="shared" si="1260"/>
        <v>382.0</v>
      </c>
      <c r="BU369" s="5">
        <f t="shared" si="1261"/>
        <v>1022.7668</v>
      </c>
      <c r="BV369" s="1">
        <f t="shared" si="1262"/>
        <v>38.5</v>
      </c>
      <c r="BW369" s="1">
        <f t="shared" si="1263"/>
      </c>
      <c r="BX369" s="45">
        <f t="shared" si="1264"/>
        <v>343.5</v>
      </c>
      <c r="BY369" s="5">
        <f t="shared" si="1265"/>
        <v>919.6869</v>
      </c>
      <c r="BZ369" s="1">
        <f t="shared" si="1266"/>
        <v>38.5</v>
      </c>
      <c r="CB369" s="45">
        <f t="shared" si="1267"/>
        <v>305.0</v>
      </c>
      <c r="CC369" s="5">
        <f t="shared" si="1268"/>
        <v>816.607</v>
      </c>
      <c r="CD369" s="1">
        <f t="shared" si="1269"/>
        <v>38.5</v>
      </c>
      <c r="CF369" s="45">
        <f t="shared" si="1270"/>
        <v>266.5</v>
      </c>
      <c r="CG369" s="5">
        <f t="shared" si="1271"/>
        <v>713.5271</v>
      </c>
      <c r="CH369" s="1">
        <f t="shared" si="1272"/>
        <v>38.5</v>
      </c>
      <c r="CJ369" s="45">
        <f t="shared" si="1273"/>
        <v>228.0</v>
      </c>
      <c r="CK369" s="5">
        <f t="shared" si="1274"/>
        <v>610.4472</v>
      </c>
    </row>
    <row r="370" ht="14.0" customFormat="1" s="80">
      <c r="A370" s="1" t="s">
        <v>30</v>
      </c>
      <c r="B370" s="1" t="s">
        <v>780</v>
      </c>
      <c r="C370" s="1" t="s">
        <v>787</v>
      </c>
      <c r="D370" s="2" t="s">
        <v>788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  <c r="AO370" s="1">
        <v>0.0</v>
      </c>
      <c r="AP370" s="1">
        <v>55.0</v>
      </c>
      <c r="AQ370" s="1">
        <v>87.0</v>
      </c>
      <c r="AR370" s="1">
        <v>31.0</v>
      </c>
      <c r="AS370" s="1">
        <v>58.0</v>
      </c>
      <c r="AT370" s="4">
        <f t="shared" si="4"/>
        <v>231.0</v>
      </c>
      <c r="AU370" s="4">
        <f t="shared" si="1180"/>
        <v>231.0</v>
      </c>
      <c r="AV370" s="4">
        <f t="shared" si="6"/>
        <v>254.1</v>
      </c>
      <c r="AW370" s="81">
        <f t="shared" si="1253"/>
        <v>57.75</v>
      </c>
      <c r="AX370" s="1">
        <f t="shared" si="1246"/>
        <v>57.75</v>
      </c>
      <c r="AY370" s="1">
        <f t="shared" si="1247"/>
        <v>57.75</v>
      </c>
      <c r="AZ370" s="1">
        <f t="shared" si="1248"/>
        <v>57.75</v>
      </c>
      <c r="BA370" s="1">
        <f t="shared" si="1249"/>
        <v>57.75</v>
      </c>
      <c r="BB370" s="1">
        <f t="shared" si="1250"/>
        <v>57.75</v>
      </c>
      <c r="BC370" s="4">
        <f t="shared" si="728"/>
        <v>346.5</v>
      </c>
      <c r="BD370" s="3">
        <f>VLOOKUP(D370,FEB23SOH,2,false)</f>
        <v>388.0</v>
      </c>
      <c r="BE370" s="44">
        <f>VLOOKUP(D370,UNITVALUE,4,false)</f>
        <v>2.6775</v>
      </c>
      <c r="BF370" s="44">
        <f t="shared" si="941"/>
        <v>1038.87</v>
      </c>
      <c r="BG370" s="1"/>
      <c r="BH370" s="6"/>
      <c r="BI370" s="6">
        <f t="shared" si="1251"/>
        <v>41.5</v>
      </c>
      <c r="BJ370" s="1">
        <v>600.0</v>
      </c>
      <c r="BK370" s="7"/>
      <c r="BL370" s="8"/>
      <c r="BM370" s="1">
        <f t="shared" si="1254"/>
        <v>388.0</v>
      </c>
      <c r="BN370" s="1">
        <f t="shared" si="1255"/>
        <v>57.75</v>
      </c>
      <c r="BO370" s="1"/>
      <c r="BP370" s="45">
        <f t="shared" si="1256"/>
        <v>330.25</v>
      </c>
      <c r="BQ370" s="5">
        <f t="shared" si="1257"/>
        <v>884.244375</v>
      </c>
      <c r="BR370" s="1">
        <f t="shared" si="1258"/>
        <v>57.75</v>
      </c>
      <c r="BS370" s="1">
        <f t="shared" si="1259"/>
      </c>
      <c r="BT370" s="45">
        <f t="shared" si="1260"/>
        <v>272.5</v>
      </c>
      <c r="BU370" s="5">
        <f t="shared" si="1261"/>
        <v>729.61875</v>
      </c>
      <c r="BV370" s="1">
        <f t="shared" si="1262"/>
        <v>57.75</v>
      </c>
      <c r="BW370" s="1">
        <f t="shared" si="1263"/>
      </c>
      <c r="BX370" s="45">
        <f t="shared" si="1264"/>
        <v>214.75</v>
      </c>
      <c r="BY370" s="5">
        <f t="shared" si="1265"/>
        <v>574.993125</v>
      </c>
      <c r="BZ370" s="1">
        <f t="shared" si="1266"/>
        <v>57.75</v>
      </c>
      <c r="CA370" s="1"/>
      <c r="CB370" s="45">
        <f t="shared" si="1267"/>
        <v>157.0</v>
      </c>
      <c r="CC370" s="5">
        <f t="shared" si="1268"/>
        <v>420.3675</v>
      </c>
      <c r="CD370" s="1">
        <f t="shared" si="1269"/>
        <v>57.75</v>
      </c>
      <c r="CE370" s="1"/>
      <c r="CF370" s="45">
        <f t="shared" si="1270"/>
        <v>99.25</v>
      </c>
      <c r="CG370" s="5">
        <f t="shared" si="1271"/>
        <v>265.741875</v>
      </c>
      <c r="CH370" s="1">
        <f t="shared" si="1272"/>
        <v>57.75</v>
      </c>
      <c r="CI370" s="1"/>
      <c r="CJ370" s="45">
        <f t="shared" si="1273"/>
        <v>41.5</v>
      </c>
      <c r="CK370" s="5">
        <f t="shared" si="1274"/>
        <v>111.11625</v>
      </c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</row>
    <row r="371" ht="14.0" customFormat="1" s="80">
      <c r="A371" s="1" t="s">
        <v>30</v>
      </c>
      <c r="B371" s="1" t="s">
        <v>780</v>
      </c>
      <c r="C371" s="1" t="s">
        <v>789</v>
      </c>
      <c r="D371" s="2" t="s">
        <v>790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G371" s="1">
        <v>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0.0</v>
      </c>
      <c r="AO371" s="1">
        <v>0.0</v>
      </c>
      <c r="AP371" s="1">
        <v>27.0</v>
      </c>
      <c r="AQ371" s="1">
        <v>54.0</v>
      </c>
      <c r="AR371" s="1">
        <v>12.0</v>
      </c>
      <c r="AS371" s="1">
        <v>40.0</v>
      </c>
      <c r="AT371" s="4">
        <f t="shared" si="4"/>
        <v>133.0</v>
      </c>
      <c r="AU371" s="4">
        <f t="shared" si="1180"/>
        <v>133.0</v>
      </c>
      <c r="AV371" s="4">
        <f t="shared" si="6"/>
        <v>146.3</v>
      </c>
      <c r="AW371" s="81">
        <f t="shared" si="1253"/>
        <v>33.25</v>
      </c>
      <c r="AX371" s="1">
        <f t="shared" si="1246"/>
        <v>33.25</v>
      </c>
      <c r="AY371" s="1">
        <f t="shared" si="1247"/>
        <v>33.25</v>
      </c>
      <c r="AZ371" s="1">
        <f t="shared" si="1248"/>
        <v>33.25</v>
      </c>
      <c r="BA371" s="1">
        <f t="shared" si="1249"/>
        <v>33.25</v>
      </c>
      <c r="BB371" s="1">
        <f t="shared" si="1250"/>
        <v>33.25</v>
      </c>
      <c r="BC371" s="4">
        <f t="shared" si="728"/>
        <v>199.5</v>
      </c>
      <c r="BD371" s="3">
        <f>VLOOKUP(D371,FEB23SOH,2,false)</f>
        <v>474.0</v>
      </c>
      <c r="BE371" s="44">
        <f>VLOOKUP(D371,UNITVALUE,4,false)</f>
        <v>2.6774</v>
      </c>
      <c r="BF371" s="44">
        <f t="shared" si="941"/>
        <v>1269.0876</v>
      </c>
      <c r="BG371" s="1"/>
      <c r="BH371" s="6"/>
      <c r="BI371" s="6">
        <f t="shared" si="1251"/>
        <v>274.5</v>
      </c>
      <c r="BJ371" s="1">
        <v>600.0</v>
      </c>
      <c r="BK371" s="7"/>
      <c r="BL371" s="8"/>
      <c r="BM371" s="1">
        <f t="shared" si="1254"/>
        <v>474.0</v>
      </c>
      <c r="BN371" s="1">
        <f t="shared" si="1255"/>
        <v>33.25</v>
      </c>
      <c r="BO371" s="1"/>
      <c r="BP371" s="45">
        <f t="shared" si="1256"/>
        <v>440.75</v>
      </c>
      <c r="BQ371" s="5">
        <f t="shared" si="1257"/>
        <v>1180.06405</v>
      </c>
      <c r="BR371" s="1">
        <f t="shared" si="1258"/>
        <v>33.25</v>
      </c>
      <c r="BS371" s="1">
        <f t="shared" si="1259"/>
      </c>
      <c r="BT371" s="45">
        <f t="shared" si="1260"/>
        <v>407.5</v>
      </c>
      <c r="BU371" s="5">
        <f t="shared" si="1261"/>
        <v>1091.0405</v>
      </c>
      <c r="BV371" s="1">
        <f t="shared" si="1262"/>
        <v>33.25</v>
      </c>
      <c r="BW371" s="1">
        <f t="shared" si="1263"/>
      </c>
      <c r="BX371" s="45">
        <f t="shared" si="1264"/>
        <v>374.25</v>
      </c>
      <c r="BY371" s="5">
        <f t="shared" si="1265"/>
        <v>1002.01695</v>
      </c>
      <c r="BZ371" s="1">
        <f t="shared" si="1266"/>
        <v>33.25</v>
      </c>
      <c r="CA371" s="1"/>
      <c r="CB371" s="45">
        <f t="shared" si="1267"/>
        <v>341.0</v>
      </c>
      <c r="CC371" s="5">
        <f t="shared" si="1268"/>
        <v>912.9934</v>
      </c>
      <c r="CD371" s="1">
        <f t="shared" si="1269"/>
        <v>33.25</v>
      </c>
      <c r="CE371" s="1"/>
      <c r="CF371" s="45">
        <f t="shared" si="1270"/>
        <v>307.75</v>
      </c>
      <c r="CG371" s="5">
        <f t="shared" si="1271"/>
        <v>823.96985</v>
      </c>
      <c r="CH371" s="1">
        <f t="shared" si="1272"/>
        <v>33.25</v>
      </c>
      <c r="CI371" s="1"/>
      <c r="CJ371" s="45">
        <f t="shared" si="1273"/>
        <v>274.5</v>
      </c>
      <c r="CK371" s="5">
        <f t="shared" si="1274"/>
        <v>734.9463</v>
      </c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</row>
    <row r="372" ht="14.0" customFormat="1" s="80">
      <c r="A372" s="1" t="s">
        <v>30</v>
      </c>
      <c r="B372" s="1" t="s">
        <v>780</v>
      </c>
      <c r="C372" s="1" t="s">
        <v>791</v>
      </c>
      <c r="D372" s="2" t="s">
        <v>792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0.0</v>
      </c>
      <c r="AP372" s="1">
        <v>24.0</v>
      </c>
      <c r="AQ372" s="1">
        <v>30.0</v>
      </c>
      <c r="AR372" s="1">
        <v>6.0</v>
      </c>
      <c r="AS372" s="1">
        <v>15.0</v>
      </c>
      <c r="AT372" s="4">
        <f t="shared" si="4"/>
        <v>75.0</v>
      </c>
      <c r="AU372" s="4">
        <f t="shared" si="1180"/>
        <v>75.0</v>
      </c>
      <c r="AV372" s="4">
        <f t="shared" si="6"/>
        <v>82.5</v>
      </c>
      <c r="AW372" s="81">
        <f t="shared" si="1253"/>
        <v>18.75</v>
      </c>
      <c r="AX372" s="1">
        <f t="shared" si="1246"/>
        <v>18.75</v>
      </c>
      <c r="AY372" s="1">
        <f t="shared" si="1247"/>
        <v>18.75</v>
      </c>
      <c r="AZ372" s="1">
        <f t="shared" si="1248"/>
        <v>18.75</v>
      </c>
      <c r="BA372" s="1">
        <f t="shared" si="1249"/>
        <v>18.75</v>
      </c>
      <c r="BB372" s="1">
        <f t="shared" si="1250"/>
        <v>18.75</v>
      </c>
      <c r="BC372" s="4">
        <f t="shared" si="728"/>
        <v>112.5</v>
      </c>
      <c r="BD372" s="3">
        <f>VLOOKUP(D372,FEB23SOH,2,false)</f>
        <v>528.0</v>
      </c>
      <c r="BE372" s="44">
        <f>VLOOKUP(D372,UNITVALUE,4,false)</f>
        <v>2.6773</v>
      </c>
      <c r="BF372" s="44">
        <f t="shared" si="941"/>
        <v>1413.6144</v>
      </c>
      <c r="BG372" s="1"/>
      <c r="BH372" s="6"/>
      <c r="BI372" s="6">
        <f t="shared" si="1251"/>
        <v>415.5</v>
      </c>
      <c r="BJ372" s="1">
        <v>600.0</v>
      </c>
      <c r="BK372" s="7"/>
      <c r="BL372" s="8"/>
      <c r="BM372" s="1">
        <f t="shared" si="1254"/>
        <v>528.0</v>
      </c>
      <c r="BN372" s="1">
        <f t="shared" si="1255"/>
        <v>18.75</v>
      </c>
      <c r="BO372" s="1"/>
      <c r="BP372" s="45">
        <f t="shared" si="1256"/>
        <v>509.25</v>
      </c>
      <c r="BQ372" s="5">
        <f t="shared" si="1257"/>
        <v>1363.415025</v>
      </c>
      <c r="BR372" s="1">
        <f t="shared" si="1258"/>
        <v>18.75</v>
      </c>
      <c r="BS372" s="1">
        <f t="shared" si="1259"/>
      </c>
      <c r="BT372" s="45">
        <f t="shared" si="1260"/>
        <v>490.5</v>
      </c>
      <c r="BU372" s="5">
        <f t="shared" si="1261"/>
        <v>1313.21565</v>
      </c>
      <c r="BV372" s="1">
        <f t="shared" si="1262"/>
        <v>18.75</v>
      </c>
      <c r="BW372" s="1">
        <f t="shared" si="1263"/>
      </c>
      <c r="BX372" s="45">
        <f t="shared" si="1264"/>
        <v>471.75</v>
      </c>
      <c r="BY372" s="5">
        <f t="shared" si="1265"/>
        <v>1263.016275</v>
      </c>
      <c r="BZ372" s="1">
        <f t="shared" si="1266"/>
        <v>18.75</v>
      </c>
      <c r="CA372" s="1"/>
      <c r="CB372" s="45">
        <f t="shared" si="1267"/>
        <v>453.0</v>
      </c>
      <c r="CC372" s="5">
        <f t="shared" si="1268"/>
        <v>1212.8169</v>
      </c>
      <c r="CD372" s="1">
        <f t="shared" si="1269"/>
        <v>18.75</v>
      </c>
      <c r="CE372" s="1"/>
      <c r="CF372" s="45">
        <f t="shared" si="1270"/>
        <v>434.25</v>
      </c>
      <c r="CG372" s="5">
        <f t="shared" si="1271"/>
        <v>1162.617525</v>
      </c>
      <c r="CH372" s="1">
        <f t="shared" si="1272"/>
        <v>18.75</v>
      </c>
      <c r="CI372" s="1"/>
      <c r="CJ372" s="45">
        <f t="shared" si="1273"/>
        <v>415.5</v>
      </c>
      <c r="CK372" s="5">
        <f t="shared" si="1274"/>
        <v>1112.41815</v>
      </c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</row>
    <row r="373" ht="14.0" customFormat="1" s="80">
      <c r="A373" s="1" t="s">
        <v>30</v>
      </c>
      <c r="B373" s="78" t="s">
        <v>758</v>
      </c>
      <c r="C373" s="1" t="s">
        <v>793</v>
      </c>
      <c r="D373" s="2" t="s">
        <v>794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0.0</v>
      </c>
      <c r="AP373" s="1">
        <v>1.0</v>
      </c>
      <c r="AQ373" s="1">
        <v>0.0</v>
      </c>
      <c r="AR373" s="1">
        <v>0.0</v>
      </c>
      <c r="AS373" s="1">
        <v>1.0</v>
      </c>
      <c r="AT373" s="4">
        <f t="shared" si="4"/>
        <v>2.0</v>
      </c>
      <c r="AU373" s="4">
        <f t="shared" si="1180"/>
        <v>2.0</v>
      </c>
      <c r="AV373" s="4">
        <f t="shared" si="6"/>
        <v>2.2</v>
      </c>
      <c r="AW373" s="81">
        <f t="shared" si="1253"/>
        <v>0.5</v>
      </c>
      <c r="AX373" s="45">
        <f t="shared" si="1246"/>
        <v>0.5</v>
      </c>
      <c r="AY373" s="45">
        <f t="shared" si="1247"/>
        <v>0.5</v>
      </c>
      <c r="AZ373" s="45">
        <f t="shared" si="1248"/>
        <v>0.5</v>
      </c>
      <c r="BA373" s="45">
        <f t="shared" si="1249"/>
        <v>0.5</v>
      </c>
      <c r="BB373" s="45">
        <f t="shared" si="1250"/>
        <v>0.5</v>
      </c>
      <c r="BC373" s="4">
        <f t="shared" si="728"/>
        <v>3.0</v>
      </c>
      <c r="BD373" s="3">
        <f>VLOOKUP(D373,FEB23SOH,2,false)</f>
        <v>0.0</v>
      </c>
      <c r="BE373" s="44">
        <f>VLOOKUP(D373,UNITVALUE,4,false)</f>
      </c>
      <c r="BF373" s="44">
        <f t="shared" si="941"/>
        <v>0.0</v>
      </c>
      <c r="BG373" s="1"/>
      <c r="BH373" s="6"/>
      <c r="BI373" s="6"/>
      <c r="BJ373" s="6"/>
      <c r="BK373" s="53" t="s">
        <v>0</v>
      </c>
      <c r="BL373" s="8"/>
      <c r="BM373" s="1"/>
      <c r="BN373" s="1"/>
      <c r="BO373" s="1"/>
      <c r="BP373" s="45"/>
      <c r="BQ373" s="5"/>
      <c r="BR373" s="1"/>
      <c r="BS373" s="1"/>
      <c r="BT373" s="45"/>
      <c r="BU373" s="5"/>
      <c r="BV373" s="1"/>
      <c r="BW373" s="1"/>
      <c r="BX373" s="45"/>
      <c r="BY373" s="5"/>
      <c r="BZ373" s="1"/>
      <c r="CA373" s="1"/>
      <c r="CB373" s="45"/>
      <c r="CC373" s="5"/>
      <c r="CD373" s="1"/>
      <c r="CE373" s="1"/>
      <c r="CF373" s="45"/>
      <c r="CG373" s="5"/>
      <c r="CH373" s="1"/>
      <c r="CI373" s="1"/>
      <c r="CJ373" s="45"/>
      <c r="CK373" s="5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</row>
    <row r="374" ht="14.0">
      <c r="A374" s="1" t="s">
        <v>30</v>
      </c>
      <c r="B374" s="78" t="s">
        <v>758</v>
      </c>
      <c r="C374" s="1" t="s">
        <v>795</v>
      </c>
      <c r="D374" s="2" t="s">
        <v>796</v>
      </c>
      <c r="AG374" s="1">
        <v>0.0</v>
      </c>
      <c r="AH374" s="1">
        <v>0.0</v>
      </c>
      <c r="AI374" s="1">
        <v>0.0</v>
      </c>
      <c r="AJ374" s="1">
        <v>0.0</v>
      </c>
      <c r="AK374" s="1">
        <v>0.0</v>
      </c>
      <c r="AL374" s="1">
        <v>0.0</v>
      </c>
      <c r="AM374" s="1">
        <v>0.0</v>
      </c>
      <c r="AN374" s="1">
        <v>0.0</v>
      </c>
      <c r="AO374" s="1">
        <v>0.0</v>
      </c>
      <c r="AP374" s="1">
        <v>1.0</v>
      </c>
      <c r="AQ374" s="1">
        <v>0.0</v>
      </c>
      <c r="AR374" s="1">
        <v>0.0</v>
      </c>
      <c r="AS374" s="1">
        <v>0.0</v>
      </c>
      <c r="AT374" s="4">
        <f t="shared" si="4"/>
        <v>1.0</v>
      </c>
      <c r="AU374" s="4">
        <f t="shared" si="1180"/>
        <v>1.0</v>
      </c>
      <c r="AV374" s="4">
        <f t="shared" si="6"/>
        <v>1.1</v>
      </c>
      <c r="AW374" s="81">
        <f t="shared" si="1253"/>
        <v>0.25</v>
      </c>
      <c r="AX374" s="45">
        <f t="shared" si="1246"/>
        <v>0.25</v>
      </c>
      <c r="AY374" s="45">
        <f t="shared" si="1247"/>
        <v>0.25</v>
      </c>
      <c r="AZ374" s="45">
        <f t="shared" si="1248"/>
        <v>0.25</v>
      </c>
      <c r="BA374" s="45">
        <f t="shared" si="1249"/>
        <v>0.25</v>
      </c>
      <c r="BB374" s="45">
        <f t="shared" si="1250"/>
        <v>0.25</v>
      </c>
      <c r="BC374" s="4">
        <f t="shared" si="728"/>
        <v>1.5</v>
      </c>
      <c r="BD374" s="3">
        <f>VLOOKUP(D374,FEB23SOH,2,false)</f>
        <v>1.0</v>
      </c>
      <c r="BE374" s="44">
        <f>VLOOKUP(D374,UNITVALUE,4,false)</f>
        <v>81.43</v>
      </c>
      <c r="BF374" s="44">
        <f t="shared" si="941"/>
        <v>81.43</v>
      </c>
      <c r="BJ374" s="6"/>
      <c r="BK374" s="53" t="s">
        <v>0</v>
      </c>
      <c r="BP374" s="45"/>
      <c r="BT374" s="45"/>
      <c r="BU374" s="5"/>
      <c r="BX374" s="45"/>
      <c r="BY374" s="5"/>
      <c r="CB374" s="45"/>
      <c r="CC374" s="5"/>
      <c r="CF374" s="45"/>
      <c r="CG374" s="5"/>
      <c r="CJ374" s="45"/>
      <c r="CK374" s="5"/>
    </row>
    <row r="375" ht="14.0">
      <c r="A375" s="1" t="s">
        <v>30</v>
      </c>
      <c r="B375" s="78" t="s">
        <v>453</v>
      </c>
      <c r="C375" s="1" t="s">
        <v>797</v>
      </c>
      <c r="D375" s="83" t="s">
        <v>798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79">
        <v>0.0</v>
      </c>
      <c r="AP375" s="79">
        <v>1.0</v>
      </c>
      <c r="AQ375" s="79">
        <v>1.0</v>
      </c>
      <c r="AR375" s="79">
        <v>0.0</v>
      </c>
      <c r="AS375" s="79">
        <v>1.0</v>
      </c>
      <c r="AT375" s="4">
        <f t="shared" si="4"/>
        <v>3.0</v>
      </c>
      <c r="AU375" s="4">
        <f t="shared" si="1180"/>
        <v>3.0</v>
      </c>
      <c r="AV375" s="4">
        <f t="shared" si="6"/>
        <v>3.3</v>
      </c>
      <c r="AW375" s="76">
        <f t="shared" si="1253"/>
        <v>0.75</v>
      </c>
      <c r="AX375" s="48">
        <f t="shared" si="1246"/>
        <v>0.75</v>
      </c>
      <c r="AY375" s="48">
        <f t="shared" si="1247"/>
        <v>0.75</v>
      </c>
      <c r="AZ375" s="48">
        <f t="shared" si="1248"/>
        <v>0.75</v>
      </c>
      <c r="BA375" s="48">
        <f t="shared" si="1249"/>
        <v>0.75</v>
      </c>
      <c r="BB375" s="48">
        <f t="shared" si="1250"/>
        <v>0.75</v>
      </c>
      <c r="BC375" s="4">
        <f t="shared" si="728"/>
        <v>4.5</v>
      </c>
      <c r="BD375" s="3">
        <f>VLOOKUP(D375,FEB23SOH,2,false)</f>
        <v>2.0</v>
      </c>
      <c r="BE375" s="44">
        <f>VLOOKUP(D375,UNITVALUE,4,false)</f>
        <v>63.63</v>
      </c>
      <c r="BF375" s="44">
        <f t="shared" si="941"/>
        <v>127.26</v>
      </c>
      <c r="BJ375" s="6"/>
      <c r="BK375" s="53" t="s">
        <v>0</v>
      </c>
      <c r="BS375" s="1">
        <f t="shared" ref="BS375:BS386" si="1275">BG375</f>
      </c>
    </row>
    <row r="376" ht="14.0">
      <c r="A376" s="1" t="s">
        <v>30</v>
      </c>
      <c r="B376" s="1" t="s">
        <v>799</v>
      </c>
      <c r="C376" s="1" t="s">
        <v>800</v>
      </c>
      <c r="D376" s="2" t="s">
        <v>801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0.0</v>
      </c>
      <c r="AP376" s="1">
        <v>0.0</v>
      </c>
      <c r="AQ376" s="1">
        <v>9.0</v>
      </c>
      <c r="AR376" s="1">
        <v>0.0</v>
      </c>
      <c r="AS376" s="1">
        <v>0.0</v>
      </c>
      <c r="AT376" s="4">
        <f t="shared" si="4"/>
        <v>9.0</v>
      </c>
      <c r="AU376" s="4">
        <f t="shared" si="1180"/>
        <v>9.0</v>
      </c>
      <c r="AV376" s="4">
        <f t="shared" si="6"/>
        <v>9.9</v>
      </c>
      <c r="AW376" s="81">
        <f t="shared" ref="AW376:AW377" si="1276">AVERAGE(AQ376:AR376)</f>
        <v>4.5</v>
      </c>
      <c r="AX376" s="1">
        <f t="shared" si="1246"/>
        <v>4.5</v>
      </c>
      <c r="AY376" s="1">
        <f t="shared" si="1247"/>
        <v>4.5</v>
      </c>
      <c r="AZ376" s="1">
        <f t="shared" si="1248"/>
        <v>4.5</v>
      </c>
      <c r="BA376" s="1">
        <f t="shared" si="1249"/>
        <v>4.5</v>
      </c>
      <c r="BB376" s="1">
        <f t="shared" si="1250"/>
        <v>4.5</v>
      </c>
      <c r="BC376" s="4">
        <f t="shared" si="728"/>
        <v>27.0</v>
      </c>
      <c r="BD376" s="3">
        <f>VLOOKUP(D376,FEB23SOH,2,false)</f>
        <v>0.0</v>
      </c>
      <c r="BE376" s="44">
        <f>VLOOKUP(D376,UNITVALUE,4,false)</f>
      </c>
      <c r="BF376" s="44">
        <f t="shared" si="941"/>
        <v>0.0</v>
      </c>
      <c r="BS376" s="1">
        <f t="shared" si="1275"/>
      </c>
    </row>
    <row r="377" ht="14.0">
      <c r="A377" s="1" t="s">
        <v>30</v>
      </c>
      <c r="B377" s="1" t="s">
        <v>802</v>
      </c>
      <c r="C377" s="1" t="s">
        <v>803</v>
      </c>
      <c r="D377" s="2" t="s">
        <v>804</v>
      </c>
      <c r="AG377" s="1">
        <v>0.0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0.0</v>
      </c>
      <c r="AP377" s="1">
        <v>0.0</v>
      </c>
      <c r="AQ377" s="1">
        <v>0.0</v>
      </c>
      <c r="AR377" s="1">
        <v>1.0</v>
      </c>
      <c r="AS377" s="1">
        <v>0.0</v>
      </c>
      <c r="AT377" s="4">
        <f t="shared" si="4"/>
        <v>1.0</v>
      </c>
      <c r="AU377" s="4">
        <f t="shared" si="1180"/>
        <v>1.0</v>
      </c>
      <c r="AV377" s="4">
        <f t="shared" si="6"/>
        <v>1.1</v>
      </c>
      <c r="AW377" s="81">
        <f t="shared" si="1276"/>
        <v>0.5</v>
      </c>
      <c r="AX377" s="1">
        <f t="shared" si="1246"/>
        <v>0.5</v>
      </c>
      <c r="AY377" s="1">
        <f t="shared" si="1247"/>
        <v>0.5</v>
      </c>
      <c r="AZ377" s="1">
        <f t="shared" si="1248"/>
        <v>0.5</v>
      </c>
      <c r="BA377" s="1">
        <f t="shared" si="1249"/>
        <v>0.5</v>
      </c>
      <c r="BB377" s="1">
        <f t="shared" si="1250"/>
        <v>0.5</v>
      </c>
      <c r="BC377" s="4">
        <f t="shared" si="728"/>
        <v>3.0</v>
      </c>
      <c r="BD377" s="3">
        <f>VLOOKUP(D377,FEB23SOH,2,false)</f>
        <v>0.0</v>
      </c>
      <c r="BE377" s="44">
        <f>VLOOKUP(D377,UNITVALUE,4,false)</f>
      </c>
      <c r="BF377" s="44">
        <f t="shared" si="941"/>
        <v>0.0</v>
      </c>
      <c r="BI377" s="6">
        <f t="shared" ref="BI377:BI385" si="1277">BD377+BG377+BH377-BC377</f>
        <v>-3.0</v>
      </c>
      <c r="BJ377" s="1">
        <v>100.0</v>
      </c>
      <c r="BK377" s="51">
        <f>BJ377</f>
        <v>100.0</v>
      </c>
      <c r="BL377" s="8" t="s">
        <v>68</v>
      </c>
      <c r="BM377" s="1">
        <f t="shared" ref="BM377:BM385" si="1279">BD377</f>
        <v>0.0</v>
      </c>
      <c r="BN377" s="1">
        <f t="shared" ref="BN377:BN385" si="1280">AW377</f>
        <v>0.5</v>
      </c>
      <c r="BP377" s="45">
        <f t="shared" ref="BP377:BP385" si="1281">BM377+BO377-BN377</f>
        <v>-0.5</v>
      </c>
      <c r="BQ377" s="5">
        <f t="shared" ref="BQ377:BQ385" si="1282">BP377*BE377</f>
        <v>0.0</v>
      </c>
      <c r="BR377" s="1">
        <f t="shared" ref="BR377:BR385" si="1283">AX377</f>
        <v>0.5</v>
      </c>
      <c r="BS377" s="1">
        <f t="shared" si="1275"/>
      </c>
      <c r="BT377" s="45">
        <f t="shared" ref="BT377:BT385" si="1284">BP377+BS377-BR377</f>
        <v>-1.0</v>
      </c>
      <c r="BU377" s="5">
        <f t="shared" ref="BU377:BU385" si="1285">BT377*BE377</f>
        <v>0.0</v>
      </c>
      <c r="BV377" s="1">
        <f t="shared" ref="BV377:BV385" si="1286">AY377</f>
        <v>0.5</v>
      </c>
      <c r="BW377" s="1">
        <f t="shared" ref="BW377:BW385" si="1287">BG377</f>
      </c>
      <c r="BX377" s="45">
        <f t="shared" ref="BX377:BX385" si="1288">BT377+BW377-BV377</f>
        <v>-1.5</v>
      </c>
      <c r="BY377" s="5">
        <f t="shared" ref="BY377:BY385" si="1289">BX377*BE377</f>
        <v>0.0</v>
      </c>
      <c r="BZ377" s="1">
        <f t="shared" ref="BZ377:BZ385" si="1290">AZ377</f>
        <v>0.5</v>
      </c>
      <c r="CB377" s="45">
        <f t="shared" ref="CB377:CB385" si="1291">BX377+CA377-BZ377</f>
        <v>-2.0</v>
      </c>
      <c r="CC377" s="5">
        <f t="shared" ref="CC377:CC385" si="1292">CB377*BE377</f>
        <v>0.0</v>
      </c>
      <c r="CD377" s="1">
        <f t="shared" ref="CD377:CD385" si="1293">BA377</f>
        <v>0.5</v>
      </c>
      <c r="CF377" s="45">
        <f t="shared" ref="CF377:CF385" si="1294">CB377+CE377-CD377</f>
        <v>-2.5</v>
      </c>
      <c r="CG377" s="5">
        <f t="shared" ref="CG377:CG385" si="1295">CF377*BE377</f>
        <v>0.0</v>
      </c>
      <c r="CH377" s="1">
        <f t="shared" ref="CH377:CH385" si="1296">BB377</f>
        <v>0.5</v>
      </c>
      <c r="CJ377" s="45">
        <f t="shared" ref="CJ377:CJ385" si="1297">CF377+CI377-CH377</f>
        <v>-3.0</v>
      </c>
      <c r="CK377" s="5">
        <f t="shared" ref="CK377:CK385" si="1298">CJ377*BE377</f>
        <v>0.0</v>
      </c>
    </row>
    <row r="378" ht="14.0">
      <c r="A378" s="1" t="s">
        <v>30</v>
      </c>
      <c r="B378" s="1" t="s">
        <v>289</v>
      </c>
      <c r="C378" s="1" t="s">
        <v>805</v>
      </c>
      <c r="D378" s="2" t="s">
        <v>806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0.0</v>
      </c>
      <c r="AP378" s="1">
        <v>0.0</v>
      </c>
      <c r="AQ378" s="1">
        <v>0.0</v>
      </c>
      <c r="AR378" s="1">
        <v>30.0</v>
      </c>
      <c r="AS378" s="1">
        <v>51.0</v>
      </c>
      <c r="AT378" s="4">
        <f t="shared" si="4"/>
        <v>81.0</v>
      </c>
      <c r="AU378" s="4">
        <f t="shared" si="1180"/>
        <v>81.0</v>
      </c>
      <c r="AV378" s="4">
        <f t="shared" si="6"/>
        <v>89.1</v>
      </c>
      <c r="AW378" s="81">
        <f t="shared" ref="AW378:AW385" si="1299">AVERAGE(AR378:AS378)</f>
        <v>40.5</v>
      </c>
      <c r="AX378" s="1">
        <f t="shared" si="1246"/>
        <v>40.5</v>
      </c>
      <c r="AY378" s="1">
        <f t="shared" si="1247"/>
        <v>40.5</v>
      </c>
      <c r="AZ378" s="1">
        <f t="shared" si="1248"/>
        <v>40.5</v>
      </c>
      <c r="BA378" s="1">
        <f t="shared" si="1249"/>
        <v>40.5</v>
      </c>
      <c r="BB378" s="1">
        <f t="shared" si="1250"/>
        <v>40.5</v>
      </c>
      <c r="BC378" s="4">
        <f t="shared" si="728"/>
        <v>243.0</v>
      </c>
      <c r="BD378" s="3">
        <f>VLOOKUP(D378,FEB23SOH,2,false)</f>
        <v>930.0</v>
      </c>
      <c r="BE378" s="44">
        <f>VLOOKUP(D378,UNITVALUE,4,false)</f>
        <v>2.1165</v>
      </c>
      <c r="BF378" s="44">
        <f t="shared" si="941"/>
        <v>1968.345</v>
      </c>
      <c r="BI378" s="6">
        <f t="shared" si="1277"/>
        <v>687.0</v>
      </c>
      <c r="BM378" s="1">
        <f t="shared" si="1279"/>
        <v>930.0</v>
      </c>
      <c r="BN378" s="1">
        <f t="shared" si="1280"/>
        <v>40.5</v>
      </c>
      <c r="BP378" s="45">
        <f t="shared" si="1281"/>
        <v>889.5</v>
      </c>
      <c r="BQ378" s="5">
        <f t="shared" si="1282"/>
        <v>1882.62675</v>
      </c>
      <c r="BR378" s="1">
        <f t="shared" si="1283"/>
        <v>40.5</v>
      </c>
      <c r="BS378" s="1">
        <f t="shared" si="1275"/>
      </c>
      <c r="BT378" s="45">
        <f t="shared" si="1284"/>
        <v>849.0</v>
      </c>
      <c r="BU378" s="5">
        <f t="shared" si="1285"/>
        <v>1796.9085</v>
      </c>
      <c r="BV378" s="1">
        <f t="shared" si="1286"/>
        <v>40.5</v>
      </c>
      <c r="BW378" s="1">
        <f t="shared" si="1287"/>
      </c>
      <c r="BX378" s="45">
        <f t="shared" si="1288"/>
        <v>808.5</v>
      </c>
      <c r="BY378" s="5">
        <f t="shared" si="1289"/>
        <v>1711.19025</v>
      </c>
      <c r="BZ378" s="1">
        <f t="shared" si="1290"/>
        <v>40.5</v>
      </c>
      <c r="CB378" s="45">
        <f t="shared" si="1291"/>
        <v>768.0</v>
      </c>
      <c r="CC378" s="5">
        <f t="shared" si="1292"/>
        <v>1625.472</v>
      </c>
      <c r="CD378" s="1">
        <f t="shared" si="1293"/>
        <v>40.5</v>
      </c>
      <c r="CF378" s="45">
        <f t="shared" si="1294"/>
        <v>727.5</v>
      </c>
      <c r="CG378" s="5">
        <f t="shared" si="1295"/>
        <v>1539.75375</v>
      </c>
      <c r="CH378" s="1">
        <f t="shared" si="1296"/>
        <v>40.5</v>
      </c>
      <c r="CJ378" s="45">
        <f t="shared" si="1297"/>
        <v>687.0</v>
      </c>
      <c r="CK378" s="5">
        <f t="shared" si="1298"/>
        <v>1454.0355</v>
      </c>
    </row>
    <row r="379" ht="14.0">
      <c r="A379" s="1" t="s">
        <v>30</v>
      </c>
      <c r="B379" s="1" t="s">
        <v>289</v>
      </c>
      <c r="C379" s="1" t="s">
        <v>807</v>
      </c>
      <c r="D379" s="2" t="s">
        <v>808</v>
      </c>
      <c r="AG379" s="1">
        <v>0.0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1">
        <v>0.0</v>
      </c>
      <c r="AN379" s="1">
        <v>0.0</v>
      </c>
      <c r="AO379" s="1">
        <v>0.0</v>
      </c>
      <c r="AP379" s="1">
        <v>0.0</v>
      </c>
      <c r="AQ379" s="1">
        <v>0.0</v>
      </c>
      <c r="AR379" s="1">
        <v>37.0</v>
      </c>
      <c r="AS379" s="1">
        <v>72.0</v>
      </c>
      <c r="AT379" s="4">
        <f t="shared" si="4"/>
        <v>109.0</v>
      </c>
      <c r="AU379" s="4">
        <f t="shared" si="1180"/>
        <v>109.0</v>
      </c>
      <c r="AV379" s="4">
        <f t="shared" si="6"/>
        <v>119.9</v>
      </c>
      <c r="AW379" s="81">
        <f t="shared" si="1299"/>
        <v>54.5</v>
      </c>
      <c r="AX379" s="1">
        <f t="shared" si="1246"/>
        <v>54.5</v>
      </c>
      <c r="AY379" s="1">
        <f t="shared" si="1247"/>
        <v>54.5</v>
      </c>
      <c r="AZ379" s="1">
        <f t="shared" si="1248"/>
        <v>54.5</v>
      </c>
      <c r="BA379" s="1">
        <f t="shared" si="1249"/>
        <v>54.5</v>
      </c>
      <c r="BB379" s="1">
        <f t="shared" si="1250"/>
        <v>54.5</v>
      </c>
      <c r="BC379" s="4">
        <f t="shared" si="728"/>
        <v>327.0</v>
      </c>
      <c r="BD379" s="3">
        <f>VLOOKUP(D379,FEB23SOH,2,false)</f>
        <v>906.0</v>
      </c>
      <c r="BE379" s="44">
        <f>VLOOKUP(D379,UNITVALUE,4,false)</f>
        <v>2.1164</v>
      </c>
      <c r="BF379" s="44">
        <f t="shared" si="941"/>
        <v>1917.4584</v>
      </c>
      <c r="BI379" s="6">
        <f t="shared" si="1277"/>
        <v>579.0</v>
      </c>
      <c r="BM379" s="1">
        <f t="shared" si="1279"/>
        <v>906.0</v>
      </c>
      <c r="BN379" s="1">
        <f t="shared" si="1280"/>
        <v>54.5</v>
      </c>
      <c r="BP379" s="45">
        <f t="shared" si="1281"/>
        <v>851.5</v>
      </c>
      <c r="BQ379" s="5">
        <f t="shared" si="1282"/>
        <v>1802.1146</v>
      </c>
      <c r="BR379" s="1">
        <f t="shared" si="1283"/>
        <v>54.5</v>
      </c>
      <c r="BS379" s="1">
        <f t="shared" si="1275"/>
      </c>
      <c r="BT379" s="45">
        <f t="shared" si="1284"/>
        <v>797.0</v>
      </c>
      <c r="BU379" s="5">
        <f t="shared" si="1285"/>
        <v>1686.7708</v>
      </c>
      <c r="BV379" s="1">
        <f t="shared" si="1286"/>
        <v>54.5</v>
      </c>
      <c r="BW379" s="1">
        <f t="shared" si="1287"/>
      </c>
      <c r="BX379" s="45">
        <f t="shared" si="1288"/>
        <v>742.5</v>
      </c>
      <c r="BY379" s="5">
        <f t="shared" si="1289"/>
        <v>1571.427</v>
      </c>
      <c r="BZ379" s="1">
        <f t="shared" si="1290"/>
        <v>54.5</v>
      </c>
      <c r="CB379" s="45">
        <f t="shared" si="1291"/>
        <v>688.0</v>
      </c>
      <c r="CC379" s="5">
        <f t="shared" si="1292"/>
        <v>1456.0832</v>
      </c>
      <c r="CD379" s="1">
        <f t="shared" si="1293"/>
        <v>54.5</v>
      </c>
      <c r="CF379" s="45">
        <f t="shared" si="1294"/>
        <v>633.5</v>
      </c>
      <c r="CG379" s="5">
        <f t="shared" si="1295"/>
        <v>1340.7394</v>
      </c>
      <c r="CH379" s="1">
        <f t="shared" si="1296"/>
        <v>54.5</v>
      </c>
      <c r="CJ379" s="45">
        <f t="shared" si="1297"/>
        <v>579.0</v>
      </c>
      <c r="CK379" s="5">
        <f t="shared" si="1298"/>
        <v>1225.3956</v>
      </c>
    </row>
    <row r="380" ht="14.0">
      <c r="A380" s="1" t="s">
        <v>30</v>
      </c>
      <c r="B380" s="1" t="s">
        <v>289</v>
      </c>
      <c r="C380" s="1" t="s">
        <v>809</v>
      </c>
      <c r="D380" s="2" t="s">
        <v>810</v>
      </c>
      <c r="AG380" s="1">
        <v>0.0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1">
        <v>0.0</v>
      </c>
      <c r="AP380" s="1">
        <v>0.0</v>
      </c>
      <c r="AQ380" s="1">
        <v>0.0</v>
      </c>
      <c r="AR380" s="1">
        <v>42.0</v>
      </c>
      <c r="AS380" s="1">
        <v>69.0</v>
      </c>
      <c r="AT380" s="4">
        <f t="shared" si="4"/>
        <v>111.0</v>
      </c>
      <c r="AU380" s="4">
        <f t="shared" si="1180"/>
        <v>111.0</v>
      </c>
      <c r="AV380" s="4">
        <f t="shared" si="6"/>
        <v>122.1</v>
      </c>
      <c r="AW380" s="81">
        <f t="shared" si="1299"/>
        <v>55.5</v>
      </c>
      <c r="AX380" s="1">
        <f t="shared" si="1246"/>
        <v>55.5</v>
      </c>
      <c r="AY380" s="1">
        <f t="shared" si="1247"/>
        <v>55.5</v>
      </c>
      <c r="AZ380" s="1">
        <f t="shared" si="1248"/>
        <v>55.5</v>
      </c>
      <c r="BA380" s="1">
        <f t="shared" si="1249"/>
        <v>55.5</v>
      </c>
      <c r="BB380" s="1">
        <f t="shared" si="1250"/>
        <v>55.5</v>
      </c>
      <c r="BC380" s="4">
        <f t="shared" si="728"/>
        <v>333.0</v>
      </c>
      <c r="BD380" s="3">
        <f>VLOOKUP(D380,FEB23SOH,2,false)</f>
        <v>903.0</v>
      </c>
      <c r="BE380" s="44">
        <f>VLOOKUP(D380,UNITVALUE,4,false)</f>
        <v>2.1164</v>
      </c>
      <c r="BF380" s="44">
        <f t="shared" si="941"/>
        <v>1911.1092</v>
      </c>
      <c r="BI380" s="6">
        <f t="shared" si="1277"/>
        <v>570.0</v>
      </c>
      <c r="BM380" s="1">
        <f t="shared" si="1279"/>
        <v>903.0</v>
      </c>
      <c r="BN380" s="1">
        <f t="shared" si="1280"/>
        <v>55.5</v>
      </c>
      <c r="BP380" s="45">
        <f t="shared" si="1281"/>
        <v>847.5</v>
      </c>
      <c r="BQ380" s="5">
        <f t="shared" si="1282"/>
        <v>1793.649</v>
      </c>
      <c r="BR380" s="1">
        <f t="shared" si="1283"/>
        <v>55.5</v>
      </c>
      <c r="BS380" s="1">
        <f t="shared" si="1275"/>
      </c>
      <c r="BT380" s="45">
        <f t="shared" si="1284"/>
        <v>792.0</v>
      </c>
      <c r="BU380" s="5">
        <f t="shared" si="1285"/>
        <v>1676.1888</v>
      </c>
      <c r="BV380" s="1">
        <f t="shared" si="1286"/>
        <v>55.5</v>
      </c>
      <c r="BW380" s="1">
        <f t="shared" si="1287"/>
      </c>
      <c r="BX380" s="45">
        <f t="shared" si="1288"/>
        <v>736.5</v>
      </c>
      <c r="BY380" s="5">
        <f t="shared" si="1289"/>
        <v>1558.7286</v>
      </c>
      <c r="BZ380" s="1">
        <f t="shared" si="1290"/>
        <v>55.5</v>
      </c>
      <c r="CB380" s="45">
        <f t="shared" si="1291"/>
        <v>681.0</v>
      </c>
      <c r="CC380" s="5">
        <f t="shared" si="1292"/>
        <v>1441.2684</v>
      </c>
      <c r="CD380" s="1">
        <f t="shared" si="1293"/>
        <v>55.5</v>
      </c>
      <c r="CF380" s="45">
        <f t="shared" si="1294"/>
        <v>625.5</v>
      </c>
      <c r="CG380" s="5">
        <f t="shared" si="1295"/>
        <v>1323.8082</v>
      </c>
      <c r="CH380" s="1">
        <f t="shared" si="1296"/>
        <v>55.5</v>
      </c>
      <c r="CJ380" s="45">
        <f t="shared" si="1297"/>
        <v>570.0</v>
      </c>
      <c r="CK380" s="5">
        <f t="shared" si="1298"/>
        <v>1206.348</v>
      </c>
    </row>
    <row r="381" ht="14.0">
      <c r="A381" s="1" t="s">
        <v>30</v>
      </c>
      <c r="B381" s="1" t="s">
        <v>289</v>
      </c>
      <c r="C381" s="1" t="s">
        <v>811</v>
      </c>
      <c r="D381" s="2" t="s">
        <v>812</v>
      </c>
      <c r="AG381" s="1">
        <v>0.0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1">
        <v>0.0</v>
      </c>
      <c r="AN381" s="1">
        <v>0.0</v>
      </c>
      <c r="AO381" s="1">
        <v>0.0</v>
      </c>
      <c r="AP381" s="1">
        <v>0.0</v>
      </c>
      <c r="AQ381" s="1">
        <v>0.0</v>
      </c>
      <c r="AR381" s="1">
        <v>45.0</v>
      </c>
      <c r="AS381" s="1">
        <v>80.0</v>
      </c>
      <c r="AT381" s="4">
        <f t="shared" si="4"/>
        <v>125.0</v>
      </c>
      <c r="AU381" s="4">
        <f t="shared" si="1180"/>
        <v>125.0</v>
      </c>
      <c r="AV381" s="4">
        <f t="shared" si="6"/>
        <v>137.5</v>
      </c>
      <c r="AW381" s="81">
        <f t="shared" si="1299"/>
        <v>62.5</v>
      </c>
      <c r="AX381" s="1">
        <f t="shared" si="1246"/>
        <v>62.5</v>
      </c>
      <c r="AY381" s="1">
        <f t="shared" si="1247"/>
        <v>62.5</v>
      </c>
      <c r="AZ381" s="1">
        <f t="shared" si="1248"/>
        <v>62.5</v>
      </c>
      <c r="BA381" s="1">
        <f t="shared" si="1249"/>
        <v>62.5</v>
      </c>
      <c r="BB381" s="1">
        <f t="shared" si="1250"/>
        <v>62.5</v>
      </c>
      <c r="BC381" s="4">
        <f t="shared" si="728"/>
        <v>375.0</v>
      </c>
      <c r="BD381" s="3">
        <f>VLOOKUP(D381,FEB23SOH,2,false)</f>
        <v>891.0</v>
      </c>
      <c r="BE381" s="44">
        <f>VLOOKUP(D381,UNITVALUE,4,false)</f>
        <v>2.1164</v>
      </c>
      <c r="BF381" s="44">
        <f t="shared" si="941"/>
        <v>1885.7124</v>
      </c>
      <c r="BI381" s="6">
        <f t="shared" si="1277"/>
        <v>516.0</v>
      </c>
      <c r="BM381" s="1">
        <f t="shared" si="1279"/>
        <v>891.0</v>
      </c>
      <c r="BN381" s="1">
        <f t="shared" si="1280"/>
        <v>62.5</v>
      </c>
      <c r="BP381" s="45">
        <f t="shared" si="1281"/>
        <v>828.5</v>
      </c>
      <c r="BQ381" s="5">
        <f t="shared" si="1282"/>
        <v>1753.4374</v>
      </c>
      <c r="BR381" s="1">
        <f t="shared" si="1283"/>
        <v>62.5</v>
      </c>
      <c r="BS381" s="1">
        <f t="shared" si="1275"/>
      </c>
      <c r="BT381" s="45">
        <f t="shared" si="1284"/>
        <v>766.0</v>
      </c>
      <c r="BU381" s="5">
        <f t="shared" si="1285"/>
        <v>1621.1624</v>
      </c>
      <c r="BV381" s="1">
        <f t="shared" si="1286"/>
        <v>62.5</v>
      </c>
      <c r="BW381" s="1">
        <f t="shared" si="1287"/>
      </c>
      <c r="BX381" s="45">
        <f t="shared" si="1288"/>
        <v>703.5</v>
      </c>
      <c r="BY381" s="5">
        <f t="shared" si="1289"/>
        <v>1488.8874</v>
      </c>
      <c r="BZ381" s="1">
        <f t="shared" si="1290"/>
        <v>62.5</v>
      </c>
      <c r="CB381" s="45">
        <f t="shared" si="1291"/>
        <v>641.0</v>
      </c>
      <c r="CC381" s="5">
        <f t="shared" si="1292"/>
        <v>1356.6124</v>
      </c>
      <c r="CD381" s="1">
        <f t="shared" si="1293"/>
        <v>62.5</v>
      </c>
      <c r="CF381" s="45">
        <f t="shared" si="1294"/>
        <v>578.5</v>
      </c>
      <c r="CG381" s="5">
        <f t="shared" si="1295"/>
        <v>1224.3374</v>
      </c>
      <c r="CH381" s="1">
        <f t="shared" si="1296"/>
        <v>62.5</v>
      </c>
      <c r="CJ381" s="45">
        <f t="shared" si="1297"/>
        <v>516.0</v>
      </c>
      <c r="CK381" s="5">
        <f t="shared" si="1298"/>
        <v>1092.0624</v>
      </c>
    </row>
    <row r="382" ht="14.0">
      <c r="A382" s="1" t="s">
        <v>30</v>
      </c>
      <c r="B382" s="1" t="s">
        <v>289</v>
      </c>
      <c r="C382" s="1" t="s">
        <v>813</v>
      </c>
      <c r="D382" s="2" t="s">
        <v>814</v>
      </c>
      <c r="AG382" s="1">
        <v>0.0</v>
      </c>
      <c r="AH382" s="1">
        <v>0.0</v>
      </c>
      <c r="AI382" s="1">
        <v>0.0</v>
      </c>
      <c r="AJ382" s="1">
        <v>0.0</v>
      </c>
      <c r="AK382" s="1">
        <v>0.0</v>
      </c>
      <c r="AL382" s="1">
        <v>0.0</v>
      </c>
      <c r="AM382" s="1">
        <v>0.0</v>
      </c>
      <c r="AN382" s="1">
        <v>0.0</v>
      </c>
      <c r="AO382" s="1">
        <v>0.0</v>
      </c>
      <c r="AP382" s="1">
        <v>0.0</v>
      </c>
      <c r="AQ382" s="1">
        <v>0.0</v>
      </c>
      <c r="AR382" s="1">
        <v>42.0</v>
      </c>
      <c r="AS382" s="1">
        <v>69.0</v>
      </c>
      <c r="AT382" s="4">
        <f t="shared" si="4"/>
        <v>111.0</v>
      </c>
      <c r="AU382" s="4">
        <f t="shared" si="1180"/>
        <v>111.0</v>
      </c>
      <c r="AV382" s="4">
        <f t="shared" si="6"/>
        <v>122.1</v>
      </c>
      <c r="AW382" s="81">
        <f t="shared" si="1299"/>
        <v>55.5</v>
      </c>
      <c r="AX382" s="1">
        <f t="shared" si="1246"/>
        <v>55.5</v>
      </c>
      <c r="AY382" s="1">
        <f t="shared" si="1247"/>
        <v>55.5</v>
      </c>
      <c r="AZ382" s="1">
        <f t="shared" si="1248"/>
        <v>55.5</v>
      </c>
      <c r="BA382" s="1">
        <f t="shared" si="1249"/>
        <v>55.5</v>
      </c>
      <c r="BB382" s="1">
        <f t="shared" si="1250"/>
        <v>55.5</v>
      </c>
      <c r="BC382" s="4">
        <f t="shared" si="728"/>
        <v>333.0</v>
      </c>
      <c r="BD382" s="3">
        <f>VLOOKUP(D382,FEB23SOH,2,false)</f>
        <v>903.0</v>
      </c>
      <c r="BE382" s="44">
        <f>VLOOKUP(D382,UNITVALUE,4,false)</f>
        <v>2.1164</v>
      </c>
      <c r="BF382" s="44">
        <f t="shared" si="941"/>
        <v>1911.1092</v>
      </c>
      <c r="BI382" s="6">
        <f t="shared" si="1277"/>
        <v>570.0</v>
      </c>
      <c r="BM382" s="1">
        <f t="shared" si="1279"/>
        <v>903.0</v>
      </c>
      <c r="BN382" s="1">
        <f t="shared" si="1280"/>
        <v>55.5</v>
      </c>
      <c r="BP382" s="45">
        <f t="shared" si="1281"/>
        <v>847.5</v>
      </c>
      <c r="BQ382" s="5">
        <f t="shared" si="1282"/>
        <v>1793.649</v>
      </c>
      <c r="BR382" s="1">
        <f t="shared" si="1283"/>
        <v>55.5</v>
      </c>
      <c r="BS382" s="1">
        <f t="shared" si="1275"/>
      </c>
      <c r="BT382" s="45">
        <f t="shared" si="1284"/>
        <v>792.0</v>
      </c>
      <c r="BU382" s="5">
        <f t="shared" si="1285"/>
        <v>1676.1888</v>
      </c>
      <c r="BV382" s="1">
        <f t="shared" si="1286"/>
        <v>55.5</v>
      </c>
      <c r="BW382" s="1">
        <f t="shared" si="1287"/>
      </c>
      <c r="BX382" s="45">
        <f t="shared" si="1288"/>
        <v>736.5</v>
      </c>
      <c r="BY382" s="5">
        <f t="shared" si="1289"/>
        <v>1558.7286</v>
      </c>
      <c r="BZ382" s="1">
        <f t="shared" si="1290"/>
        <v>55.5</v>
      </c>
      <c r="CB382" s="45">
        <f t="shared" si="1291"/>
        <v>681.0</v>
      </c>
      <c r="CC382" s="5">
        <f t="shared" si="1292"/>
        <v>1441.2684</v>
      </c>
      <c r="CD382" s="1">
        <f t="shared" si="1293"/>
        <v>55.5</v>
      </c>
      <c r="CF382" s="45">
        <f t="shared" si="1294"/>
        <v>625.5</v>
      </c>
      <c r="CG382" s="5">
        <f t="shared" si="1295"/>
        <v>1323.8082</v>
      </c>
      <c r="CH382" s="1">
        <f t="shared" si="1296"/>
        <v>55.5</v>
      </c>
      <c r="CJ382" s="45">
        <f t="shared" si="1297"/>
        <v>570.0</v>
      </c>
      <c r="CK382" s="5">
        <f t="shared" si="1298"/>
        <v>1206.348</v>
      </c>
    </row>
    <row r="383" ht="14.0">
      <c r="A383" s="1" t="s">
        <v>30</v>
      </c>
      <c r="B383" s="1" t="s">
        <v>289</v>
      </c>
      <c r="C383" s="1" t="s">
        <v>815</v>
      </c>
      <c r="D383" s="2" t="s">
        <v>816</v>
      </c>
      <c r="AG383" s="1">
        <v>0.0</v>
      </c>
      <c r="AH383" s="1">
        <v>0.0</v>
      </c>
      <c r="AI383" s="1">
        <v>0.0</v>
      </c>
      <c r="AJ383" s="1">
        <v>0.0</v>
      </c>
      <c r="AK383" s="1">
        <v>0.0</v>
      </c>
      <c r="AL383" s="1">
        <v>0.0</v>
      </c>
      <c r="AM383" s="1">
        <v>0.0</v>
      </c>
      <c r="AN383" s="1">
        <v>0.0</v>
      </c>
      <c r="AO383" s="1">
        <v>0.0</v>
      </c>
      <c r="AP383" s="1">
        <v>0.0</v>
      </c>
      <c r="AQ383" s="1">
        <v>0.0</v>
      </c>
      <c r="AR383" s="1">
        <v>42.0</v>
      </c>
      <c r="AS383" s="1">
        <v>58.0</v>
      </c>
      <c r="AT383" s="4">
        <f t="shared" si="4"/>
        <v>100.0</v>
      </c>
      <c r="AU383" s="4">
        <f t="shared" si="1180"/>
        <v>100.0</v>
      </c>
      <c r="AV383" s="4">
        <f t="shared" si="6"/>
        <v>110.0</v>
      </c>
      <c r="AW383" s="81">
        <f t="shared" si="1299"/>
        <v>50.0</v>
      </c>
      <c r="AX383" s="1">
        <f t="shared" si="1246"/>
        <v>50.0</v>
      </c>
      <c r="AY383" s="1">
        <f t="shared" si="1247"/>
        <v>50.0</v>
      </c>
      <c r="AZ383" s="1">
        <f t="shared" si="1248"/>
        <v>50.0</v>
      </c>
      <c r="BA383" s="1">
        <f t="shared" si="1249"/>
        <v>50.0</v>
      </c>
      <c r="BB383" s="1">
        <f t="shared" si="1250"/>
        <v>50.0</v>
      </c>
      <c r="BC383" s="4">
        <f t="shared" si="728"/>
        <v>300.0</v>
      </c>
      <c r="BD383" s="3">
        <f>VLOOKUP(D383,FEB23SOH,2,false)</f>
        <v>912.0</v>
      </c>
      <c r="BE383" s="44">
        <f>VLOOKUP(D383,UNITVALUE,4,false)</f>
        <v>2.1164</v>
      </c>
      <c r="BF383" s="44">
        <f t="shared" si="941"/>
        <v>1930.1568</v>
      </c>
      <c r="BI383" s="6">
        <f t="shared" si="1277"/>
        <v>612.0</v>
      </c>
      <c r="BM383" s="1">
        <f t="shared" si="1279"/>
        <v>912.0</v>
      </c>
      <c r="BN383" s="1">
        <f t="shared" si="1280"/>
        <v>50.0</v>
      </c>
      <c r="BP383" s="45">
        <f t="shared" si="1281"/>
        <v>862.0</v>
      </c>
      <c r="BQ383" s="5">
        <f t="shared" si="1282"/>
        <v>1824.3368</v>
      </c>
      <c r="BR383" s="1">
        <f t="shared" si="1283"/>
        <v>50.0</v>
      </c>
      <c r="BS383" s="1">
        <f t="shared" si="1275"/>
      </c>
      <c r="BT383" s="45">
        <f t="shared" si="1284"/>
        <v>812.0</v>
      </c>
      <c r="BU383" s="5">
        <f t="shared" si="1285"/>
        <v>1718.5168</v>
      </c>
      <c r="BV383" s="1">
        <f t="shared" si="1286"/>
        <v>50.0</v>
      </c>
      <c r="BW383" s="1">
        <f t="shared" si="1287"/>
      </c>
      <c r="BX383" s="45">
        <f t="shared" si="1288"/>
        <v>762.0</v>
      </c>
      <c r="BY383" s="5">
        <f t="shared" si="1289"/>
        <v>1612.6968</v>
      </c>
      <c r="BZ383" s="1">
        <f t="shared" si="1290"/>
        <v>50.0</v>
      </c>
      <c r="CB383" s="45">
        <f t="shared" si="1291"/>
        <v>712.0</v>
      </c>
      <c r="CC383" s="5">
        <f t="shared" si="1292"/>
        <v>1506.8768</v>
      </c>
      <c r="CD383" s="1">
        <f t="shared" si="1293"/>
        <v>50.0</v>
      </c>
      <c r="CF383" s="45">
        <f t="shared" si="1294"/>
        <v>662.0</v>
      </c>
      <c r="CG383" s="5">
        <f t="shared" si="1295"/>
        <v>1401.0568</v>
      </c>
      <c r="CH383" s="1">
        <f t="shared" si="1296"/>
        <v>50.0</v>
      </c>
      <c r="CJ383" s="45">
        <f t="shared" si="1297"/>
        <v>612.0</v>
      </c>
      <c r="CK383" s="5">
        <f t="shared" si="1298"/>
        <v>1295.2368</v>
      </c>
    </row>
    <row r="384" ht="14.0">
      <c r="A384" s="1" t="s">
        <v>30</v>
      </c>
      <c r="B384" s="78" t="s">
        <v>289</v>
      </c>
      <c r="C384" s="78" t="s">
        <v>817</v>
      </c>
      <c r="D384" s="89" t="s">
        <v>818</v>
      </c>
      <c r="AG384" s="1">
        <v>0.0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</v>
      </c>
      <c r="AO384" s="1">
        <v>0.0</v>
      </c>
      <c r="AP384" s="1">
        <v>0.0</v>
      </c>
      <c r="AQ384" s="1">
        <v>0.0</v>
      </c>
      <c r="AR384" s="1">
        <v>12.0</v>
      </c>
      <c r="AS384" s="1">
        <v>0.0</v>
      </c>
      <c r="AT384" s="4">
        <f t="shared" si="4"/>
        <v>12.0</v>
      </c>
      <c r="AU384" s="4">
        <f t="shared" si="1180"/>
        <v>12.0</v>
      </c>
      <c r="AV384" s="4">
        <f t="shared" si="6"/>
        <v>13.2</v>
      </c>
      <c r="AW384" s="81">
        <f t="shared" si="1299"/>
        <v>6.0</v>
      </c>
      <c r="AX384" s="1">
        <f t="shared" si="1246"/>
        <v>6.0</v>
      </c>
      <c r="AY384" s="1">
        <f t="shared" si="1247"/>
        <v>6.0</v>
      </c>
      <c r="AZ384" s="1">
        <f t="shared" si="1248"/>
        <v>6.0</v>
      </c>
      <c r="BA384" s="1">
        <f t="shared" si="1249"/>
        <v>6.0</v>
      </c>
      <c r="BB384" s="1">
        <f t="shared" si="1250"/>
        <v>6.0</v>
      </c>
      <c r="BC384" s="4">
        <f t="shared" si="728"/>
        <v>36.0</v>
      </c>
      <c r="BD384" s="3">
        <f>VLOOKUP(D384,FEB23SOH,2,false)</f>
        <v>990.0</v>
      </c>
      <c r="BE384" s="44">
        <f>VLOOKUP(D384,UNITVALUE,4,false)</f>
        <v>2.1165</v>
      </c>
      <c r="BF384" s="44">
        <f t="shared" si="941"/>
        <v>2095.335</v>
      </c>
      <c r="BI384" s="6">
        <f t="shared" si="1277"/>
        <v>954.0</v>
      </c>
      <c r="BM384" s="1">
        <f t="shared" si="1279"/>
        <v>990.0</v>
      </c>
      <c r="BN384" s="1">
        <f t="shared" si="1280"/>
        <v>6.0</v>
      </c>
      <c r="BP384" s="45">
        <f t="shared" si="1281"/>
        <v>984.0</v>
      </c>
      <c r="BQ384" s="5">
        <f t="shared" si="1282"/>
        <v>2082.636</v>
      </c>
      <c r="BR384" s="1">
        <f t="shared" si="1283"/>
        <v>6.0</v>
      </c>
      <c r="BS384" s="1">
        <f t="shared" si="1275"/>
      </c>
      <c r="BT384" s="45">
        <f t="shared" si="1284"/>
        <v>978.0</v>
      </c>
      <c r="BU384" s="5">
        <f t="shared" si="1285"/>
        <v>2069.937</v>
      </c>
      <c r="BV384" s="1">
        <f t="shared" si="1286"/>
        <v>6.0</v>
      </c>
      <c r="BW384" s="1">
        <f t="shared" si="1287"/>
      </c>
      <c r="BX384" s="45">
        <f t="shared" si="1288"/>
        <v>972.0</v>
      </c>
      <c r="BY384" s="5">
        <f t="shared" si="1289"/>
        <v>2057.238</v>
      </c>
      <c r="BZ384" s="1">
        <f t="shared" si="1290"/>
        <v>6.0</v>
      </c>
      <c r="CB384" s="45">
        <f t="shared" si="1291"/>
        <v>966.0</v>
      </c>
      <c r="CC384" s="5">
        <f t="shared" si="1292"/>
        <v>2044.539</v>
      </c>
      <c r="CD384" s="1">
        <f t="shared" si="1293"/>
        <v>6.0</v>
      </c>
      <c r="CF384" s="45">
        <f t="shared" si="1294"/>
        <v>960.0</v>
      </c>
      <c r="CG384" s="5">
        <f t="shared" si="1295"/>
        <v>2031.84</v>
      </c>
      <c r="CH384" s="1">
        <f t="shared" si="1296"/>
        <v>6.0</v>
      </c>
      <c r="CJ384" s="45">
        <f t="shared" si="1297"/>
        <v>954.0</v>
      </c>
      <c r="CK384" s="5">
        <f t="shared" si="1298"/>
        <v>2019.141</v>
      </c>
    </row>
    <row r="385" ht="14.0" customFormat="1" s="80">
      <c r="A385" s="1" t="s">
        <v>30</v>
      </c>
      <c r="B385" s="1" t="s">
        <v>289</v>
      </c>
      <c r="C385" s="1" t="s">
        <v>819</v>
      </c>
      <c r="D385" s="2" t="s">
        <v>820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G385" s="1">
        <v>0.0</v>
      </c>
      <c r="AH385" s="1">
        <v>0.0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0.0</v>
      </c>
      <c r="AO385" s="1">
        <v>0.0</v>
      </c>
      <c r="AP385" s="1">
        <v>0.0</v>
      </c>
      <c r="AQ385" s="1">
        <v>0.0</v>
      </c>
      <c r="AR385" s="1">
        <v>33.0</v>
      </c>
      <c r="AS385" s="1">
        <v>37.0</v>
      </c>
      <c r="AT385" s="4">
        <f t="shared" si="4"/>
        <v>70.0</v>
      </c>
      <c r="AU385" s="4">
        <f t="shared" si="1180"/>
        <v>70.0</v>
      </c>
      <c r="AV385" s="4">
        <f t="shared" si="6"/>
        <v>77.0</v>
      </c>
      <c r="AW385" s="81">
        <f t="shared" si="1299"/>
        <v>35.0</v>
      </c>
      <c r="AX385" s="1">
        <f t="shared" si="1246"/>
        <v>35.0</v>
      </c>
      <c r="AY385" s="1">
        <f t="shared" si="1247"/>
        <v>35.0</v>
      </c>
      <c r="AZ385" s="1">
        <f t="shared" si="1248"/>
        <v>35.0</v>
      </c>
      <c r="BA385" s="1">
        <f t="shared" si="1249"/>
        <v>35.0</v>
      </c>
      <c r="BB385" s="1">
        <f t="shared" si="1250"/>
        <v>35.0</v>
      </c>
      <c r="BC385" s="4">
        <f t="shared" si="728"/>
        <v>210.0</v>
      </c>
      <c r="BD385" s="3">
        <f>VLOOKUP(D385,FEB23SOH,2,false)</f>
        <v>939.0</v>
      </c>
      <c r="BE385" s="44">
        <f>VLOOKUP(D385,UNITVALUE,4,false)</f>
        <v>2.1164</v>
      </c>
      <c r="BF385" s="44">
        <f t="shared" si="941"/>
        <v>1987.2996</v>
      </c>
      <c r="BG385" s="1"/>
      <c r="BH385" s="6"/>
      <c r="BI385" s="6">
        <f t="shared" si="1277"/>
        <v>729.0</v>
      </c>
      <c r="BJ385" s="1"/>
      <c r="BK385" s="7"/>
      <c r="BL385" s="8"/>
      <c r="BM385" s="1">
        <f t="shared" si="1279"/>
        <v>939.0</v>
      </c>
      <c r="BN385" s="1">
        <f t="shared" si="1280"/>
        <v>35.0</v>
      </c>
      <c r="BO385" s="1"/>
      <c r="BP385" s="45">
        <f t="shared" si="1281"/>
        <v>904.0</v>
      </c>
      <c r="BQ385" s="5">
        <f t="shared" si="1282"/>
        <v>1913.2256</v>
      </c>
      <c r="BR385" s="1">
        <f t="shared" si="1283"/>
        <v>35.0</v>
      </c>
      <c r="BS385" s="1">
        <f t="shared" si="1275"/>
      </c>
      <c r="BT385" s="45">
        <f t="shared" si="1284"/>
        <v>869.0</v>
      </c>
      <c r="BU385" s="5">
        <f t="shared" si="1285"/>
        <v>1839.1516</v>
      </c>
      <c r="BV385" s="1">
        <f t="shared" si="1286"/>
        <v>35.0</v>
      </c>
      <c r="BW385" s="1">
        <f t="shared" si="1287"/>
      </c>
      <c r="BX385" s="45">
        <f t="shared" si="1288"/>
        <v>834.0</v>
      </c>
      <c r="BY385" s="5">
        <f t="shared" si="1289"/>
        <v>1765.0776</v>
      </c>
      <c r="BZ385" s="1">
        <f t="shared" si="1290"/>
        <v>35.0</v>
      </c>
      <c r="CA385" s="1"/>
      <c r="CB385" s="45">
        <f t="shared" si="1291"/>
        <v>799.0</v>
      </c>
      <c r="CC385" s="5">
        <f t="shared" si="1292"/>
        <v>1691.0036</v>
      </c>
      <c r="CD385" s="1">
        <f t="shared" si="1293"/>
        <v>35.0</v>
      </c>
      <c r="CE385" s="1"/>
      <c r="CF385" s="45">
        <f t="shared" si="1294"/>
        <v>764.0</v>
      </c>
      <c r="CG385" s="5">
        <f t="shared" si="1295"/>
        <v>1616.9296</v>
      </c>
      <c r="CH385" s="1">
        <f t="shared" si="1296"/>
        <v>35.0</v>
      </c>
      <c r="CI385" s="1"/>
      <c r="CJ385" s="45">
        <f t="shared" si="1297"/>
        <v>729.0</v>
      </c>
      <c r="CK385" s="5">
        <f t="shared" si="1298"/>
        <v>1542.8556</v>
      </c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</row>
    <row r="386" ht="14.0" customFormat="1" s="1">
      <c r="A386" s="1" t="s">
        <v>30</v>
      </c>
      <c r="B386" s="1" t="s">
        <v>758</v>
      </c>
      <c r="C386" s="1" t="s">
        <v>821</v>
      </c>
      <c r="D386" s="2" t="s">
        <v>822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0.0</v>
      </c>
      <c r="AP386" s="1">
        <v>0.0</v>
      </c>
      <c r="AQ386" s="1">
        <v>1.0</v>
      </c>
      <c r="AR386" s="1">
        <v>0.0</v>
      </c>
      <c r="AS386" s="1">
        <v>0.0</v>
      </c>
      <c r="AT386" s="4">
        <f t="shared" si="4"/>
        <v>1.0</v>
      </c>
      <c r="AU386" s="4">
        <f t="shared" si="1180"/>
        <v>1.0</v>
      </c>
      <c r="AV386" s="4">
        <f t="shared" si="6"/>
        <v>1.1</v>
      </c>
      <c r="AW386" s="81">
        <f>AVERAGE(AP386:AS386)</f>
        <v>0.25</v>
      </c>
      <c r="AX386" s="1">
        <f t="shared" si="1246"/>
        <v>0.25</v>
      </c>
      <c r="AY386" s="1">
        <f t="shared" si="1247"/>
        <v>0.25</v>
      </c>
      <c r="AZ386" s="1">
        <f t="shared" si="1248"/>
        <v>0.25</v>
      </c>
      <c r="BA386" s="1">
        <f t="shared" si="1249"/>
        <v>0.25</v>
      </c>
      <c r="BB386" s="1">
        <f t="shared" si="1250"/>
        <v>0.25</v>
      </c>
      <c r="BC386" s="4">
        <f t="shared" si="728"/>
        <v>1.5</v>
      </c>
      <c r="BD386" s="3">
        <f>VLOOKUP(D386,FEB23SOH,2,false)</f>
        <v>0.0</v>
      </c>
      <c r="BE386" s="44">
        <f>VLOOKUP(D386,UNITVALUE,4,false)</f>
      </c>
      <c r="BF386" s="44">
        <f t="shared" si="941"/>
        <v>0.0</v>
      </c>
      <c r="BH386" s="6"/>
      <c r="BI386" s="6"/>
      <c r="BJ386" s="6"/>
      <c r="BK386" s="7"/>
      <c r="BL386" s="8"/>
      <c r="BQ386" s="5"/>
      <c r="BS386" s="1">
        <f t="shared" si="1275"/>
      </c>
      <c r="AMW386" s="80"/>
      <c r="AMX386" s="80"/>
      <c r="AMY386" s="80"/>
      <c r="AMZ386" s="80"/>
      <c r="ANA386" s="80"/>
      <c r="ANB386" s="80"/>
      <c r="ANC386" s="80"/>
      <c r="AND386" s="80"/>
      <c r="ANE386" s="80"/>
      <c r="ANF386" s="80"/>
      <c r="ANG386" s="80"/>
      <c r="ANH386" s="80"/>
      <c r="ANI386" s="80"/>
      <c r="ANJ386" s="80"/>
      <c r="ANK386" s="80"/>
      <c r="ANL386" s="80"/>
      <c r="ANM386" s="80"/>
      <c r="ANN386" s="80"/>
      <c r="ANO386" s="80"/>
      <c r="ANP386" s="80"/>
      <c r="ANQ386" s="80"/>
      <c r="ANR386" s="80"/>
      <c r="ANS386" s="80"/>
      <c r="ANT386" s="80"/>
      <c r="ANU386" s="80"/>
      <c r="ANV386" s="80"/>
    </row>
    <row r="387" customFormat="1" s="1">
      <c r="D387" s="2"/>
      <c r="AT387" s="3"/>
      <c r="AU387" s="3"/>
      <c r="AV387" s="3"/>
      <c r="BC387" s="4"/>
      <c r="BD387" s="3"/>
      <c r="BE387" s="5"/>
      <c r="BF387" s="5"/>
      <c r="BH387" s="6"/>
      <c r="BI387" s="6"/>
      <c r="BK387" s="7"/>
      <c r="BL387" s="8"/>
      <c r="BQ387" s="5"/>
      <c r="AMW387" s="80"/>
      <c r="AMX387" s="80"/>
      <c r="AMY387" s="80"/>
      <c r="AMZ387" s="80"/>
      <c r="ANA387" s="80"/>
      <c r="ANB387" s="80"/>
      <c r="ANC387" s="80"/>
      <c r="AND387" s="80"/>
      <c r="ANE387" s="80"/>
      <c r="ANF387" s="80"/>
      <c r="ANG387" s="80"/>
      <c r="ANH387" s="80"/>
      <c r="ANI387" s="80"/>
      <c r="ANJ387" s="80"/>
      <c r="ANK387" s="80"/>
      <c r="ANL387" s="80"/>
      <c r="ANM387" s="80"/>
      <c r="ANN387" s="80"/>
      <c r="ANO387" s="80"/>
      <c r="ANP387" s="80"/>
      <c r="ANQ387" s="80"/>
      <c r="ANR387" s="80"/>
      <c r="ANS387" s="80"/>
      <c r="ANT387" s="80"/>
      <c r="ANU387" s="80"/>
      <c r="ANV387" s="80"/>
    </row>
  </sheetData>
  <mergeCells count="6">
    <mergeCell ref="BN5:BP5"/>
    <mergeCell ref="CD5:CF5"/>
    <mergeCell ref="BR5:BT5"/>
    <mergeCell ref="CH5:CJ5"/>
    <mergeCell ref="BV5:BX5"/>
    <mergeCell ref="BZ5:CB5"/>
  </mergeCells>
  <conditionalFormatting sqref="E7:AS57">
    <cfRule dxfId="0" operator="equal" type="cellIs" priority="1">
      <formula>0</formula>
    </cfRule>
  </conditionalFormatting>
  <conditionalFormatting sqref="C59:AS74">
    <cfRule dxfId="0" operator="equal" type="cellIs" priority="2">
      <formula>0</formula>
    </cfRule>
  </conditionalFormatting>
  <conditionalFormatting sqref="C1:C4 C7:C328 C330:C262093">
    <cfRule dxfId="1" operator="containsText" type="containsText" priority="3" text="set up">
      <formula>NOT(ISERROR(SEARCH("set up",C1)))</formula>
    </cfRule>
  </conditionalFormatting>
  <conditionalFormatting sqref="BH1:BI4 BI20:BI21 BI28:BI30 BI82:BI86 BI209:BI210 BI277:BI278 BI318:BI319 BI332:BI334 BH7:BI13 BI57:BI57 BH14:BH89 BH90:BI90 BH91:BH120 BH121:BI121 BH122:BH128 BH129:BI129 BH130:BH154 BH155:BI155 BH156:BH167 BH168:BI168 BH169:BH182 BH183:BI183 BH184:BH224 BH225:BI225 BH226:BH239 BH240:BI240 BH241:BH289 BH290:BI290 BH291:BH339 BH340:BI340 BH353:BI353 BH341:BH352 BI360:BI362 BI376:BI262093 BJ386:BJ386 BH364:BI364 BH365:BH262093 BH354:BH363 BI357:BJ357 BI373:BJ374">
    <cfRule dxfId="2" operator="lessThan" type="cellIs" priority="4">
      <formula>0</formula>
    </cfRule>
  </conditionalFormatting>
  <conditionalFormatting sqref="BM7:BP87 BM89:BP235 BM280:BT280 BM283:BX283 BM287:BX287 BM320:BX320 BM322:BP323 BO324:BO327 BO330:BO331 BO333:BO334 BQ7:BQ22 BQ24:BQ87 BQ89:BQ100 BQ102:BQ123 BQ125:BQ129 BQ131:BQ135 BQ137:BQ138 BQ140:BQ143 BQ145:BQ198 BQ200:BQ204 BQ206:BQ211 BQ213:BQ279 BQ281:BQ282 BQ284:BQ286 BQ288:BQ319 BQ321:BQ323 BR7:BT87 BR89:BT235 BR322:BR323 BS236:BS279 BS281:BS282 BS284:BS286 BS288:BS319 BS321:BS323 BT322:BT323 BU7:BU22 BU24:BU87 BU89:BU100 BU102:BU121 BU125:BU129 BU131:BU135 BU137:BU138 BU140:BU143 BU145:BU186 BU188:BU198 BU200:BU201 BU203:BU204 BU206:BU210 BU213:BU225 BU227:BU279 BU281:BU282 BU284:BU286 BU288:BU319 BU321:BU321 BU323:BU323 BV7:BX87 BV89:BX235 BV280:BX280 BV322:BX323 BY7:BY23 BY32:BY32 BY37:BY37 BY39:BY39 BY41:BY41 BY43:BY43 BY46:BY46 BY48:BY50 BY53:BY54 BY56:BY56 BY78:BY78 BY175:BY175 BY235:BY235 BY323:BY323 BZ7:CB87 BZ89:CB323 CC7:CC12 CC14:CC19 CC22:CC23 CC32:CC32 CC37:CC37 CC39:CC39 CC41:CC41 CC43:CC43 CC46:CC46 CC48:CC55 CC60:CC81 CC87:CC87 CC89:CC89 CC91:CC100 CC102:CC109 CC111:CC120 CC125:CC126 CC131:CC131 CC133:CC135 CC137:CC138 CC140:CC141 CC164:CC164 CC189:CC189 CC220:CC220 CC326:CC326 CC331:CC331 CD7:CF87 CD89:CF323 CG7:CG12 CG14:CG19 CG22:CG23 CG32:CG32 CG37:CG37 CG39:CG39 CG41:CG41 CG43:CG43 CG46:CG46 CG72:CG72 CG97:CG98 CG141:CG141 CG164:CG164 CG189:CG189 CG220:CG220 CG326:CG326 CG331:CG331 CH7:CJ87 CH89:CJ323 BM363:BN364 BO359:BO359 BP363:CJ364 BS386:BS386 BM351:BN356 BP351:CJ356">
    <cfRule dxfId="3" operator="lessThan" type="cellIs" priority="5">
      <formula>0</formula>
    </cfRule>
  </conditionalFormatting>
  <conditionalFormatting sqref="C1:C4 C7:C328 C330:C262126">
    <cfRule dxfId="1" operator="containsText" type="containsText" priority="6" text="STARTER PACK">
      <formula>NOT(ISERROR(SEARCH("STARTER PACK",C1)))</formula>
    </cfRule>
  </conditionalFormatting>
  <conditionalFormatting sqref="C5:C6">
    <cfRule dxfId="1" operator="containsText" type="containsText" priority="7" text="set up">
      <formula>NOT(ISERROR(SEARCH("set up",C5)))</formula>
    </cfRule>
  </conditionalFormatting>
  <conditionalFormatting sqref="BH5:BI6">
    <cfRule dxfId="2" operator="lessThan" type="cellIs" priority="8">
      <formula>0</formula>
    </cfRule>
  </conditionalFormatting>
  <conditionalFormatting sqref="C5:C6">
    <cfRule dxfId="1" operator="containsText" type="containsText" priority="9" text="SET UP">
      <formula>NOT(ISERROR(SEARCH("SET UP",C5)))</formula>
    </cfRule>
  </conditionalFormatting>
  <conditionalFormatting sqref="C5:C6">
    <cfRule dxfId="1" operator="containsText" type="containsText" priority="10" text="starter pack">
      <formula>NOT(ISERROR(SEARCH("starter pack",C5)))</formula>
    </cfRule>
  </conditionalFormatting>
  <conditionalFormatting sqref="BK5:BK6">
    <cfRule dxfId="4" operator="greaterThan" type="cellIs" priority="11">
      <formula>0</formula>
    </cfRule>
  </conditionalFormatting>
  <conditionalFormatting sqref="AC75:AS346">
    <cfRule dxfId="0" operator="lessThanOrEqual" type="cellIs" priority="12">
      <formula>0</formula>
    </cfRule>
  </conditionalFormatting>
  <conditionalFormatting sqref="BI1:BI12 BI353:BI353 BI364:BI364 BI377:BI385 BI387:BI262142">
    <cfRule dxfId="3" operator="lessThan" type="cellIs" priority="13">
      <formula>0</formula>
    </cfRule>
  </conditionalFormatting>
  <conditionalFormatting sqref="CK7:CK12 CK14:CK19 CK22:CK24 CK32:CK32 CK43:CK43 CK46:CK46 CK72:CK72 CK97:CK98 CK141:CK141 CK164:CK164 CK189:CK189 CK220:CK220 CK326:CK326 CK331:CK331 CK363:CK364 CK351:CK356">
    <cfRule dxfId="3" operator="lessThan" type="cellIs" priority="14">
      <formula>0</formula>
    </cfRule>
  </conditionalFormatting>
  <conditionalFormatting sqref="BI1:BI12 BI353:BI353 BI364:BI364 BI377:BI385 BI387:BI262142">
    <cfRule dxfId="3" operator="lessThan" type="cellIs" priority="15">
      <formula>0</formula>
    </cfRule>
  </conditionalFormatting>
  <conditionalFormatting sqref="BD7:BD386">
    <cfRule dxfId="3" operator="lessThanOrEqual" type="cellIs" priority="16">
      <formula>0</formula>
    </cfRule>
  </conditionalFormatting>
  <conditionalFormatting sqref="BI89:BI170 BI172:BI349 BI360:BI372 BI377:BI385 BI387:BI262142 BI351:BI356 BI358:BI358 BI1:BI87">
    <cfRule dxfId="3" operator="lessThan" type="cellIs" priority="17">
      <formula>0</formula>
    </cfRule>
  </conditionalFormatting>
  <conditionalFormatting sqref="BP7:CK23 BP24:CJ43 BP44:CF87 BP89:CF141 BY164:BY164 BZ142:CB164 CC164:CC164 CC189:CC189 CC220:CC220 CC326:CC326 CC331:CC331 CD142:CF331 CG46:CG46 CG72:CG72 CG97:CG98 CG141:CG141 CG164:CG164 CG189:CG189 CG220:CG220 CG326:CG326 CG331:CG331 CH44:CJ87 CH89:CJ331 CK24:CK24 CK32:CK32 CK43:CK43 CK46:CK46 CK72:CK72 CK97:CK98 CK141:CK141 CK164:CK164 CK189:CK189 CK220:CK220 CK326:CK326 CK331:CK331 BY165:CB350 BP142:BX350 CC332:CK350 BP351:CK386">
    <cfRule dxfId="3" operator="lessThan" type="cellIs" priority="18">
      <formula>0</formula>
    </cfRule>
  </conditionalFormatting>
  <conditionalFormatting sqref="AG344:AS386">
    <cfRule dxfId="0" operator="equal" type="cellIs" priority="19">
      <formula>0</formula>
    </cfRule>
  </conditionalFormatting>
  <conditionalFormatting sqref="BI375:BI375">
    <cfRule dxfId="2" operator="lessThan" type="cellIs" priority="20">
      <formula>0</formula>
    </cfRule>
  </conditionalFormatting>
  <conditionalFormatting sqref="BJ375:BJ375">
    <cfRule dxfId="2" operator="lessThan" type="cellIs" priority="21">
      <formula>0</formula>
    </cfRule>
  </conditionalFormatting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T82"/>
  <sheetViews>
    <sheetView workbookViewId="0"/>
  </sheetViews>
  <sheetFormatPr defaultRowHeight="14.0" customHeight="1"/>
  <cols>
    <col min="1" max="1" style="1" width="6.35"/>
    <col min="2" max="2" style="2" width="21.19"/>
    <col min="3" max="3" style="1" width="13.64"/>
    <col min="4" max="4" style="1" width="48.09"/>
    <col min="5" max="5" style="2" width="10.2"/>
    <col min="6" max="6" style="1" width="12.05"/>
    <col min="7" max="7" style="1" width="12.18"/>
    <col min="8" max="8" style="90" width="10.73"/>
    <col min="9" max="9" style="90" width="13.51"/>
    <col min="10" max="10" style="91" width="14.44"/>
    <col min="11" max="11" style="1" width="13.77"/>
    <col min="12" max="12" style="40" width="13.77"/>
    <col min="13" max="13" style="40" width="14.44"/>
    <col min="14" max="14" style="49" width="12.32"/>
    <col min="15" max="15" style="8" width="8.61"/>
    <col min="16" max="16" style="1" width="13.91"/>
    <col min="17" max="17" style="1" width="33.52"/>
    <col min="18" max="18" style="92" width="15.63"/>
    <col min="19" max="19" style="1" width="4.5"/>
    <col min="20" max="20" style="1" width="16.29"/>
    <col min="21" max="1028" style="1" width="13.24"/>
    <col min="1029" max="2048" style="1" width="13.24"/>
  </cols>
  <sheetData>
    <row r="1">
      <c r="F1" s="93"/>
      <c r="G1" s="93"/>
      <c r="J1" s="2"/>
      <c r="Q1" s="94"/>
    </row>
    <row r="3" ht="43.0">
      <c r="B3" s="95" t="s">
        <v>11</v>
      </c>
      <c r="C3" s="95" t="s">
        <v>12</v>
      </c>
      <c r="D3" s="96" t="s">
        <v>823</v>
      </c>
      <c r="E3" s="96" t="s">
        <v>824</v>
      </c>
      <c r="F3" s="96" t="s">
        <v>825</v>
      </c>
      <c r="G3" s="96" t="s">
        <v>826</v>
      </c>
      <c r="H3" s="97" t="s">
        <v>19</v>
      </c>
      <c r="I3" s="97" t="s">
        <v>20</v>
      </c>
      <c r="J3" s="96" t="s">
        <v>827</v>
      </c>
      <c r="K3" s="98" t="s">
        <v>828</v>
      </c>
      <c r="L3" s="98" t="s">
        <v>22</v>
      </c>
      <c r="M3" s="96" t="s">
        <v>829</v>
      </c>
      <c r="N3" s="99" t="s">
        <v>830</v>
      </c>
      <c r="O3" s="100" t="s">
        <v>24</v>
      </c>
      <c r="P3" s="101" t="s">
        <v>831</v>
      </c>
      <c r="Q3" s="101" t="s">
        <v>832</v>
      </c>
      <c r="R3" s="102" t="s">
        <v>833</v>
      </c>
    </row>
    <row r="4" ht="14.0">
      <c r="B4" s="103" t="s">
        <v>30</v>
      </c>
      <c r="C4" s="104" t="s">
        <v>46</v>
      </c>
      <c r="D4" s="104" t="s">
        <v>57</v>
      </c>
      <c r="E4" s="103" t="s">
        <v>58</v>
      </c>
      <c r="F4" s="104">
        <v>40.0</v>
      </c>
      <c r="G4" s="104">
        <v>30.0</v>
      </c>
      <c r="H4" s="105">
        <v>1.86</v>
      </c>
      <c r="I4" s="105">
        <v>55.89</v>
      </c>
      <c r="J4" s="106" t="s">
        <v>9</v>
      </c>
      <c r="K4" s="104"/>
      <c r="L4" s="107"/>
      <c r="M4" s="107"/>
      <c r="N4" s="108">
        <v>-10.0</v>
      </c>
      <c r="O4" s="109">
        <v>1002.0</v>
      </c>
      <c r="P4" s="109">
        <v>1002.0</v>
      </c>
      <c r="Q4" s="110" t="s">
        <v>834</v>
      </c>
      <c r="R4" s="111"/>
      <c r="T4" s="1" t="s">
        <v>835</v>
      </c>
    </row>
    <row r="5" ht="14.0">
      <c r="B5" s="112" t="s">
        <v>30</v>
      </c>
      <c r="C5" s="113" t="s">
        <v>63</v>
      </c>
      <c r="D5" s="113" t="s">
        <v>66</v>
      </c>
      <c r="E5" s="112" t="s">
        <v>67</v>
      </c>
      <c r="F5" s="113">
        <v>372.0</v>
      </c>
      <c r="G5" s="113">
        <v>0.0</v>
      </c>
      <c r="H5" s="114"/>
      <c r="I5" s="114" t="s">
        <v>836</v>
      </c>
      <c r="J5" s="115" t="s">
        <v>68</v>
      </c>
      <c r="K5" s="113"/>
      <c r="L5" s="116"/>
      <c r="M5" s="116"/>
      <c r="N5" s="117">
        <v>-372.0</v>
      </c>
      <c r="O5" s="118">
        <v>1002.0</v>
      </c>
      <c r="P5" s="118">
        <v>1002.0</v>
      </c>
      <c r="Q5" s="119" t="s">
        <v>509</v>
      </c>
      <c r="R5" s="120"/>
    </row>
    <row r="6" ht="14.0">
      <c r="B6" s="103" t="s">
        <v>30</v>
      </c>
      <c r="C6" s="104" t="s">
        <v>83</v>
      </c>
      <c r="D6" s="104" t="s">
        <v>86</v>
      </c>
      <c r="E6" s="121" t="s">
        <v>87</v>
      </c>
      <c r="F6" s="104">
        <v>540.0</v>
      </c>
      <c r="G6" s="104">
        <v>255.0</v>
      </c>
      <c r="H6" s="105">
        <v>0.35</v>
      </c>
      <c r="I6" s="105">
        <v>89.2</v>
      </c>
      <c r="J6" s="106" t="s">
        <v>8</v>
      </c>
      <c r="K6" s="104"/>
      <c r="L6" s="107"/>
      <c r="M6" s="107"/>
      <c r="N6" s="122">
        <v>-285.0</v>
      </c>
      <c r="O6" s="123">
        <v>1002.0</v>
      </c>
      <c r="P6" s="123">
        <v>1002.0</v>
      </c>
      <c r="Q6" s="124" t="s">
        <v>837</v>
      </c>
      <c r="R6" s="111">
        <f>P6*H6</f>
        <v>350.7</v>
      </c>
      <c r="T6" s="125" t="s">
        <v>838</v>
      </c>
    </row>
    <row r="7" ht="14.0">
      <c r="B7" s="103" t="s">
        <v>30</v>
      </c>
      <c r="C7" s="104" t="s">
        <v>83</v>
      </c>
      <c r="D7" s="104" t="s">
        <v>90</v>
      </c>
      <c r="E7" s="103" t="s">
        <v>91</v>
      </c>
      <c r="F7" s="104">
        <v>636.0</v>
      </c>
      <c r="G7" s="104">
        <v>636.0</v>
      </c>
      <c r="H7" s="105">
        <v>0.33</v>
      </c>
      <c r="I7" s="105">
        <v>212.74</v>
      </c>
      <c r="J7" s="106" t="s">
        <v>10</v>
      </c>
      <c r="K7" s="104"/>
      <c r="L7" s="107"/>
      <c r="M7" s="107"/>
      <c r="N7" s="126">
        <v>0.0</v>
      </c>
      <c r="O7" s="109">
        <v>1002.0</v>
      </c>
      <c r="P7" s="109">
        <v>1002.0</v>
      </c>
      <c r="Q7" s="127" t="s">
        <v>839</v>
      </c>
      <c r="R7" s="111"/>
    </row>
    <row r="8" ht="14.0">
      <c r="B8" s="103" t="s">
        <v>30</v>
      </c>
      <c r="C8" s="104" t="s">
        <v>83</v>
      </c>
      <c r="D8" s="104" t="s">
        <v>96</v>
      </c>
      <c r="E8" s="121" t="s">
        <v>97</v>
      </c>
      <c r="F8" s="104">
        <v>408.0</v>
      </c>
      <c r="G8" s="104">
        <v>201.0</v>
      </c>
      <c r="H8" s="105">
        <v>0.36</v>
      </c>
      <c r="I8" s="105">
        <v>72.36</v>
      </c>
      <c r="J8" s="106" t="s">
        <v>8</v>
      </c>
      <c r="K8" s="104"/>
      <c r="L8" s="107"/>
      <c r="M8" s="107"/>
      <c r="N8" s="122">
        <v>-207.0</v>
      </c>
      <c r="O8" s="123">
        <v>1002.0</v>
      </c>
      <c r="P8" s="123">
        <v>1002.0</v>
      </c>
      <c r="Q8" s="124" t="s">
        <v>837</v>
      </c>
      <c r="R8" s="111">
        <f>P8*H8</f>
        <v>360.72</v>
      </c>
    </row>
    <row r="9" ht="14.0">
      <c r="B9" s="103" t="s">
        <v>30</v>
      </c>
      <c r="C9" s="104" t="s">
        <v>83</v>
      </c>
      <c r="D9" s="104" t="s">
        <v>100</v>
      </c>
      <c r="E9" s="121" t="s">
        <v>101</v>
      </c>
      <c r="F9" s="104">
        <v>720.0</v>
      </c>
      <c r="G9" s="104">
        <v>0.0</v>
      </c>
      <c r="H9" s="128"/>
      <c r="I9" s="128" t="s">
        <v>836</v>
      </c>
      <c r="J9" s="129" t="s">
        <v>68</v>
      </c>
      <c r="K9" s="104"/>
      <c r="L9" s="107"/>
      <c r="M9" s="107"/>
      <c r="N9" s="122">
        <v>-720.0</v>
      </c>
      <c r="O9" s="123">
        <v>1002.0</v>
      </c>
      <c r="P9" s="123">
        <v>1002.0</v>
      </c>
      <c r="Q9" s="124" t="s">
        <v>837</v>
      </c>
      <c r="R9" s="111">
        <f>P9*0.35</f>
        <v>350.7</v>
      </c>
    </row>
    <row r="10" ht="14.0">
      <c r="B10" s="103" t="s">
        <v>30</v>
      </c>
      <c r="C10" s="104" t="s">
        <v>83</v>
      </c>
      <c r="D10" s="104" t="s">
        <v>104</v>
      </c>
      <c r="E10" s="121" t="s">
        <v>105</v>
      </c>
      <c r="F10" s="104">
        <v>492.0</v>
      </c>
      <c r="G10" s="104">
        <v>12.0</v>
      </c>
      <c r="H10" s="105">
        <v>0.36</v>
      </c>
      <c r="I10" s="105">
        <v>4.31</v>
      </c>
      <c r="J10" s="106" t="s">
        <v>5</v>
      </c>
      <c r="K10" s="104"/>
      <c r="L10" s="107"/>
      <c r="M10" s="107"/>
      <c r="N10" s="122">
        <v>-480.0</v>
      </c>
      <c r="O10" s="123">
        <v>1002.0</v>
      </c>
      <c r="P10" s="123">
        <v>1002.0</v>
      </c>
      <c r="Q10" s="124" t="s">
        <v>837</v>
      </c>
      <c r="R10" s="111">
        <f t="shared" ref="R10:R12" si="3">P10*H10</f>
        <v>360.72</v>
      </c>
    </row>
    <row r="11" ht="14.0">
      <c r="B11" s="103" t="s">
        <v>30</v>
      </c>
      <c r="C11" s="104" t="s">
        <v>83</v>
      </c>
      <c r="D11" s="104" t="s">
        <v>108</v>
      </c>
      <c r="E11" s="121" t="s">
        <v>109</v>
      </c>
      <c r="F11" s="104">
        <v>570.0</v>
      </c>
      <c r="G11" s="104">
        <v>246.0</v>
      </c>
      <c r="H11" s="105">
        <v>0.35</v>
      </c>
      <c r="I11" s="105">
        <v>86.05</v>
      </c>
      <c r="J11" s="129" t="s">
        <v>7</v>
      </c>
      <c r="K11" s="104"/>
      <c r="L11" s="107"/>
      <c r="M11" s="107"/>
      <c r="N11" s="122">
        <v>-324.0</v>
      </c>
      <c r="O11" s="123">
        <v>1002.0</v>
      </c>
      <c r="P11" s="123">
        <v>1002.0</v>
      </c>
      <c r="Q11" s="124" t="s">
        <v>837</v>
      </c>
      <c r="R11" s="111">
        <f t="shared" si="3"/>
        <v>350.7</v>
      </c>
    </row>
    <row r="12" ht="14.0">
      <c r="B12" s="103" t="s">
        <v>30</v>
      </c>
      <c r="C12" s="104" t="s">
        <v>83</v>
      </c>
      <c r="D12" s="104" t="s">
        <v>114</v>
      </c>
      <c r="E12" s="121" t="s">
        <v>115</v>
      </c>
      <c r="F12" s="104">
        <v>372.0</v>
      </c>
      <c r="G12" s="104">
        <v>186.0</v>
      </c>
      <c r="H12" s="105">
        <v>0.36</v>
      </c>
      <c r="I12" s="105">
        <v>67.02</v>
      </c>
      <c r="J12" s="106" t="s">
        <v>8</v>
      </c>
      <c r="K12" s="104"/>
      <c r="L12" s="107"/>
      <c r="M12" s="107"/>
      <c r="N12" s="122">
        <v>-186.0</v>
      </c>
      <c r="O12" s="123">
        <v>1002.0</v>
      </c>
      <c r="P12" s="123">
        <v>1002.0</v>
      </c>
      <c r="Q12" s="124" t="s">
        <v>837</v>
      </c>
      <c r="R12" s="111">
        <f t="shared" si="3"/>
        <v>360.72</v>
      </c>
    </row>
    <row r="13" ht="14.0">
      <c r="B13" s="103" t="s">
        <v>30</v>
      </c>
      <c r="C13" s="104" t="s">
        <v>83</v>
      </c>
      <c r="D13" s="104" t="s">
        <v>118</v>
      </c>
      <c r="E13" s="103" t="s">
        <v>119</v>
      </c>
      <c r="F13" s="104">
        <v>528.0</v>
      </c>
      <c r="G13" s="104">
        <v>461.0</v>
      </c>
      <c r="H13" s="105">
        <v>0.35</v>
      </c>
      <c r="I13" s="105">
        <v>161.3</v>
      </c>
      <c r="J13" s="106" t="s">
        <v>10</v>
      </c>
      <c r="K13" s="104"/>
      <c r="L13" s="107"/>
      <c r="M13" s="107"/>
      <c r="N13" s="108">
        <v>-67.0</v>
      </c>
      <c r="O13" s="109">
        <v>1002.0</v>
      </c>
      <c r="P13" s="109">
        <v>1002.0</v>
      </c>
      <c r="Q13" s="127" t="s">
        <v>839</v>
      </c>
      <c r="R13" s="111"/>
    </row>
    <row r="14" ht="14.0">
      <c r="B14" s="103" t="s">
        <v>30</v>
      </c>
      <c r="C14" s="104" t="s">
        <v>83</v>
      </c>
      <c r="D14" s="104" t="s">
        <v>120</v>
      </c>
      <c r="E14" s="103" t="s">
        <v>121</v>
      </c>
      <c r="F14" s="104">
        <v>323.0</v>
      </c>
      <c r="G14" s="104">
        <v>264.0</v>
      </c>
      <c r="H14" s="105">
        <v>0.36</v>
      </c>
      <c r="I14" s="105">
        <v>94.88</v>
      </c>
      <c r="J14" s="106" t="s">
        <v>10</v>
      </c>
      <c r="K14" s="104"/>
      <c r="L14" s="107"/>
      <c r="M14" s="107"/>
      <c r="N14" s="108">
        <v>-59.0</v>
      </c>
      <c r="O14" s="109">
        <v>1002.0</v>
      </c>
      <c r="P14" s="109">
        <v>1002.0</v>
      </c>
      <c r="Q14" s="127" t="s">
        <v>839</v>
      </c>
      <c r="R14" s="111"/>
    </row>
    <row r="15" ht="14.0">
      <c r="B15" s="103" t="s">
        <v>30</v>
      </c>
      <c r="C15" s="104" t="s">
        <v>83</v>
      </c>
      <c r="D15" s="104" t="s">
        <v>122</v>
      </c>
      <c r="E15" s="103" t="s">
        <v>123</v>
      </c>
      <c r="F15" s="104">
        <v>156.0</v>
      </c>
      <c r="G15" s="104">
        <v>120.0</v>
      </c>
      <c r="H15" s="105">
        <v>0.33</v>
      </c>
      <c r="I15" s="105">
        <v>39.52</v>
      </c>
      <c r="J15" s="106" t="s">
        <v>9</v>
      </c>
      <c r="K15" s="104"/>
      <c r="L15" s="107"/>
      <c r="M15" s="107"/>
      <c r="N15" s="108">
        <v>-36.0</v>
      </c>
      <c r="O15" s="109">
        <v>1002.0</v>
      </c>
      <c r="P15" s="109">
        <v>1002.0</v>
      </c>
      <c r="Q15" s="127" t="s">
        <v>839</v>
      </c>
      <c r="R15" s="111"/>
    </row>
    <row r="16" ht="14.0">
      <c r="B16" s="103" t="s">
        <v>30</v>
      </c>
      <c r="C16" s="104" t="s">
        <v>83</v>
      </c>
      <c r="D16" s="104" t="s">
        <v>128</v>
      </c>
      <c r="E16" s="121" t="s">
        <v>129</v>
      </c>
      <c r="F16" s="104">
        <v>348.0</v>
      </c>
      <c r="G16" s="104">
        <v>90.0</v>
      </c>
      <c r="H16" s="105">
        <v>0.34</v>
      </c>
      <c r="I16" s="105">
        <v>30.19</v>
      </c>
      <c r="J16" s="129" t="s">
        <v>6</v>
      </c>
      <c r="K16" s="104"/>
      <c r="L16" s="107"/>
      <c r="M16" s="107"/>
      <c r="N16" s="122">
        <v>-258.0</v>
      </c>
      <c r="O16" s="123">
        <v>1002.0</v>
      </c>
      <c r="P16" s="123">
        <v>1002.0</v>
      </c>
      <c r="Q16" s="124" t="s">
        <v>837</v>
      </c>
      <c r="R16" s="111">
        <f t="shared" ref="R16:R19" si="4">P16*H16</f>
        <v>340.68</v>
      </c>
    </row>
    <row r="17" ht="14.0">
      <c r="B17" s="103" t="s">
        <v>30</v>
      </c>
      <c r="C17" s="104" t="s">
        <v>83</v>
      </c>
      <c r="D17" s="104" t="s">
        <v>130</v>
      </c>
      <c r="E17" s="121" t="s">
        <v>131</v>
      </c>
      <c r="F17" s="104">
        <v>216.0</v>
      </c>
      <c r="G17" s="104">
        <v>70.0</v>
      </c>
      <c r="H17" s="105">
        <v>0.35</v>
      </c>
      <c r="I17" s="105">
        <v>24.3</v>
      </c>
      <c r="J17" s="129" t="s">
        <v>7</v>
      </c>
      <c r="K17" s="104"/>
      <c r="L17" s="107"/>
      <c r="M17" s="107"/>
      <c r="N17" s="122">
        <v>-146.0</v>
      </c>
      <c r="O17" s="123">
        <v>1002.0</v>
      </c>
      <c r="P17" s="123">
        <v>1002.0</v>
      </c>
      <c r="Q17" s="124" t="s">
        <v>837</v>
      </c>
      <c r="R17" s="111">
        <f t="shared" si="4"/>
        <v>350.7</v>
      </c>
    </row>
    <row r="18" ht="14.0">
      <c r="B18" s="103" t="s">
        <v>30</v>
      </c>
      <c r="C18" s="104" t="s">
        <v>83</v>
      </c>
      <c r="D18" s="104" t="s">
        <v>134</v>
      </c>
      <c r="E18" s="121" t="s">
        <v>135</v>
      </c>
      <c r="F18" s="104">
        <v>462.0</v>
      </c>
      <c r="G18" s="104">
        <v>0.0</v>
      </c>
      <c r="H18" s="128">
        <v>0.0</v>
      </c>
      <c r="I18" s="128" t="s">
        <v>836</v>
      </c>
      <c r="J18" s="129" t="s">
        <v>68</v>
      </c>
      <c r="K18" s="104"/>
      <c r="L18" s="107"/>
      <c r="M18" s="107"/>
      <c r="N18" s="122">
        <v>-462.0</v>
      </c>
      <c r="O18" s="123">
        <v>1002.0</v>
      </c>
      <c r="P18" s="123">
        <v>1002.0</v>
      </c>
      <c r="Q18" s="124" t="s">
        <v>837</v>
      </c>
      <c r="R18" s="111">
        <f t="shared" si="4"/>
        <v>0.0</v>
      </c>
    </row>
    <row r="19" ht="14.0">
      <c r="B19" s="103" t="s">
        <v>30</v>
      </c>
      <c r="C19" s="104" t="s">
        <v>289</v>
      </c>
      <c r="D19" s="104" t="s">
        <v>294</v>
      </c>
      <c r="E19" s="103" t="s">
        <v>295</v>
      </c>
      <c r="F19" s="104">
        <v>996.0</v>
      </c>
      <c r="G19" s="104">
        <v>740.0</v>
      </c>
      <c r="H19" s="105">
        <v>2.12</v>
      </c>
      <c r="I19" s="105">
        <v>1566.14</v>
      </c>
      <c r="J19" s="106" t="s">
        <v>9</v>
      </c>
      <c r="K19" s="104"/>
      <c r="L19" s="107"/>
      <c r="M19" s="107"/>
      <c r="N19" s="108">
        <v>-256.0</v>
      </c>
      <c r="O19" s="109">
        <v>1002.0</v>
      </c>
      <c r="P19" s="109">
        <v>1002.0</v>
      </c>
      <c r="Q19" s="127"/>
      <c r="R19" s="111">
        <f t="shared" si="4"/>
        <v>2124.24</v>
      </c>
      <c r="T19" s="1" t="s">
        <v>840</v>
      </c>
    </row>
    <row r="20" ht="14.0">
      <c r="B20" s="112" t="s">
        <v>30</v>
      </c>
      <c r="C20" s="113" t="s">
        <v>502</v>
      </c>
      <c r="D20" s="113" t="s">
        <v>507</v>
      </c>
      <c r="E20" s="112" t="s">
        <v>508</v>
      </c>
      <c r="F20" s="113">
        <v>100.0</v>
      </c>
      <c r="G20" s="113">
        <v>15.0</v>
      </c>
      <c r="H20" s="130">
        <v>5.19</v>
      </c>
      <c r="I20" s="130">
        <v>77.82</v>
      </c>
      <c r="J20" s="131" t="s">
        <v>6</v>
      </c>
      <c r="K20" s="113"/>
      <c r="L20" s="116"/>
      <c r="M20" s="116"/>
      <c r="N20" s="117">
        <v>-85.0</v>
      </c>
      <c r="O20" s="118">
        <v>500.0</v>
      </c>
      <c r="P20" s="118"/>
      <c r="Q20" s="132" t="s">
        <v>509</v>
      </c>
      <c r="R20" s="111"/>
      <c r="T20" s="78" t="s">
        <v>835</v>
      </c>
    </row>
    <row r="21" ht="14.0">
      <c r="B21" s="103" t="s">
        <v>30</v>
      </c>
      <c r="C21" s="104" t="s">
        <v>682</v>
      </c>
      <c r="D21" s="104" t="s">
        <v>689</v>
      </c>
      <c r="E21" s="103" t="s">
        <v>690</v>
      </c>
      <c r="F21" s="104">
        <v>524.0</v>
      </c>
      <c r="G21" s="104">
        <v>4.0</v>
      </c>
      <c r="H21" s="105">
        <v>4.0</v>
      </c>
      <c r="I21" s="105">
        <v>16.0</v>
      </c>
      <c r="J21" s="129" t="s">
        <v>5</v>
      </c>
      <c r="K21" s="104">
        <v>501.0</v>
      </c>
      <c r="L21" s="107"/>
      <c r="M21" s="109" t="s">
        <v>6</v>
      </c>
      <c r="N21" s="108">
        <v>-19.0</v>
      </c>
      <c r="O21" s="109">
        <v>500.0</v>
      </c>
      <c r="P21" s="109">
        <v>500.0</v>
      </c>
      <c r="Q21" s="127" t="s">
        <v>839</v>
      </c>
      <c r="R21" s="111">
        <f>P21*H21</f>
        <v>2000.0</v>
      </c>
    </row>
    <row r="22" ht="14.0">
      <c r="B22" s="112" t="s">
        <v>30</v>
      </c>
      <c r="C22" s="113" t="s">
        <v>138</v>
      </c>
      <c r="D22" s="113" t="s">
        <v>746</v>
      </c>
      <c r="E22" s="112" t="s">
        <v>747</v>
      </c>
      <c r="F22" s="113">
        <v>6.0</v>
      </c>
      <c r="G22" s="113">
        <v>0.0</v>
      </c>
      <c r="H22" s="114"/>
      <c r="I22" s="114" t="s">
        <v>836</v>
      </c>
      <c r="J22" s="131" t="s">
        <v>68</v>
      </c>
      <c r="K22" s="113"/>
      <c r="L22" s="116"/>
      <c r="M22" s="116"/>
      <c r="N22" s="117">
        <v>-6.0</v>
      </c>
      <c r="O22" s="118"/>
      <c r="P22" s="118"/>
      <c r="Q22" s="132" t="s">
        <v>509</v>
      </c>
      <c r="R22" s="111"/>
    </row>
    <row r="23" ht="14.0">
      <c r="B23" s="112" t="s">
        <v>30</v>
      </c>
      <c r="C23" s="113" t="s">
        <v>138</v>
      </c>
      <c r="D23" s="113" t="s">
        <v>748</v>
      </c>
      <c r="E23" s="112" t="s">
        <v>749</v>
      </c>
      <c r="F23" s="113">
        <v>2.0</v>
      </c>
      <c r="G23" s="113">
        <v>0.0</v>
      </c>
      <c r="H23" s="114"/>
      <c r="I23" s="114" t="s">
        <v>836</v>
      </c>
      <c r="J23" s="131" t="s">
        <v>68</v>
      </c>
      <c r="K23" s="113"/>
      <c r="L23" s="116"/>
      <c r="M23" s="116"/>
      <c r="N23" s="117">
        <v>-2.0</v>
      </c>
      <c r="O23" s="118"/>
      <c r="P23" s="118"/>
      <c r="Q23" s="132" t="s">
        <v>509</v>
      </c>
      <c r="R23" s="111"/>
    </row>
    <row r="24" ht="14.0">
      <c r="B24" s="112" t="s">
        <v>30</v>
      </c>
      <c r="C24" s="113" t="s">
        <v>138</v>
      </c>
      <c r="D24" s="113" t="s">
        <v>750</v>
      </c>
      <c r="E24" s="112" t="s">
        <v>751</v>
      </c>
      <c r="F24" s="113">
        <v>6.0</v>
      </c>
      <c r="G24" s="113">
        <v>1.0</v>
      </c>
      <c r="H24" s="130">
        <v>1.22</v>
      </c>
      <c r="I24" s="130">
        <v>1.22</v>
      </c>
      <c r="J24" s="131" t="s">
        <v>6</v>
      </c>
      <c r="K24" s="113"/>
      <c r="L24" s="116"/>
      <c r="M24" s="116"/>
      <c r="N24" s="117">
        <v>-5.0</v>
      </c>
      <c r="O24" s="118"/>
      <c r="P24" s="118"/>
      <c r="Q24" s="132" t="s">
        <v>509</v>
      </c>
      <c r="R24" s="111"/>
    </row>
    <row r="25" ht="14.0">
      <c r="B25" s="112" t="s">
        <v>30</v>
      </c>
      <c r="C25" s="113" t="s">
        <v>138</v>
      </c>
      <c r="D25" s="113" t="s">
        <v>752</v>
      </c>
      <c r="E25" s="112" t="s">
        <v>753</v>
      </c>
      <c r="F25" s="113">
        <v>6.0</v>
      </c>
      <c r="G25" s="113">
        <v>2.0</v>
      </c>
      <c r="H25" s="130">
        <v>1.22</v>
      </c>
      <c r="I25" s="130">
        <v>2.44</v>
      </c>
      <c r="J25" s="131" t="s">
        <v>7</v>
      </c>
      <c r="K25" s="113"/>
      <c r="L25" s="116"/>
      <c r="M25" s="116"/>
      <c r="N25" s="117">
        <v>-4.0</v>
      </c>
      <c r="O25" s="118"/>
      <c r="P25" s="118"/>
      <c r="Q25" s="132" t="s">
        <v>509</v>
      </c>
      <c r="R25" s="111"/>
    </row>
    <row r="26" ht="14.0">
      <c r="B26" s="112" t="s">
        <v>30</v>
      </c>
      <c r="C26" s="113" t="s">
        <v>138</v>
      </c>
      <c r="D26" s="113" t="s">
        <v>754</v>
      </c>
      <c r="E26" s="112" t="s">
        <v>755</v>
      </c>
      <c r="F26" s="113">
        <v>4.0</v>
      </c>
      <c r="G26" s="113">
        <v>2.0</v>
      </c>
      <c r="H26" s="130">
        <v>1.22</v>
      </c>
      <c r="I26" s="130">
        <v>2.44</v>
      </c>
      <c r="J26" s="131" t="s">
        <v>8</v>
      </c>
      <c r="K26" s="113"/>
      <c r="L26" s="116"/>
      <c r="M26" s="116"/>
      <c r="N26" s="117">
        <v>-2.0</v>
      </c>
      <c r="O26" s="118"/>
      <c r="P26" s="118"/>
      <c r="Q26" s="132" t="s">
        <v>509</v>
      </c>
      <c r="R26" s="111"/>
    </row>
    <row r="27" ht="14.0">
      <c r="B27" s="112" t="s">
        <v>30</v>
      </c>
      <c r="C27" s="113" t="s">
        <v>138</v>
      </c>
      <c r="D27" s="113" t="s">
        <v>756</v>
      </c>
      <c r="E27" s="112" t="s">
        <v>757</v>
      </c>
      <c r="F27" s="113">
        <v>5.0</v>
      </c>
      <c r="G27" s="113">
        <v>1.0</v>
      </c>
      <c r="H27" s="130">
        <v>1.22</v>
      </c>
      <c r="I27" s="130">
        <v>1.22</v>
      </c>
      <c r="J27" s="131" t="s">
        <v>6</v>
      </c>
      <c r="K27" s="113"/>
      <c r="L27" s="116"/>
      <c r="M27" s="116"/>
      <c r="N27" s="117">
        <v>-4.0</v>
      </c>
      <c r="O27" s="118"/>
      <c r="P27" s="118"/>
      <c r="Q27" s="132" t="s">
        <v>509</v>
      </c>
      <c r="R27" s="111"/>
    </row>
    <row r="28" ht="14.0">
      <c r="I28" s="92">
        <f>SUM(I4:I27)</f>
        <v>2605.04</v>
      </c>
      <c r="R28" s="92">
        <f>SUM(R4:R27)</f>
        <v>6949.88</v>
      </c>
    </row>
    <row r="29" customHeight="1" ht="24.0" customFormat="1" s="133">
      <c r="B29" s="134" t="s">
        <v>841</v>
      </c>
      <c r="C29" s="135"/>
      <c r="E29" s="136"/>
      <c r="H29" s="137"/>
      <c r="I29" s="137"/>
      <c r="J29" s="136"/>
      <c r="N29" s="138"/>
      <c r="O29" s="139"/>
      <c r="R29" s="140"/>
    </row>
    <row r="30" ht="43.0">
      <c r="B30" s="95" t="s">
        <v>11</v>
      </c>
      <c r="C30" s="95" t="s">
        <v>12</v>
      </c>
      <c r="D30" s="96" t="s">
        <v>823</v>
      </c>
      <c r="E30" s="96" t="s">
        <v>824</v>
      </c>
      <c r="F30" s="96" t="s">
        <v>825</v>
      </c>
      <c r="G30" s="96" t="s">
        <v>826</v>
      </c>
      <c r="H30" s="97" t="s">
        <v>19</v>
      </c>
      <c r="I30" s="97" t="s">
        <v>20</v>
      </c>
      <c r="J30" s="96" t="s">
        <v>827</v>
      </c>
      <c r="K30" s="98" t="s">
        <v>828</v>
      </c>
      <c r="L30" s="98" t="s">
        <v>22</v>
      </c>
      <c r="M30" s="96" t="s">
        <v>829</v>
      </c>
      <c r="N30" s="99" t="s">
        <v>830</v>
      </c>
      <c r="O30" s="100" t="s">
        <v>24</v>
      </c>
      <c r="P30" s="101" t="s">
        <v>831</v>
      </c>
      <c r="Q30" s="101" t="s">
        <v>832</v>
      </c>
      <c r="R30" s="102" t="s">
        <v>833</v>
      </c>
    </row>
    <row r="31" ht="14.0">
      <c r="B31" s="141" t="s">
        <v>30</v>
      </c>
      <c r="C31" s="142" t="s">
        <v>138</v>
      </c>
      <c r="D31" s="142" t="s">
        <v>141</v>
      </c>
      <c r="E31" s="143" t="s">
        <v>142</v>
      </c>
      <c r="F31" s="104">
        <v>345.0</v>
      </c>
      <c r="G31" s="104">
        <v>4.0</v>
      </c>
      <c r="H31" s="105">
        <v>2.7</v>
      </c>
      <c r="I31" s="105">
        <v>10.8</v>
      </c>
      <c r="J31" s="129" t="s">
        <v>5</v>
      </c>
      <c r="K31" s="104"/>
      <c r="L31" s="107"/>
      <c r="M31" s="107"/>
      <c r="N31" s="126"/>
      <c r="O31" s="144"/>
      <c r="P31" s="104"/>
      <c r="Q31" s="104"/>
      <c r="R31" s="145"/>
    </row>
    <row r="32" ht="14.0">
      <c r="B32" s="141" t="s">
        <v>30</v>
      </c>
      <c r="C32" s="142" t="s">
        <v>138</v>
      </c>
      <c r="D32" s="142" t="s">
        <v>165</v>
      </c>
      <c r="E32" s="143" t="s">
        <v>166</v>
      </c>
      <c r="F32" s="104">
        <v>589.0</v>
      </c>
      <c r="G32" s="104">
        <v>433.0</v>
      </c>
      <c r="H32" s="105">
        <v>1.7</v>
      </c>
      <c r="I32" s="105">
        <v>737.83</v>
      </c>
      <c r="J32" s="146" t="s">
        <v>9</v>
      </c>
      <c r="K32" s="104"/>
      <c r="L32" s="107"/>
      <c r="M32" s="107"/>
      <c r="N32" s="126"/>
      <c r="O32" s="144"/>
      <c r="P32" s="104"/>
      <c r="Q32" s="104"/>
      <c r="R32" s="145"/>
    </row>
    <row r="33" ht="14.0">
      <c r="B33" s="141" t="s">
        <v>30</v>
      </c>
      <c r="C33" s="142" t="s">
        <v>138</v>
      </c>
      <c r="D33" s="142" t="s">
        <v>167</v>
      </c>
      <c r="E33" s="143" t="s">
        <v>168</v>
      </c>
      <c r="F33" s="104">
        <v>637.0</v>
      </c>
      <c r="G33" s="104">
        <v>327.0</v>
      </c>
      <c r="H33" s="105">
        <v>1.83</v>
      </c>
      <c r="I33" s="105">
        <v>599.06</v>
      </c>
      <c r="J33" s="146" t="s">
        <v>8</v>
      </c>
      <c r="K33" s="104"/>
      <c r="L33" s="107"/>
      <c r="M33" s="107"/>
      <c r="N33" s="126"/>
      <c r="O33" s="144"/>
      <c r="P33" s="104"/>
      <c r="Q33" s="104"/>
      <c r="R33" s="145"/>
    </row>
    <row r="34" ht="14.0">
      <c r="B34" s="141" t="s">
        <v>30</v>
      </c>
      <c r="C34" s="142" t="s">
        <v>138</v>
      </c>
      <c r="D34" s="142" t="s">
        <v>169</v>
      </c>
      <c r="E34" s="143" t="s">
        <v>170</v>
      </c>
      <c r="F34" s="104">
        <v>599.0</v>
      </c>
      <c r="G34" s="104">
        <v>413.0</v>
      </c>
      <c r="H34" s="105">
        <v>1.83</v>
      </c>
      <c r="I34" s="105">
        <v>756.66</v>
      </c>
      <c r="J34" s="146" t="s">
        <v>9</v>
      </c>
      <c r="K34" s="104"/>
      <c r="L34" s="107"/>
      <c r="M34" s="107"/>
      <c r="N34" s="126"/>
      <c r="O34" s="144"/>
      <c r="P34" s="104"/>
      <c r="Q34" s="104"/>
      <c r="R34" s="145"/>
    </row>
    <row r="35" ht="14.0">
      <c r="B35" s="141" t="s">
        <v>30</v>
      </c>
      <c r="C35" s="142" t="s">
        <v>207</v>
      </c>
      <c r="D35" s="142" t="s">
        <v>220</v>
      </c>
      <c r="E35" s="143" t="s">
        <v>221</v>
      </c>
      <c r="F35" s="104">
        <v>92.0</v>
      </c>
      <c r="G35" s="104">
        <v>80.0</v>
      </c>
      <c r="H35" s="105">
        <v>3.02</v>
      </c>
      <c r="I35" s="105">
        <v>241.38</v>
      </c>
      <c r="J35" s="146" t="s">
        <v>10</v>
      </c>
      <c r="K35" s="104"/>
      <c r="L35" s="107"/>
      <c r="M35" s="107"/>
      <c r="N35" s="126"/>
      <c r="O35" s="144"/>
      <c r="P35" s="104"/>
      <c r="Q35" s="104"/>
      <c r="R35" s="145"/>
    </row>
    <row r="36" ht="14.0">
      <c r="B36" s="141" t="s">
        <v>30</v>
      </c>
      <c r="C36" s="142" t="s">
        <v>207</v>
      </c>
      <c r="D36" s="142" t="s">
        <v>222</v>
      </c>
      <c r="E36" s="143" t="s">
        <v>223</v>
      </c>
      <c r="F36" s="104">
        <v>96.0</v>
      </c>
      <c r="G36" s="104">
        <v>76.0</v>
      </c>
      <c r="H36" s="105">
        <v>3.02</v>
      </c>
      <c r="I36" s="105">
        <v>229.34</v>
      </c>
      <c r="J36" s="146" t="s">
        <v>10</v>
      </c>
      <c r="K36" s="104"/>
      <c r="L36" s="107"/>
      <c r="M36" s="107"/>
      <c r="N36" s="126"/>
      <c r="O36" s="144"/>
      <c r="P36" s="104"/>
      <c r="Q36" s="104"/>
      <c r="R36" s="145"/>
    </row>
    <row r="37" ht="14.0">
      <c r="B37" s="141" t="s">
        <v>30</v>
      </c>
      <c r="C37" s="142" t="s">
        <v>228</v>
      </c>
      <c r="D37" s="142" t="s">
        <v>229</v>
      </c>
      <c r="E37" s="143" t="s">
        <v>230</v>
      </c>
      <c r="F37" s="104">
        <v>8.0</v>
      </c>
      <c r="G37" s="104">
        <v>0.0</v>
      </c>
      <c r="H37" s="128"/>
      <c r="I37" s="128" t="s">
        <v>836</v>
      </c>
      <c r="J37" s="146" t="s">
        <v>68</v>
      </c>
      <c r="K37" s="104"/>
      <c r="L37" s="107"/>
      <c r="M37" s="107"/>
      <c r="N37" s="126"/>
      <c r="O37" s="144"/>
      <c r="P37" s="104"/>
      <c r="Q37" s="104"/>
      <c r="R37" s="145"/>
    </row>
    <row r="38" ht="14.0">
      <c r="B38" s="141" t="s">
        <v>30</v>
      </c>
      <c r="C38" s="142" t="s">
        <v>228</v>
      </c>
      <c r="D38" s="142" t="s">
        <v>247</v>
      </c>
      <c r="E38" s="143" t="s">
        <v>248</v>
      </c>
      <c r="F38" s="104">
        <v>88.0</v>
      </c>
      <c r="G38" s="104">
        <v>44.0</v>
      </c>
      <c r="H38" s="105">
        <v>2.74</v>
      </c>
      <c r="I38" s="105">
        <v>120.71</v>
      </c>
      <c r="J38" s="146" t="s">
        <v>8</v>
      </c>
      <c r="K38" s="104"/>
      <c r="L38" s="107"/>
      <c r="M38" s="107"/>
      <c r="N38" s="126"/>
      <c r="O38" s="144"/>
      <c r="P38" s="104"/>
      <c r="Q38" s="104"/>
      <c r="R38" s="145"/>
    </row>
    <row r="39" ht="14.0">
      <c r="B39" s="141" t="s">
        <v>30</v>
      </c>
      <c r="C39" s="142" t="s">
        <v>228</v>
      </c>
      <c r="D39" s="142" t="s">
        <v>257</v>
      </c>
      <c r="E39" s="143" t="s">
        <v>258</v>
      </c>
      <c r="F39" s="104">
        <v>60.0</v>
      </c>
      <c r="G39" s="104">
        <v>54.0</v>
      </c>
      <c r="H39" s="105">
        <v>3.92</v>
      </c>
      <c r="I39" s="105">
        <v>211.68</v>
      </c>
      <c r="J39" s="146" t="s">
        <v>10</v>
      </c>
      <c r="K39" s="104"/>
      <c r="L39" s="107"/>
      <c r="M39" s="107"/>
      <c r="N39" s="126"/>
      <c r="O39" s="144"/>
      <c r="P39" s="104"/>
      <c r="Q39" s="104"/>
      <c r="R39" s="145"/>
    </row>
    <row r="40" ht="14.0">
      <c r="B40" s="141" t="s">
        <v>30</v>
      </c>
      <c r="C40" s="142" t="s">
        <v>272</v>
      </c>
      <c r="D40" s="142" t="s">
        <v>273</v>
      </c>
      <c r="E40" s="143" t="s">
        <v>274</v>
      </c>
      <c r="F40" s="104">
        <v>177.0</v>
      </c>
      <c r="G40" s="104">
        <v>14.0</v>
      </c>
      <c r="H40" s="105">
        <v>1.56</v>
      </c>
      <c r="I40" s="105">
        <v>21.8</v>
      </c>
      <c r="J40" s="129" t="s">
        <v>5</v>
      </c>
      <c r="K40" s="104"/>
      <c r="L40" s="107"/>
      <c r="M40" s="107"/>
      <c r="N40" s="126"/>
      <c r="O40" s="144"/>
      <c r="P40" s="104"/>
      <c r="Q40" s="104"/>
      <c r="R40" s="145"/>
    </row>
    <row r="41" ht="14.0">
      <c r="B41" s="141" t="s">
        <v>30</v>
      </c>
      <c r="C41" s="142" t="s">
        <v>272</v>
      </c>
      <c r="D41" s="142" t="s">
        <v>277</v>
      </c>
      <c r="E41" s="143" t="s">
        <v>278</v>
      </c>
      <c r="F41" s="104">
        <v>243.0</v>
      </c>
      <c r="G41" s="104">
        <v>0.0</v>
      </c>
      <c r="H41" s="128"/>
      <c r="I41" s="128" t="s">
        <v>836</v>
      </c>
      <c r="J41" s="146" t="s">
        <v>68</v>
      </c>
      <c r="K41" s="104"/>
      <c r="L41" s="107"/>
      <c r="M41" s="107"/>
      <c r="N41" s="126"/>
      <c r="O41" s="144"/>
      <c r="P41" s="104"/>
      <c r="Q41" s="104"/>
      <c r="R41" s="145"/>
    </row>
    <row r="42" ht="14.0">
      <c r="B42" s="141" t="s">
        <v>30</v>
      </c>
      <c r="C42" s="142" t="s">
        <v>272</v>
      </c>
      <c r="D42" s="142" t="s">
        <v>283</v>
      </c>
      <c r="E42" s="143" t="s">
        <v>284</v>
      </c>
      <c r="F42" s="104">
        <v>218.0</v>
      </c>
      <c r="G42" s="104">
        <v>0.0</v>
      </c>
      <c r="H42" s="128"/>
      <c r="I42" s="128" t="s">
        <v>836</v>
      </c>
      <c r="J42" s="146" t="s">
        <v>68</v>
      </c>
      <c r="K42" s="104"/>
      <c r="L42" s="107"/>
      <c r="M42" s="107"/>
      <c r="N42" s="126"/>
      <c r="O42" s="144"/>
      <c r="P42" s="104"/>
      <c r="Q42" s="104"/>
      <c r="R42" s="145"/>
    </row>
    <row r="43" ht="14.0">
      <c r="B43" s="141" t="s">
        <v>30</v>
      </c>
      <c r="C43" s="142" t="s">
        <v>272</v>
      </c>
      <c r="D43" s="142" t="s">
        <v>285</v>
      </c>
      <c r="E43" s="143" t="s">
        <v>286</v>
      </c>
      <c r="F43" s="104">
        <v>218.0</v>
      </c>
      <c r="G43" s="104">
        <v>0.0</v>
      </c>
      <c r="H43" s="128"/>
      <c r="I43" s="128" t="s">
        <v>836</v>
      </c>
      <c r="J43" s="146" t="s">
        <v>68</v>
      </c>
      <c r="K43" s="104"/>
      <c r="L43" s="107"/>
      <c r="M43" s="107"/>
      <c r="N43" s="126"/>
      <c r="O43" s="144"/>
      <c r="P43" s="104"/>
      <c r="Q43" s="104"/>
      <c r="R43" s="145"/>
    </row>
    <row r="44" ht="14.0">
      <c r="B44" s="141" t="s">
        <v>30</v>
      </c>
      <c r="C44" s="142" t="s">
        <v>289</v>
      </c>
      <c r="D44" s="142" t="s">
        <v>290</v>
      </c>
      <c r="E44" s="143" t="s">
        <v>291</v>
      </c>
      <c r="F44" s="104">
        <v>162.0</v>
      </c>
      <c r="G44" s="104">
        <v>5.0</v>
      </c>
      <c r="H44" s="105">
        <v>1.83</v>
      </c>
      <c r="I44" s="105">
        <v>9.15</v>
      </c>
      <c r="J44" s="129" t="s">
        <v>5</v>
      </c>
      <c r="K44" s="104"/>
      <c r="L44" s="107"/>
      <c r="M44" s="107"/>
      <c r="N44" s="126"/>
      <c r="O44" s="144"/>
      <c r="P44" s="104"/>
      <c r="Q44" s="104"/>
      <c r="R44" s="145"/>
    </row>
    <row r="45" ht="14.0">
      <c r="B45" s="141" t="s">
        <v>30</v>
      </c>
      <c r="C45" s="142" t="s">
        <v>289</v>
      </c>
      <c r="D45" s="142" t="s">
        <v>302</v>
      </c>
      <c r="E45" s="143" t="s">
        <v>303</v>
      </c>
      <c r="F45" s="104">
        <v>92.0</v>
      </c>
      <c r="G45" s="104">
        <v>1.0</v>
      </c>
      <c r="H45" s="105">
        <v>1.81</v>
      </c>
      <c r="I45" s="105">
        <v>1.81</v>
      </c>
      <c r="J45" s="129" t="s">
        <v>5</v>
      </c>
      <c r="K45" s="104"/>
      <c r="L45" s="107"/>
      <c r="M45" s="107"/>
      <c r="N45" s="126"/>
      <c r="O45" s="144"/>
      <c r="P45" s="104"/>
      <c r="Q45" s="104"/>
      <c r="R45" s="145"/>
    </row>
    <row r="46" ht="14.0">
      <c r="B46" s="141" t="s">
        <v>30</v>
      </c>
      <c r="C46" s="142" t="s">
        <v>289</v>
      </c>
      <c r="D46" s="142" t="s">
        <v>308</v>
      </c>
      <c r="E46" s="143" t="s">
        <v>309</v>
      </c>
      <c r="F46" s="104">
        <v>104.0</v>
      </c>
      <c r="G46" s="104">
        <v>3.0</v>
      </c>
      <c r="H46" s="105">
        <v>1.83</v>
      </c>
      <c r="I46" s="105">
        <v>5.49</v>
      </c>
      <c r="J46" s="129" t="s">
        <v>5</v>
      </c>
      <c r="K46" s="104"/>
      <c r="L46" s="107"/>
      <c r="M46" s="107"/>
      <c r="N46" s="126"/>
      <c r="O46" s="144"/>
      <c r="P46" s="104"/>
      <c r="Q46" s="104"/>
      <c r="R46" s="145"/>
    </row>
    <row r="47" ht="14.0">
      <c r="B47" s="141" t="s">
        <v>30</v>
      </c>
      <c r="C47" s="142" t="s">
        <v>289</v>
      </c>
      <c r="D47" s="142" t="s">
        <v>312</v>
      </c>
      <c r="E47" s="143" t="s">
        <v>313</v>
      </c>
      <c r="F47" s="104">
        <v>115.0</v>
      </c>
      <c r="G47" s="104">
        <v>40.0</v>
      </c>
      <c r="H47" s="105">
        <v>1.83</v>
      </c>
      <c r="I47" s="105">
        <v>73.23</v>
      </c>
      <c r="J47" s="146" t="s">
        <v>7</v>
      </c>
      <c r="K47" s="104"/>
      <c r="L47" s="107"/>
      <c r="M47" s="107"/>
      <c r="N47" s="126"/>
      <c r="O47" s="144"/>
      <c r="P47" s="104"/>
      <c r="Q47" s="104"/>
      <c r="R47" s="145"/>
    </row>
    <row r="48" ht="14.0">
      <c r="B48" s="141" t="s">
        <v>30</v>
      </c>
      <c r="C48" s="142" t="s">
        <v>289</v>
      </c>
      <c r="D48" s="142" t="s">
        <v>314</v>
      </c>
      <c r="E48" s="143" t="s">
        <v>315</v>
      </c>
      <c r="F48" s="104">
        <v>189.0</v>
      </c>
      <c r="G48" s="104">
        <v>144.0</v>
      </c>
      <c r="H48" s="105">
        <v>1.86</v>
      </c>
      <c r="I48" s="105">
        <v>267.75</v>
      </c>
      <c r="J48" s="146" t="s">
        <v>9</v>
      </c>
      <c r="K48" s="104"/>
      <c r="L48" s="107"/>
      <c r="M48" s="107"/>
      <c r="N48" s="126"/>
      <c r="O48" s="144"/>
      <c r="P48" s="104"/>
      <c r="Q48" s="104"/>
      <c r="R48" s="145"/>
    </row>
    <row r="49" ht="14.0">
      <c r="B49" s="141" t="s">
        <v>30</v>
      </c>
      <c r="C49" s="142" t="s">
        <v>289</v>
      </c>
      <c r="D49" s="142" t="s">
        <v>318</v>
      </c>
      <c r="E49" s="143" t="s">
        <v>319</v>
      </c>
      <c r="F49" s="104">
        <v>71.0</v>
      </c>
      <c r="G49" s="104">
        <v>3.0</v>
      </c>
      <c r="H49" s="105">
        <v>1.81</v>
      </c>
      <c r="I49" s="105">
        <v>5.44</v>
      </c>
      <c r="J49" s="129" t="s">
        <v>5</v>
      </c>
      <c r="K49" s="104"/>
      <c r="L49" s="107"/>
      <c r="M49" s="107"/>
      <c r="N49" s="126"/>
      <c r="O49" s="144"/>
      <c r="P49" s="104"/>
      <c r="Q49" s="104"/>
      <c r="R49" s="145"/>
    </row>
    <row r="50" ht="14.0">
      <c r="B50" s="141" t="s">
        <v>30</v>
      </c>
      <c r="C50" s="142" t="s">
        <v>344</v>
      </c>
      <c r="D50" s="142" t="s">
        <v>353</v>
      </c>
      <c r="E50" s="143" t="s">
        <v>354</v>
      </c>
      <c r="F50" s="104">
        <v>140.0</v>
      </c>
      <c r="G50" s="104">
        <v>11.0</v>
      </c>
      <c r="H50" s="105">
        <v>2.55</v>
      </c>
      <c r="I50" s="105">
        <v>28.05</v>
      </c>
      <c r="J50" s="129" t="s">
        <v>5</v>
      </c>
      <c r="K50" s="104"/>
      <c r="L50" s="107"/>
      <c r="M50" s="107"/>
      <c r="N50" s="126"/>
      <c r="O50" s="144"/>
      <c r="P50" s="104"/>
      <c r="Q50" s="104"/>
      <c r="R50" s="145"/>
    </row>
    <row r="51" ht="14.0">
      <c r="B51" s="141" t="s">
        <v>30</v>
      </c>
      <c r="C51" s="142" t="s">
        <v>344</v>
      </c>
      <c r="D51" s="142" t="s">
        <v>359</v>
      </c>
      <c r="E51" s="143" t="s">
        <v>360</v>
      </c>
      <c r="F51" s="104">
        <v>100.0</v>
      </c>
      <c r="G51" s="104">
        <v>60.0</v>
      </c>
      <c r="H51" s="105">
        <v>2.58</v>
      </c>
      <c r="I51" s="105">
        <v>154.53</v>
      </c>
      <c r="J51" s="146" t="s">
        <v>8</v>
      </c>
      <c r="K51" s="104"/>
      <c r="L51" s="107"/>
      <c r="M51" s="107"/>
      <c r="N51" s="126"/>
      <c r="O51" s="144"/>
      <c r="P51" s="104"/>
      <c r="Q51" s="104"/>
      <c r="R51" s="145"/>
    </row>
    <row r="52" ht="14.0">
      <c r="B52" s="141" t="s">
        <v>30</v>
      </c>
      <c r="C52" s="142" t="s">
        <v>369</v>
      </c>
      <c r="D52" s="142" t="s">
        <v>372</v>
      </c>
      <c r="E52" s="143" t="s">
        <v>373</v>
      </c>
      <c r="F52" s="104">
        <v>252.0</v>
      </c>
      <c r="G52" s="104">
        <v>23.0</v>
      </c>
      <c r="H52" s="105">
        <v>1.77</v>
      </c>
      <c r="I52" s="105">
        <v>40.69</v>
      </c>
      <c r="J52" s="129" t="s">
        <v>5</v>
      </c>
      <c r="K52" s="104"/>
      <c r="L52" s="107"/>
      <c r="M52" s="107"/>
      <c r="N52" s="126"/>
      <c r="O52" s="144"/>
      <c r="P52" s="104"/>
      <c r="Q52" s="104"/>
      <c r="R52" s="145"/>
    </row>
    <row r="53" ht="14.0">
      <c r="B53" s="141" t="s">
        <v>30</v>
      </c>
      <c r="C53" s="142" t="s">
        <v>401</v>
      </c>
      <c r="D53" s="142" t="s">
        <v>402</v>
      </c>
      <c r="E53" s="143" t="s">
        <v>403</v>
      </c>
      <c r="F53" s="104">
        <v>162.0</v>
      </c>
      <c r="G53" s="104">
        <v>161.0</v>
      </c>
      <c r="H53" s="105">
        <v>2.17</v>
      </c>
      <c r="I53" s="105">
        <v>350.11</v>
      </c>
      <c r="J53" s="146" t="s">
        <v>10</v>
      </c>
      <c r="K53" s="104"/>
      <c r="L53" s="107"/>
      <c r="M53" s="107"/>
      <c r="N53" s="126"/>
      <c r="O53" s="144"/>
      <c r="P53" s="104"/>
      <c r="Q53" s="104"/>
      <c r="R53" s="145"/>
    </row>
    <row r="54" ht="14.0">
      <c r="B54" s="141" t="s">
        <v>30</v>
      </c>
      <c r="C54" s="142" t="s">
        <v>401</v>
      </c>
      <c r="D54" s="142" t="s">
        <v>406</v>
      </c>
      <c r="E54" s="143" t="s">
        <v>407</v>
      </c>
      <c r="F54" s="104">
        <v>78.0</v>
      </c>
      <c r="G54" s="104">
        <v>0.0</v>
      </c>
      <c r="H54" s="128"/>
      <c r="I54" s="128" t="s">
        <v>836</v>
      </c>
      <c r="J54" s="146" t="s">
        <v>68</v>
      </c>
      <c r="K54" s="104"/>
      <c r="L54" s="107"/>
      <c r="M54" s="107"/>
      <c r="N54" s="126"/>
      <c r="O54" s="144"/>
      <c r="P54" s="104"/>
      <c r="Q54" s="104"/>
      <c r="R54" s="145"/>
    </row>
    <row r="55" ht="14.0">
      <c r="B55" s="141" t="s">
        <v>30</v>
      </c>
      <c r="C55" s="142" t="s">
        <v>401</v>
      </c>
      <c r="D55" s="142" t="s">
        <v>408</v>
      </c>
      <c r="E55" s="143" t="s">
        <v>409</v>
      </c>
      <c r="F55" s="104">
        <v>36.0</v>
      </c>
      <c r="G55" s="104">
        <v>0.0</v>
      </c>
      <c r="H55" s="128"/>
      <c r="I55" s="128" t="s">
        <v>836</v>
      </c>
      <c r="J55" s="146" t="s">
        <v>68</v>
      </c>
      <c r="K55" s="104"/>
      <c r="L55" s="107"/>
      <c r="M55" s="107"/>
      <c r="N55" s="126"/>
      <c r="O55" s="144"/>
      <c r="P55" s="104"/>
      <c r="Q55" s="104"/>
      <c r="R55" s="145"/>
    </row>
    <row r="56" ht="14.0">
      <c r="B56" s="141" t="s">
        <v>30</v>
      </c>
      <c r="C56" s="142" t="s">
        <v>401</v>
      </c>
      <c r="D56" s="142" t="s">
        <v>412</v>
      </c>
      <c r="E56" s="143" t="s">
        <v>413</v>
      </c>
      <c r="F56" s="104">
        <v>72.0</v>
      </c>
      <c r="G56" s="104">
        <v>34.0</v>
      </c>
      <c r="H56" s="105">
        <v>3.76</v>
      </c>
      <c r="I56" s="105">
        <v>127.78</v>
      </c>
      <c r="J56" s="146" t="s">
        <v>8</v>
      </c>
      <c r="K56" s="104"/>
      <c r="L56" s="107"/>
      <c r="M56" s="107"/>
      <c r="N56" s="126"/>
      <c r="O56" s="144"/>
      <c r="P56" s="104"/>
      <c r="Q56" s="104"/>
      <c r="R56" s="145"/>
    </row>
    <row r="57" ht="14.0">
      <c r="B57" s="141" t="s">
        <v>30</v>
      </c>
      <c r="C57" s="142" t="s">
        <v>401</v>
      </c>
      <c r="D57" s="142" t="s">
        <v>414</v>
      </c>
      <c r="E57" s="143" t="s">
        <v>415</v>
      </c>
      <c r="F57" s="104">
        <v>111.0</v>
      </c>
      <c r="G57" s="104">
        <v>0.0</v>
      </c>
      <c r="H57" s="128"/>
      <c r="I57" s="128" t="s">
        <v>836</v>
      </c>
      <c r="J57" s="146" t="s">
        <v>68</v>
      </c>
      <c r="K57" s="104"/>
      <c r="L57" s="107"/>
      <c r="M57" s="107"/>
      <c r="N57" s="126"/>
      <c r="O57" s="144"/>
      <c r="P57" s="104"/>
      <c r="Q57" s="104"/>
      <c r="R57" s="145"/>
    </row>
    <row r="58" ht="14.0">
      <c r="B58" s="141" t="s">
        <v>30</v>
      </c>
      <c r="C58" s="142" t="s">
        <v>401</v>
      </c>
      <c r="D58" s="142" t="s">
        <v>432</v>
      </c>
      <c r="E58" s="143" t="s">
        <v>433</v>
      </c>
      <c r="F58" s="104">
        <v>4.0</v>
      </c>
      <c r="G58" s="104">
        <v>0.0</v>
      </c>
      <c r="H58" s="128"/>
      <c r="I58" s="128" t="s">
        <v>836</v>
      </c>
      <c r="J58" s="146" t="s">
        <v>68</v>
      </c>
      <c r="K58" s="104"/>
      <c r="L58" s="107"/>
      <c r="M58" s="107"/>
      <c r="N58" s="126"/>
      <c r="O58" s="144"/>
      <c r="P58" s="104"/>
      <c r="Q58" s="104"/>
      <c r="R58" s="145"/>
    </row>
    <row r="59" ht="14.0">
      <c r="B59" s="141" t="s">
        <v>30</v>
      </c>
      <c r="C59" s="142" t="s">
        <v>401</v>
      </c>
      <c r="D59" s="142" t="s">
        <v>436</v>
      </c>
      <c r="E59" s="143" t="s">
        <v>437</v>
      </c>
      <c r="F59" s="104">
        <v>150.0</v>
      </c>
      <c r="G59" s="104">
        <v>134.0</v>
      </c>
      <c r="H59" s="105">
        <v>4.8</v>
      </c>
      <c r="I59" s="105">
        <v>643.21</v>
      </c>
      <c r="J59" s="146" t="s">
        <v>10</v>
      </c>
      <c r="K59" s="104"/>
      <c r="L59" s="107"/>
      <c r="M59" s="107"/>
      <c r="N59" s="126"/>
      <c r="O59" s="144"/>
      <c r="P59" s="104"/>
      <c r="Q59" s="104"/>
      <c r="R59" s="145"/>
    </row>
    <row r="60" ht="14.0">
      <c r="B60" s="141" t="s">
        <v>30</v>
      </c>
      <c r="C60" s="142" t="s">
        <v>401</v>
      </c>
      <c r="D60" s="142" t="s">
        <v>438</v>
      </c>
      <c r="E60" s="143" t="s">
        <v>439</v>
      </c>
      <c r="F60" s="104">
        <v>40.0</v>
      </c>
      <c r="G60" s="104">
        <v>0.0</v>
      </c>
      <c r="H60" s="128"/>
      <c r="I60" s="128" t="s">
        <v>836</v>
      </c>
      <c r="J60" s="146" t="s">
        <v>68</v>
      </c>
      <c r="K60" s="104"/>
      <c r="L60" s="107"/>
      <c r="M60" s="107"/>
      <c r="N60" s="126"/>
      <c r="O60" s="144"/>
      <c r="P60" s="104"/>
      <c r="Q60" s="104"/>
      <c r="R60" s="145"/>
    </row>
    <row r="61" ht="14.0">
      <c r="B61" s="141" t="s">
        <v>30</v>
      </c>
      <c r="C61" s="142" t="s">
        <v>401</v>
      </c>
      <c r="D61" s="142" t="s">
        <v>440</v>
      </c>
      <c r="E61" s="143" t="s">
        <v>441</v>
      </c>
      <c r="F61" s="104">
        <v>78.0</v>
      </c>
      <c r="G61" s="104">
        <v>0.0</v>
      </c>
      <c r="H61" s="128"/>
      <c r="I61" s="128" t="s">
        <v>836</v>
      </c>
      <c r="J61" s="146" t="s">
        <v>68</v>
      </c>
      <c r="K61" s="104"/>
      <c r="L61" s="107"/>
      <c r="M61" s="107"/>
      <c r="N61" s="126"/>
      <c r="O61" s="144"/>
      <c r="P61" s="104"/>
      <c r="Q61" s="104"/>
      <c r="R61" s="145"/>
    </row>
    <row r="62" ht="14.0">
      <c r="B62" s="141" t="s">
        <v>30</v>
      </c>
      <c r="C62" s="142" t="s">
        <v>401</v>
      </c>
      <c r="D62" s="142" t="s">
        <v>444</v>
      </c>
      <c r="E62" s="143" t="s">
        <v>445</v>
      </c>
      <c r="F62" s="104">
        <v>112.0</v>
      </c>
      <c r="G62" s="104">
        <v>0.0</v>
      </c>
      <c r="H62" s="128"/>
      <c r="I62" s="128" t="s">
        <v>836</v>
      </c>
      <c r="J62" s="146" t="s">
        <v>68</v>
      </c>
      <c r="K62" s="104"/>
      <c r="L62" s="107"/>
      <c r="M62" s="107"/>
      <c r="N62" s="126"/>
      <c r="O62" s="144"/>
      <c r="P62" s="104"/>
      <c r="Q62" s="104"/>
      <c r="R62" s="145"/>
    </row>
    <row r="63" ht="14.0">
      <c r="B63" s="141" t="s">
        <v>30</v>
      </c>
      <c r="C63" s="142" t="s">
        <v>453</v>
      </c>
      <c r="D63" s="142" t="s">
        <v>460</v>
      </c>
      <c r="E63" s="143" t="s">
        <v>461</v>
      </c>
      <c r="F63" s="104">
        <v>154.0</v>
      </c>
      <c r="G63" s="104">
        <v>4.0</v>
      </c>
      <c r="H63" s="105">
        <v>3.91</v>
      </c>
      <c r="I63" s="105">
        <v>15.62</v>
      </c>
      <c r="J63" s="129" t="s">
        <v>5</v>
      </c>
      <c r="K63" s="104"/>
      <c r="L63" s="107"/>
      <c r="M63" s="107"/>
      <c r="N63" s="126"/>
      <c r="O63" s="144"/>
      <c r="P63" s="104"/>
      <c r="Q63" s="104"/>
      <c r="R63" s="145"/>
    </row>
    <row r="64" ht="14.0">
      <c r="B64" s="141" t="s">
        <v>30</v>
      </c>
      <c r="C64" s="142" t="s">
        <v>453</v>
      </c>
      <c r="D64" s="142" t="s">
        <v>474</v>
      </c>
      <c r="E64" s="143" t="s">
        <v>475</v>
      </c>
      <c r="F64" s="104">
        <v>232.0</v>
      </c>
      <c r="G64" s="104">
        <v>5.0</v>
      </c>
      <c r="H64" s="105">
        <v>4.81</v>
      </c>
      <c r="I64" s="105">
        <v>24.05</v>
      </c>
      <c r="J64" s="129" t="s">
        <v>5</v>
      </c>
      <c r="K64" s="104"/>
      <c r="L64" s="107"/>
      <c r="M64" s="107"/>
      <c r="N64" s="126"/>
      <c r="O64" s="144"/>
      <c r="P64" s="104"/>
      <c r="Q64" s="104"/>
      <c r="R64" s="145"/>
    </row>
    <row r="65" ht="14.0">
      <c r="B65" s="141" t="s">
        <v>30</v>
      </c>
      <c r="C65" s="142" t="s">
        <v>453</v>
      </c>
      <c r="D65" s="142" t="s">
        <v>476</v>
      </c>
      <c r="E65" s="143" t="s">
        <v>477</v>
      </c>
      <c r="F65" s="104">
        <v>195.0</v>
      </c>
      <c r="G65" s="104">
        <v>104.0</v>
      </c>
      <c r="H65" s="105">
        <v>4.27</v>
      </c>
      <c r="I65" s="105">
        <v>444.43</v>
      </c>
      <c r="J65" s="146" t="s">
        <v>8</v>
      </c>
      <c r="K65" s="104"/>
      <c r="L65" s="107"/>
      <c r="M65" s="107"/>
      <c r="N65" s="126"/>
      <c r="O65" s="144"/>
      <c r="P65" s="104"/>
      <c r="Q65" s="104"/>
      <c r="R65" s="145"/>
    </row>
    <row r="66" ht="14.0">
      <c r="B66" s="141" t="s">
        <v>30</v>
      </c>
      <c r="C66" s="142" t="s">
        <v>453</v>
      </c>
      <c r="D66" s="142" t="s">
        <v>498</v>
      </c>
      <c r="E66" s="143" t="s">
        <v>499</v>
      </c>
      <c r="F66" s="104">
        <v>216.0</v>
      </c>
      <c r="G66" s="104">
        <v>30.0</v>
      </c>
      <c r="H66" s="105">
        <v>2.96</v>
      </c>
      <c r="I66" s="105">
        <v>88.94</v>
      </c>
      <c r="J66" s="146" t="s">
        <v>6</v>
      </c>
      <c r="K66" s="104"/>
      <c r="L66" s="107"/>
      <c r="M66" s="107"/>
      <c r="N66" s="126"/>
      <c r="O66" s="144"/>
      <c r="P66" s="104"/>
      <c r="Q66" s="104"/>
      <c r="R66" s="145"/>
    </row>
    <row r="67" ht="14.0">
      <c r="B67" s="141" t="s">
        <v>30</v>
      </c>
      <c r="C67" s="142" t="s">
        <v>597</v>
      </c>
      <c r="D67" s="142" t="s">
        <v>598</v>
      </c>
      <c r="E67" s="143" t="s">
        <v>599</v>
      </c>
      <c r="F67" s="104">
        <v>324.0</v>
      </c>
      <c r="G67" s="104">
        <v>233.0</v>
      </c>
      <c r="H67" s="105">
        <v>3.37</v>
      </c>
      <c r="I67" s="105">
        <v>786.12</v>
      </c>
      <c r="J67" s="146" t="s">
        <v>9</v>
      </c>
      <c r="K67" s="104"/>
      <c r="L67" s="107"/>
      <c r="M67" s="107"/>
      <c r="N67" s="126"/>
      <c r="O67" s="144"/>
      <c r="P67" s="104"/>
      <c r="Q67" s="104"/>
      <c r="R67" s="145"/>
    </row>
    <row r="68" ht="14.0">
      <c r="B68" s="141" t="s">
        <v>30</v>
      </c>
      <c r="C68" s="142" t="s">
        <v>597</v>
      </c>
      <c r="D68" s="142" t="s">
        <v>600</v>
      </c>
      <c r="E68" s="143" t="s">
        <v>601</v>
      </c>
      <c r="F68" s="104">
        <v>132.0</v>
      </c>
      <c r="G68" s="104">
        <v>0.0</v>
      </c>
      <c r="H68" s="128"/>
      <c r="I68" s="128" t="s">
        <v>836</v>
      </c>
      <c r="J68" s="146" t="s">
        <v>68</v>
      </c>
      <c r="K68" s="104"/>
      <c r="L68" s="107"/>
      <c r="M68" s="107"/>
      <c r="N68" s="126"/>
      <c r="O68" s="144"/>
      <c r="P68" s="104"/>
      <c r="Q68" s="104"/>
      <c r="R68" s="145"/>
    </row>
    <row r="69" ht="14.0">
      <c r="B69" s="141" t="s">
        <v>30</v>
      </c>
      <c r="C69" s="142" t="s">
        <v>597</v>
      </c>
      <c r="D69" s="142" t="s">
        <v>614</v>
      </c>
      <c r="E69" s="143" t="s">
        <v>615</v>
      </c>
      <c r="F69" s="104">
        <v>208.0</v>
      </c>
      <c r="G69" s="104">
        <v>80.0</v>
      </c>
      <c r="H69" s="105">
        <v>3.31</v>
      </c>
      <c r="I69" s="105">
        <v>264.6</v>
      </c>
      <c r="J69" s="146" t="s">
        <v>7</v>
      </c>
      <c r="K69" s="104"/>
      <c r="L69" s="107"/>
      <c r="M69" s="107"/>
      <c r="N69" s="126"/>
      <c r="O69" s="144"/>
      <c r="P69" s="104"/>
      <c r="Q69" s="104"/>
      <c r="R69" s="145"/>
    </row>
    <row r="70" ht="14.0">
      <c r="B70" s="141" t="s">
        <v>30</v>
      </c>
      <c r="C70" s="142" t="s">
        <v>647</v>
      </c>
      <c r="D70" s="142" t="s">
        <v>648</v>
      </c>
      <c r="E70" s="143" t="s">
        <v>649</v>
      </c>
      <c r="F70" s="104">
        <v>336.0</v>
      </c>
      <c r="G70" s="104">
        <v>210.0</v>
      </c>
      <c r="H70" s="105">
        <v>1.59</v>
      </c>
      <c r="I70" s="105">
        <v>333.23</v>
      </c>
      <c r="J70" s="146" t="s">
        <v>8</v>
      </c>
      <c r="K70" s="104"/>
      <c r="L70" s="107"/>
      <c r="M70" s="107"/>
      <c r="N70" s="126"/>
      <c r="O70" s="144"/>
      <c r="P70" s="104"/>
      <c r="Q70" s="104"/>
      <c r="R70" s="145"/>
    </row>
    <row r="71" ht="14.0">
      <c r="B71" s="141" t="s">
        <v>30</v>
      </c>
      <c r="C71" s="142" t="s">
        <v>647</v>
      </c>
      <c r="D71" s="142" t="s">
        <v>656</v>
      </c>
      <c r="E71" s="143" t="s">
        <v>657</v>
      </c>
      <c r="F71" s="104">
        <v>60.0</v>
      </c>
      <c r="G71" s="104">
        <v>42.0</v>
      </c>
      <c r="H71" s="105">
        <v>1.78</v>
      </c>
      <c r="I71" s="105">
        <v>74.92</v>
      </c>
      <c r="J71" s="146" t="s">
        <v>9</v>
      </c>
      <c r="K71" s="104"/>
      <c r="L71" s="107"/>
      <c r="M71" s="107"/>
      <c r="N71" s="126"/>
      <c r="O71" s="144"/>
      <c r="P71" s="104"/>
      <c r="Q71" s="104"/>
      <c r="R71" s="145"/>
    </row>
    <row r="72" ht="14.0">
      <c r="B72" s="141" t="s">
        <v>30</v>
      </c>
      <c r="C72" s="142" t="s">
        <v>647</v>
      </c>
      <c r="D72" s="142" t="s">
        <v>658</v>
      </c>
      <c r="E72" s="143" t="s">
        <v>659</v>
      </c>
      <c r="F72" s="104">
        <v>90.0</v>
      </c>
      <c r="G72" s="104">
        <v>52.0</v>
      </c>
      <c r="H72" s="105">
        <v>1.79</v>
      </c>
      <c r="I72" s="105">
        <v>93.09</v>
      </c>
      <c r="J72" s="146" t="s">
        <v>8</v>
      </c>
      <c r="K72" s="104"/>
      <c r="L72" s="107"/>
      <c r="M72" s="107"/>
      <c r="N72" s="126"/>
      <c r="O72" s="144"/>
      <c r="P72" s="104"/>
      <c r="Q72" s="104"/>
      <c r="R72" s="145"/>
    </row>
    <row r="73" ht="14.0">
      <c r="B73" s="141" t="s">
        <v>30</v>
      </c>
      <c r="C73" s="142" t="s">
        <v>682</v>
      </c>
      <c r="D73" s="142" t="s">
        <v>683</v>
      </c>
      <c r="E73" s="143" t="s">
        <v>684</v>
      </c>
      <c r="F73" s="104">
        <v>109.0</v>
      </c>
      <c r="G73" s="104">
        <v>29.0</v>
      </c>
      <c r="H73" s="105">
        <v>3.02</v>
      </c>
      <c r="I73" s="105">
        <v>87.57</v>
      </c>
      <c r="J73" s="146" t="s">
        <v>6</v>
      </c>
      <c r="K73" s="104"/>
      <c r="L73" s="107"/>
      <c r="M73" s="107"/>
      <c r="N73" s="126"/>
      <c r="O73" s="144"/>
      <c r="P73" s="104"/>
      <c r="Q73" s="104"/>
      <c r="R73" s="145"/>
    </row>
    <row r="74" ht="14.0">
      <c r="B74" s="141" t="s">
        <v>30</v>
      </c>
      <c r="C74" s="142" t="s">
        <v>682</v>
      </c>
      <c r="D74" s="142" t="s">
        <v>687</v>
      </c>
      <c r="E74" s="143" t="s">
        <v>688</v>
      </c>
      <c r="F74" s="104">
        <v>146.0</v>
      </c>
      <c r="G74" s="104">
        <v>0.0</v>
      </c>
      <c r="H74" s="128"/>
      <c r="I74" s="128" t="s">
        <v>836</v>
      </c>
      <c r="J74" s="146" t="s">
        <v>68</v>
      </c>
      <c r="K74" s="104"/>
      <c r="L74" s="107"/>
      <c r="M74" s="107"/>
      <c r="N74" s="126"/>
      <c r="O74" s="144"/>
      <c r="P74" s="104"/>
      <c r="Q74" s="104"/>
      <c r="R74" s="145"/>
    </row>
    <row r="75" ht="14.0">
      <c r="B75" s="141" t="s">
        <v>30</v>
      </c>
      <c r="C75" s="142" t="s">
        <v>682</v>
      </c>
      <c r="D75" s="142" t="s">
        <v>691</v>
      </c>
      <c r="E75" s="143" t="s">
        <v>692</v>
      </c>
      <c r="F75" s="104">
        <v>169.0</v>
      </c>
      <c r="G75" s="104">
        <v>54.0</v>
      </c>
      <c r="H75" s="105">
        <v>4.15</v>
      </c>
      <c r="I75" s="105">
        <v>223.98</v>
      </c>
      <c r="J75" s="146" t="s">
        <v>7</v>
      </c>
      <c r="K75" s="104"/>
      <c r="L75" s="107"/>
      <c r="M75" s="107"/>
      <c r="N75" s="126"/>
      <c r="O75" s="144"/>
      <c r="P75" s="104"/>
      <c r="Q75" s="104"/>
      <c r="R75" s="145"/>
    </row>
    <row r="76" ht="14.0">
      <c r="B76" s="141" t="s">
        <v>30</v>
      </c>
      <c r="C76" s="142" t="s">
        <v>682</v>
      </c>
      <c r="D76" s="142" t="s">
        <v>693</v>
      </c>
      <c r="E76" s="143" t="s">
        <v>694</v>
      </c>
      <c r="F76" s="104">
        <v>40.0</v>
      </c>
      <c r="G76" s="104">
        <v>12.0</v>
      </c>
      <c r="H76" s="105">
        <v>3.44</v>
      </c>
      <c r="I76" s="105">
        <v>41.28</v>
      </c>
      <c r="J76" s="146" t="s">
        <v>7</v>
      </c>
      <c r="K76" s="104"/>
      <c r="L76" s="107"/>
      <c r="M76" s="107"/>
      <c r="N76" s="126"/>
      <c r="O76" s="144"/>
      <c r="P76" s="104"/>
      <c r="Q76" s="104"/>
      <c r="R76" s="145"/>
    </row>
    <row r="77" ht="14.0">
      <c r="B77" s="141" t="s">
        <v>30</v>
      </c>
      <c r="C77" s="142" t="s">
        <v>682</v>
      </c>
      <c r="D77" s="142" t="s">
        <v>695</v>
      </c>
      <c r="E77" s="143" t="s">
        <v>696</v>
      </c>
      <c r="F77" s="104">
        <v>180.0</v>
      </c>
      <c r="G77" s="104">
        <v>130.0</v>
      </c>
      <c r="H77" s="105">
        <v>4.14</v>
      </c>
      <c r="I77" s="105">
        <v>538.73</v>
      </c>
      <c r="J77" s="146" t="s">
        <v>9</v>
      </c>
      <c r="K77" s="104"/>
      <c r="L77" s="107"/>
      <c r="M77" s="107"/>
      <c r="N77" s="126"/>
      <c r="O77" s="144"/>
      <c r="P77" s="104"/>
      <c r="Q77" s="104"/>
      <c r="R77" s="145"/>
    </row>
    <row r="78" ht="14.0">
      <c r="B78" s="141" t="s">
        <v>30</v>
      </c>
      <c r="C78" s="142" t="s">
        <v>682</v>
      </c>
      <c r="D78" s="142" t="s">
        <v>697</v>
      </c>
      <c r="E78" s="143" t="s">
        <v>698</v>
      </c>
      <c r="F78" s="104">
        <v>174.0</v>
      </c>
      <c r="G78" s="104">
        <v>166.0</v>
      </c>
      <c r="H78" s="105">
        <v>4.15</v>
      </c>
      <c r="I78" s="105">
        <v>688.17</v>
      </c>
      <c r="J78" s="146" t="s">
        <v>10</v>
      </c>
      <c r="K78" s="104"/>
      <c r="L78" s="107"/>
      <c r="M78" s="107"/>
      <c r="N78" s="126"/>
      <c r="O78" s="144"/>
      <c r="P78" s="104"/>
      <c r="Q78" s="104"/>
      <c r="R78" s="145"/>
    </row>
    <row r="79" ht="14.0">
      <c r="B79" s="141" t="s">
        <v>30</v>
      </c>
      <c r="C79" s="142" t="s">
        <v>699</v>
      </c>
      <c r="D79" s="142" t="s">
        <v>704</v>
      </c>
      <c r="E79" s="143" t="s">
        <v>705</v>
      </c>
      <c r="F79" s="104">
        <v>180.0</v>
      </c>
      <c r="G79" s="104">
        <v>23.0</v>
      </c>
      <c r="H79" s="105">
        <v>6.3</v>
      </c>
      <c r="I79" s="105">
        <v>144.97</v>
      </c>
      <c r="J79" s="146" t="s">
        <v>6</v>
      </c>
      <c r="K79" s="104"/>
      <c r="L79" s="107"/>
      <c r="M79" s="107"/>
      <c r="N79" s="126"/>
      <c r="O79" s="144"/>
      <c r="P79" s="104"/>
      <c r="Q79" s="104"/>
      <c r="R79" s="145"/>
    </row>
    <row r="80" ht="14.0">
      <c r="B80" s="141" t="s">
        <v>30</v>
      </c>
      <c r="C80" s="142" t="s">
        <v>699</v>
      </c>
      <c r="D80" s="142" t="s">
        <v>706</v>
      </c>
      <c r="E80" s="143" t="s">
        <v>707</v>
      </c>
      <c r="F80" s="104">
        <v>171.0</v>
      </c>
      <c r="G80" s="104">
        <v>83.0</v>
      </c>
      <c r="H80" s="105">
        <v>6.29</v>
      </c>
      <c r="I80" s="105">
        <v>521.78</v>
      </c>
      <c r="J80" s="146" t="s">
        <v>8</v>
      </c>
      <c r="K80" s="104"/>
      <c r="L80" s="107"/>
      <c r="M80" s="107"/>
      <c r="N80" s="126"/>
      <c r="O80" s="144"/>
      <c r="P80" s="104"/>
      <c r="Q80" s="104"/>
      <c r="R80" s="145"/>
    </row>
    <row r="81" ht="14.0">
      <c r="B81" s="103" t="s">
        <v>30</v>
      </c>
      <c r="C81" s="104" t="s">
        <v>699</v>
      </c>
      <c r="D81" s="104" t="s">
        <v>738</v>
      </c>
      <c r="E81" s="147" t="s">
        <v>739</v>
      </c>
      <c r="F81" s="104">
        <v>292.0</v>
      </c>
      <c r="G81" s="104">
        <v>252.0</v>
      </c>
      <c r="H81" s="105">
        <v>7.36</v>
      </c>
      <c r="I81" s="105">
        <v>1855.35</v>
      </c>
      <c r="J81" s="146" t="s">
        <v>10</v>
      </c>
      <c r="K81" s="104"/>
      <c r="L81" s="107"/>
      <c r="M81" s="107"/>
      <c r="N81" s="126"/>
      <c r="O81" s="144"/>
      <c r="P81" s="104"/>
      <c r="Q81" s="104"/>
      <c r="R81" s="145"/>
    </row>
    <row r="82" ht="14.0">
      <c r="G82" s="148">
        <f>SUM(G31:G81)</f>
        <v>3573.0</v>
      </c>
      <c r="I82" s="90">
        <f>SUM(I31:I81)</f>
        <v>10863.33</v>
      </c>
    </row>
  </sheetData>
  <autoFilter ref="A2:N159"/>
  <conditionalFormatting sqref="J2:J2 H4:I27 H1:I2 H28:H29 I29:I29 J28:J29 J32:J39 J41:J43 J47:J48 J51:J51 J53:J62 J65:J261876 G82:G82 H31:I261876">
    <cfRule dxfId="5" operator="containsText" type="containsText" priority="1" text="December">
      <formula>NOT(ISERROR(SEARCH("December",J2)))</formula>
    </cfRule>
  </conditionalFormatting>
  <conditionalFormatting sqref="J2:J3 J32:J39 J41:J43 J47:J48 J51:J51 J53:J62 J65:J262034 J28:J30">
    <cfRule dxfId="6" operator="containsText" type="containsText" priority="2" text="NOVEMBER">
      <formula>NOT(ISERROR(SEARCH("NOVEMBER",J2)))</formula>
    </cfRule>
  </conditionalFormatting>
  <conditionalFormatting sqref="J2:J3 J32:J39 J41:J43 J47:J48 J51:J51 J53:J62 J65:J262034 J28:J30">
    <cfRule dxfId="6" operator="containsText" type="containsText" priority="3" text="DECEMBER">
      <formula>NOT(ISERROR(SEARCH("DECEMBER",J2)))</formula>
    </cfRule>
  </conditionalFormatting>
  <conditionalFormatting sqref="J2:J3 J32:J39 J41:J43 J47:J48 J51:J51 J53:J62 J65:J262034 J28:J30">
    <cfRule dxfId="7" operator="containsText" type="containsText" priority="4" text="JANUARY">
      <formula>NOT(ISERROR(SEARCH("JANUARY",J2)))</formula>
    </cfRule>
  </conditionalFormatting>
  <conditionalFormatting sqref="F1:G1">
    <cfRule dxfId="5" operator="containsText" type="containsText" priority="5" text="December">
      <formula>NOT(ISERROR(SEARCH("December",F1)))</formula>
    </cfRule>
  </conditionalFormatting>
  <conditionalFormatting sqref="J1:J3 J32:J39 J41:J43 J47:J48 J51:J51 J53:J62 J65:J262066 J28:J30">
    <cfRule dxfId="2" operator="containsText" type="containsText" priority="6" text="FEB">
      <formula>NOT(ISERROR(SEARCH("FEB",J1)))</formula>
    </cfRule>
  </conditionalFormatting>
  <conditionalFormatting sqref="J1:J3 J32:J39 J41:J43 J47:J48 J51:J51 J53:J62 J65:J262066 J28:J30">
    <cfRule dxfId="8" operator="containsText" type="containsText" priority="7" text="MARCH">
      <formula>NOT(ISERROR(SEARCH("MARCH",J1)))</formula>
    </cfRule>
  </conditionalFormatting>
  <conditionalFormatting sqref="J1:J3 J32:J39 J41:J43 J47:J48 J51:J51 J53:J62 J65:J262066 J28:J30">
    <cfRule dxfId="9" operator="containsText" type="containsText" priority="8" text="APRIL">
      <formula>NOT(ISERROR(SEARCH("APRIL",J1)))</formula>
    </cfRule>
  </conditionalFormatting>
  <conditionalFormatting sqref="J1:J3 J32:J39 J41:J43 J47:J48 J51:J51 J53:J62 J65:J262066 J28:J30">
    <cfRule dxfId="10" operator="containsText" type="containsText" priority="9" text="MAY">
      <formula>NOT(ISERROR(SEARCH("MAY",J1)))</formula>
    </cfRule>
  </conditionalFormatting>
  <conditionalFormatting sqref="H3:J3">
    <cfRule dxfId="5" operator="containsText" type="containsText" priority="10" text="December">
      <formula>NOT(ISERROR(SEARCH("December",H3)))</formula>
    </cfRule>
  </conditionalFormatting>
  <conditionalFormatting sqref="R3:R3">
    <cfRule dxfId="5" operator="containsText" type="containsText" priority="11" text="December">
      <formula>NOT(ISERROR(SEARCH("December",R3)))</formula>
    </cfRule>
  </conditionalFormatting>
  <conditionalFormatting sqref="D31:E34">
    <cfRule dxfId="0" operator="equal" type="cellIs" priority="12">
      <formula>0</formula>
    </cfRule>
  </conditionalFormatting>
  <conditionalFormatting sqref="D31:D82">
    <cfRule dxfId="1" operator="containsText" type="containsText" priority="13" text="set up">
      <formula>NOT(ISERROR(SEARCH("set up",D31)))</formula>
    </cfRule>
  </conditionalFormatting>
  <conditionalFormatting sqref="D31:D82">
    <cfRule dxfId="1" operator="containsText" type="containsText" priority="14" text="STARTER PACK">
      <formula>NOT(ISERROR(SEARCH("STARTER PACK",D31)))</formula>
    </cfRule>
  </conditionalFormatting>
  <conditionalFormatting sqref="R30:R30">
    <cfRule dxfId="5" operator="containsText" type="containsText" priority="15" text="December">
      <formula>NOT(ISERROR(SEARCH("December",R30)))</formula>
    </cfRule>
  </conditionalFormatting>
  <conditionalFormatting sqref="J1:J262066">
    <cfRule dxfId="3" operator="containsText" type="containsText" priority="16" text="no stock">
      <formula>NOT(ISERROR(SEARCH("no stock",J1)))</formula>
    </cfRule>
  </conditionalFormatting>
  <conditionalFormatting sqref="H30:J30">
    <cfRule dxfId="5" operator="containsText" type="containsText" priority="17" text="December">
      <formula>NOT(ISERROR(SEARCH("December",H30)))</formula>
    </cfRule>
  </conditionalFormatting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1270"/>
  <sheetViews>
    <sheetView workbookViewId="0"/>
  </sheetViews>
  <sheetFormatPr defaultRowHeight="14.0" customHeight="1"/>
  <cols>
    <col min="1" max="1" style="80" width="67.83"/>
    <col min="2" max="2" style="80" width="23.18"/>
    <col min="3" max="3" style="80" width="5.43"/>
    <col min="4" max="4" style="80" width="12.98"/>
    <col min="5" max="5" width="13.24"/>
  </cols>
  <sheetData>
    <row r="1" ht="27.0">
      <c r="A1" s="149" t="s">
        <v>842</v>
      </c>
      <c r="B1" s="149" t="s">
        <v>824</v>
      </c>
      <c r="C1" s="149" t="s">
        <v>24</v>
      </c>
      <c r="D1" s="150" t="s">
        <v>843</v>
      </c>
    </row>
    <row r="2" ht="14.0">
      <c r="A2" s="151" t="s">
        <v>844</v>
      </c>
      <c r="B2" s="151" t="s">
        <v>845</v>
      </c>
      <c r="C2" s="80">
        <v>1000.0</v>
      </c>
      <c r="D2" s="151" t="s">
        <v>0</v>
      </c>
    </row>
    <row r="3" ht="14.0">
      <c r="A3" s="151" t="s">
        <v>846</v>
      </c>
      <c r="B3" s="151" t="s">
        <v>847</v>
      </c>
      <c r="C3" s="80">
        <v>1000.0</v>
      </c>
      <c r="D3" s="151" t="s">
        <v>0</v>
      </c>
    </row>
    <row r="4" ht="14.0">
      <c r="A4" s="151" t="s">
        <v>848</v>
      </c>
      <c r="B4" s="151" t="s">
        <v>849</v>
      </c>
      <c r="C4" s="80">
        <v>1000.0</v>
      </c>
      <c r="D4" s="151" t="s">
        <v>0</v>
      </c>
    </row>
    <row r="5" ht="14.0">
      <c r="A5" s="151" t="s">
        <v>850</v>
      </c>
      <c r="B5" s="151" t="s">
        <v>851</v>
      </c>
      <c r="C5" s="80">
        <v>1000.0</v>
      </c>
      <c r="D5" s="151" t="s">
        <v>0</v>
      </c>
    </row>
    <row r="6" ht="14.0">
      <c r="A6" s="151" t="s">
        <v>852</v>
      </c>
      <c r="B6" s="151" t="s">
        <v>853</v>
      </c>
      <c r="C6" s="80">
        <v>1000.0</v>
      </c>
      <c r="D6" s="151" t="s">
        <v>0</v>
      </c>
    </row>
    <row r="7" ht="14.0">
      <c r="A7" s="151" t="s">
        <v>854</v>
      </c>
      <c r="B7" s="151" t="s">
        <v>855</v>
      </c>
      <c r="C7" s="80">
        <v>1000.0</v>
      </c>
      <c r="D7" s="151" t="s">
        <v>0</v>
      </c>
    </row>
    <row r="8" ht="14.0">
      <c r="A8" s="151" t="s">
        <v>856</v>
      </c>
      <c r="B8" s="151" t="s">
        <v>857</v>
      </c>
      <c r="C8" s="151">
        <v>504.0</v>
      </c>
      <c r="D8" s="151" t="s">
        <v>0</v>
      </c>
    </row>
    <row r="9" ht="14.0">
      <c r="A9" s="151" t="s">
        <v>858</v>
      </c>
      <c r="B9" s="151" t="s">
        <v>859</v>
      </c>
      <c r="C9" s="151">
        <v>7.0</v>
      </c>
      <c r="D9" s="151" t="s">
        <v>0</v>
      </c>
    </row>
    <row r="10" ht="14.0">
      <c r="A10" s="151" t="s">
        <v>860</v>
      </c>
      <c r="B10" s="151" t="s">
        <v>861</v>
      </c>
      <c r="C10" s="80">
        <v>1014.0</v>
      </c>
      <c r="D10" s="151" t="s">
        <v>0</v>
      </c>
    </row>
    <row r="11" ht="14.0">
      <c r="A11" s="151" t="s">
        <v>862</v>
      </c>
      <c r="B11" s="151" t="s">
        <v>863</v>
      </c>
      <c r="C11" s="80">
        <v>1014.0</v>
      </c>
      <c r="D11" s="151" t="s">
        <v>0</v>
      </c>
    </row>
    <row r="12" ht="14.0">
      <c r="A12" s="151" t="s">
        <v>864</v>
      </c>
      <c r="B12" s="151" t="s">
        <v>865</v>
      </c>
      <c r="C12" s="80">
        <v>1014.0</v>
      </c>
      <c r="D12" s="151" t="s">
        <v>0</v>
      </c>
    </row>
    <row r="13" ht="14.0">
      <c r="A13" s="151" t="s">
        <v>866</v>
      </c>
      <c r="B13" s="151" t="s">
        <v>867</v>
      </c>
      <c r="C13" s="80">
        <v>1014.0</v>
      </c>
      <c r="D13" s="151" t="s">
        <v>0</v>
      </c>
    </row>
    <row r="14" ht="14.0">
      <c r="A14" s="151" t="s">
        <v>868</v>
      </c>
      <c r="B14" s="151" t="s">
        <v>869</v>
      </c>
      <c r="C14" s="80">
        <v>1014.0</v>
      </c>
      <c r="D14" s="151" t="s">
        <v>0</v>
      </c>
    </row>
    <row r="15" ht="14.0">
      <c r="A15" s="151" t="s">
        <v>870</v>
      </c>
      <c r="B15" s="151" t="s">
        <v>871</v>
      </c>
      <c r="C15" s="151"/>
      <c r="D15" s="151" t="s">
        <v>0</v>
      </c>
    </row>
    <row r="16" ht="14.0">
      <c r="A16" s="151" t="s">
        <v>872</v>
      </c>
      <c r="B16" s="151" t="s">
        <v>873</v>
      </c>
      <c r="C16" s="80">
        <v>1014.0</v>
      </c>
      <c r="D16" s="151" t="s">
        <v>0</v>
      </c>
    </row>
    <row r="17" ht="14.0">
      <c r="A17" s="151" t="s">
        <v>874</v>
      </c>
      <c r="B17" s="151" t="s">
        <v>875</v>
      </c>
      <c r="C17" s="80">
        <v>1014.0</v>
      </c>
      <c r="D17" s="151" t="s">
        <v>0</v>
      </c>
    </row>
    <row r="18" ht="14.0">
      <c r="A18" s="151" t="s">
        <v>876</v>
      </c>
      <c r="B18" s="151" t="s">
        <v>877</v>
      </c>
      <c r="C18" s="80">
        <v>1014.0</v>
      </c>
      <c r="D18" s="151" t="s">
        <v>0</v>
      </c>
    </row>
    <row r="19" ht="14.0">
      <c r="A19" s="151" t="s">
        <v>878</v>
      </c>
      <c r="B19" s="151" t="s">
        <v>879</v>
      </c>
      <c r="C19" s="80">
        <v>1014.0</v>
      </c>
      <c r="D19" s="151" t="s">
        <v>0</v>
      </c>
    </row>
    <row r="20" ht="14.0">
      <c r="A20" s="151" t="s">
        <v>880</v>
      </c>
      <c r="B20" s="151" t="s">
        <v>881</v>
      </c>
      <c r="C20" s="80">
        <v>1014.0</v>
      </c>
      <c r="D20" s="151" t="s">
        <v>0</v>
      </c>
    </row>
    <row r="21" ht="14.0">
      <c r="A21" s="151" t="s">
        <v>882</v>
      </c>
      <c r="B21" s="151" t="s">
        <v>883</v>
      </c>
      <c r="C21" s="80">
        <v>1014.0</v>
      </c>
      <c r="D21" s="151" t="s">
        <v>0</v>
      </c>
    </row>
    <row r="22" ht="14.0">
      <c r="A22" s="151" t="s">
        <v>884</v>
      </c>
      <c r="B22" s="151" t="s">
        <v>885</v>
      </c>
      <c r="C22" s="151"/>
      <c r="D22" s="151" t="s">
        <v>0</v>
      </c>
    </row>
    <row r="23" ht="14.0">
      <c r="A23" s="151" t="s">
        <v>108</v>
      </c>
      <c r="B23" s="151" t="s">
        <v>109</v>
      </c>
      <c r="C23" s="80">
        <v>1002.0</v>
      </c>
      <c r="D23" s="151"/>
    </row>
    <row r="24" ht="14.0">
      <c r="A24" s="151" t="s">
        <v>886</v>
      </c>
      <c r="B24" s="151" t="s">
        <v>887</v>
      </c>
      <c r="C24" s="151"/>
      <c r="D24" s="151" t="s">
        <v>0</v>
      </c>
    </row>
    <row r="25" ht="14.0">
      <c r="A25" s="151" t="s">
        <v>888</v>
      </c>
      <c r="B25" s="151" t="s">
        <v>889</v>
      </c>
      <c r="C25" s="151"/>
      <c r="D25" s="151" t="s">
        <v>0</v>
      </c>
    </row>
    <row r="26" ht="14.0">
      <c r="A26" s="151" t="s">
        <v>92</v>
      </c>
      <c r="B26" s="151" t="s">
        <v>93</v>
      </c>
      <c r="C26" s="80">
        <v>1002.0</v>
      </c>
      <c r="D26" s="151"/>
    </row>
    <row r="27" ht="14.0">
      <c r="A27" s="151" t="s">
        <v>86</v>
      </c>
      <c r="B27" s="151" t="s">
        <v>87</v>
      </c>
      <c r="C27" s="80">
        <v>1002.0</v>
      </c>
      <c r="D27" s="151"/>
    </row>
    <row r="28" ht="14.0">
      <c r="A28" s="151" t="s">
        <v>126</v>
      </c>
      <c r="B28" s="151" t="s">
        <v>127</v>
      </c>
      <c r="C28" s="80">
        <v>1002.0</v>
      </c>
      <c r="D28" s="151"/>
    </row>
    <row r="29" ht="14.0">
      <c r="A29" s="151" t="s">
        <v>890</v>
      </c>
      <c r="B29" s="151" t="s">
        <v>891</v>
      </c>
      <c r="C29" s="151"/>
      <c r="D29" s="151" t="s">
        <v>0</v>
      </c>
    </row>
    <row r="30" ht="14.0">
      <c r="A30" s="151" t="s">
        <v>102</v>
      </c>
      <c r="B30" s="151" t="s">
        <v>103</v>
      </c>
      <c r="C30" s="80">
        <v>1002.0</v>
      </c>
      <c r="D30" s="151"/>
    </row>
    <row r="31" ht="14.0">
      <c r="A31" s="151" t="s">
        <v>116</v>
      </c>
      <c r="B31" s="151" t="s">
        <v>117</v>
      </c>
      <c r="C31" s="80">
        <v>1002.0</v>
      </c>
      <c r="D31" s="151"/>
    </row>
    <row r="32" ht="14.0">
      <c r="A32" s="151" t="s">
        <v>120</v>
      </c>
      <c r="B32" s="151" t="s">
        <v>121</v>
      </c>
      <c r="C32" s="80">
        <v>1002.0</v>
      </c>
      <c r="D32" s="151"/>
    </row>
    <row r="33" ht="14.0">
      <c r="A33" s="151" t="s">
        <v>892</v>
      </c>
      <c r="B33" s="151" t="s">
        <v>893</v>
      </c>
      <c r="C33" s="151"/>
      <c r="D33" s="151" t="s">
        <v>0</v>
      </c>
    </row>
    <row r="34" ht="14.0">
      <c r="A34" s="151" t="s">
        <v>112</v>
      </c>
      <c r="B34" s="151" t="s">
        <v>113</v>
      </c>
      <c r="C34" s="80">
        <v>1002.0</v>
      </c>
      <c r="D34" s="151"/>
    </row>
    <row r="35" ht="14.0">
      <c r="A35" s="151" t="s">
        <v>894</v>
      </c>
      <c r="B35" s="151" t="s">
        <v>895</v>
      </c>
      <c r="C35" s="151"/>
      <c r="D35" s="151" t="s">
        <v>0</v>
      </c>
    </row>
    <row r="36" ht="14.0">
      <c r="A36" s="151" t="s">
        <v>106</v>
      </c>
      <c r="B36" s="151" t="s">
        <v>107</v>
      </c>
      <c r="C36" s="80">
        <v>1002.0</v>
      </c>
      <c r="D36" s="151"/>
    </row>
    <row r="37" ht="14.0">
      <c r="A37" s="151" t="s">
        <v>124</v>
      </c>
      <c r="B37" s="151" t="s">
        <v>125</v>
      </c>
      <c r="C37" s="80">
        <v>1002.0</v>
      </c>
      <c r="D37" s="151"/>
    </row>
    <row r="38" ht="14.0">
      <c r="A38" s="151" t="s">
        <v>84</v>
      </c>
      <c r="B38" s="151" t="s">
        <v>85</v>
      </c>
      <c r="C38" s="80">
        <v>1002.0</v>
      </c>
      <c r="D38" s="151"/>
    </row>
    <row r="39" ht="14.0">
      <c r="A39" s="151" t="s">
        <v>94</v>
      </c>
      <c r="B39" s="151" t="s">
        <v>95</v>
      </c>
      <c r="C39" s="80">
        <v>1002.0</v>
      </c>
      <c r="D39" s="151"/>
    </row>
    <row r="40" ht="14.0">
      <c r="A40" s="151" t="s">
        <v>896</v>
      </c>
      <c r="B40" s="151" t="s">
        <v>897</v>
      </c>
      <c r="C40" s="151"/>
      <c r="D40" s="151" t="s">
        <v>0</v>
      </c>
    </row>
    <row r="41" ht="14.0">
      <c r="A41" s="151" t="s">
        <v>90</v>
      </c>
      <c r="B41" s="151" t="s">
        <v>91</v>
      </c>
      <c r="C41" s="80">
        <v>1002.0</v>
      </c>
      <c r="D41" s="151"/>
    </row>
    <row r="42" ht="14.0">
      <c r="A42" s="151" t="s">
        <v>898</v>
      </c>
      <c r="B42" s="151" t="s">
        <v>899</v>
      </c>
      <c r="C42" s="151"/>
      <c r="D42" s="151" t="s">
        <v>0</v>
      </c>
    </row>
    <row r="43" ht="14.0">
      <c r="A43" s="151" t="s">
        <v>134</v>
      </c>
      <c r="B43" s="151" t="s">
        <v>135</v>
      </c>
      <c r="C43" s="80">
        <v>1002.0</v>
      </c>
      <c r="D43" s="151"/>
    </row>
    <row r="44" ht="14.0">
      <c r="A44" s="151" t="s">
        <v>100</v>
      </c>
      <c r="B44" s="151" t="s">
        <v>101</v>
      </c>
      <c r="C44" s="80">
        <v>1002.0</v>
      </c>
      <c r="D44" s="151"/>
    </row>
    <row r="45" ht="14.0">
      <c r="A45" s="151" t="s">
        <v>96</v>
      </c>
      <c r="B45" s="151" t="s">
        <v>97</v>
      </c>
      <c r="C45" s="80">
        <v>1002.0</v>
      </c>
      <c r="D45" s="151"/>
    </row>
    <row r="46" ht="14.0">
      <c r="A46" s="151" t="s">
        <v>130</v>
      </c>
      <c r="B46" s="151" t="s">
        <v>131</v>
      </c>
      <c r="C46" s="80">
        <v>1002.0</v>
      </c>
      <c r="D46" s="151"/>
    </row>
    <row r="47" ht="14.0">
      <c r="A47" s="151" t="s">
        <v>900</v>
      </c>
      <c r="B47" s="151" t="s">
        <v>901</v>
      </c>
      <c r="C47" s="80">
        <v>1002.0</v>
      </c>
      <c r="D47" s="151"/>
    </row>
    <row r="48" ht="14.0">
      <c r="A48" s="151" t="s">
        <v>98</v>
      </c>
      <c r="B48" s="151" t="s">
        <v>99</v>
      </c>
      <c r="C48" s="80">
        <v>1002.0</v>
      </c>
      <c r="D48" s="151"/>
    </row>
    <row r="49" ht="14.0">
      <c r="A49" s="151" t="s">
        <v>104</v>
      </c>
      <c r="B49" s="151" t="s">
        <v>105</v>
      </c>
      <c r="C49" s="80">
        <v>1002.0</v>
      </c>
      <c r="D49" s="151"/>
    </row>
    <row r="50" ht="14.0">
      <c r="A50" s="151" t="s">
        <v>88</v>
      </c>
      <c r="B50" s="151" t="s">
        <v>89</v>
      </c>
      <c r="C50" s="80">
        <v>1002.0</v>
      </c>
      <c r="D50" s="151"/>
    </row>
    <row r="51" ht="14.0">
      <c r="A51" s="151" t="s">
        <v>110</v>
      </c>
      <c r="B51" s="151" t="s">
        <v>111</v>
      </c>
      <c r="C51" s="80">
        <v>1002.0</v>
      </c>
      <c r="D51" s="151"/>
    </row>
    <row r="52" ht="14.0">
      <c r="A52" s="151" t="s">
        <v>132</v>
      </c>
      <c r="B52" s="151" t="s">
        <v>133</v>
      </c>
      <c r="C52" s="80">
        <v>1002.0</v>
      </c>
      <c r="D52" s="151"/>
    </row>
    <row r="53" ht="14.0">
      <c r="A53" s="151" t="s">
        <v>902</v>
      </c>
      <c r="B53" s="151" t="s">
        <v>903</v>
      </c>
      <c r="C53" s="80">
        <v>1002.0</v>
      </c>
      <c r="D53" s="151"/>
    </row>
    <row r="54" ht="14.0">
      <c r="A54" s="151" t="s">
        <v>904</v>
      </c>
      <c r="B54" s="151" t="s">
        <v>905</v>
      </c>
      <c r="C54" s="80">
        <v>1002.0</v>
      </c>
      <c r="D54" s="151" t="s">
        <v>906</v>
      </c>
    </row>
    <row r="55" ht="14.0">
      <c r="A55" s="151" t="s">
        <v>907</v>
      </c>
      <c r="B55" s="151" t="s">
        <v>908</v>
      </c>
      <c r="C55" s="80">
        <v>1002.0</v>
      </c>
      <c r="D55" s="151"/>
    </row>
    <row r="56" ht="14.0">
      <c r="A56" s="151" t="s">
        <v>114</v>
      </c>
      <c r="B56" s="151" t="s">
        <v>115</v>
      </c>
      <c r="C56" s="80">
        <v>1002.0</v>
      </c>
      <c r="D56" s="151"/>
    </row>
    <row r="57" ht="14.0">
      <c r="A57" s="151" t="s">
        <v>128</v>
      </c>
      <c r="B57" s="151" t="s">
        <v>129</v>
      </c>
      <c r="C57" s="80">
        <v>1002.0</v>
      </c>
      <c r="D57" s="151"/>
    </row>
    <row r="58" ht="14.0">
      <c r="A58" s="151" t="s">
        <v>118</v>
      </c>
      <c r="B58" s="151" t="s">
        <v>119</v>
      </c>
      <c r="C58" s="80">
        <v>1002.0</v>
      </c>
      <c r="D58" s="151"/>
    </row>
    <row r="59" ht="14.0">
      <c r="A59" s="151" t="s">
        <v>122</v>
      </c>
      <c r="B59" s="151" t="s">
        <v>123</v>
      </c>
      <c r="C59" s="80">
        <v>1002.0</v>
      </c>
      <c r="D59" s="151"/>
    </row>
    <row r="60" ht="14.0">
      <c r="A60" s="151" t="s">
        <v>909</v>
      </c>
      <c r="B60" s="151" t="s">
        <v>910</v>
      </c>
      <c r="C60" s="151"/>
      <c r="D60" s="151"/>
    </row>
    <row r="61" ht="14.0">
      <c r="A61" s="151" t="s">
        <v>911</v>
      </c>
      <c r="B61" s="151" t="s">
        <v>912</v>
      </c>
      <c r="C61" s="151"/>
      <c r="D61" s="151"/>
    </row>
    <row r="62" ht="14.0">
      <c r="A62" s="151" t="s">
        <v>913</v>
      </c>
      <c r="B62" s="151" t="s">
        <v>914</v>
      </c>
      <c r="C62" s="151"/>
      <c r="D62" s="151" t="s">
        <v>0</v>
      </c>
    </row>
    <row r="63" ht="14.0">
      <c r="A63" s="151" t="s">
        <v>456</v>
      </c>
      <c r="B63" s="151" t="s">
        <v>457</v>
      </c>
      <c r="C63" s="151"/>
      <c r="D63" s="151"/>
    </row>
    <row r="64" ht="14.0">
      <c r="A64" s="151" t="s">
        <v>915</v>
      </c>
      <c r="B64" s="151" t="s">
        <v>916</v>
      </c>
      <c r="C64" s="151"/>
      <c r="D64" s="151"/>
    </row>
    <row r="65" ht="14.0">
      <c r="A65" s="151" t="s">
        <v>917</v>
      </c>
      <c r="B65" s="151" t="s">
        <v>455</v>
      </c>
      <c r="C65" s="151"/>
      <c r="D65" s="151"/>
    </row>
    <row r="66" ht="14.0">
      <c r="A66" s="151" t="s">
        <v>918</v>
      </c>
      <c r="B66" s="151" t="s">
        <v>919</v>
      </c>
      <c r="C66" s="151"/>
      <c r="D66" s="151" t="s">
        <v>0</v>
      </c>
    </row>
    <row r="67" ht="14.0">
      <c r="A67" s="151" t="s">
        <v>920</v>
      </c>
      <c r="B67" s="151" t="s">
        <v>921</v>
      </c>
      <c r="C67" s="151"/>
      <c r="D67" s="151" t="s">
        <v>0</v>
      </c>
    </row>
    <row r="68" ht="14.0">
      <c r="A68" s="151" t="s">
        <v>922</v>
      </c>
      <c r="B68" s="151" t="s">
        <v>923</v>
      </c>
      <c r="C68" s="151"/>
      <c r="D68" s="151" t="s">
        <v>0</v>
      </c>
    </row>
    <row r="69" ht="14.0">
      <c r="A69" s="151" t="s">
        <v>924</v>
      </c>
      <c r="B69" s="151" t="s">
        <v>925</v>
      </c>
      <c r="C69" s="151"/>
      <c r="D69" s="151" t="s">
        <v>0</v>
      </c>
    </row>
    <row r="70" ht="14.0">
      <c r="A70" s="151" t="s">
        <v>926</v>
      </c>
      <c r="B70" s="151" t="s">
        <v>927</v>
      </c>
      <c r="C70" s="151"/>
      <c r="D70" s="151" t="s">
        <v>0</v>
      </c>
    </row>
    <row r="71" ht="14.0">
      <c r="A71" s="151" t="s">
        <v>928</v>
      </c>
      <c r="B71" s="151" t="s">
        <v>929</v>
      </c>
      <c r="C71" s="151"/>
      <c r="D71" s="151" t="s">
        <v>0</v>
      </c>
    </row>
    <row r="72" ht="14.0">
      <c r="A72" s="151" t="s">
        <v>930</v>
      </c>
      <c r="B72" s="151" t="s">
        <v>931</v>
      </c>
      <c r="C72" s="151"/>
      <c r="D72" s="151" t="s">
        <v>0</v>
      </c>
    </row>
    <row r="73" ht="14.0">
      <c r="A73" s="151" t="s">
        <v>932</v>
      </c>
      <c r="B73" s="151" t="s">
        <v>933</v>
      </c>
      <c r="C73" s="151"/>
      <c r="D73" s="151" t="s">
        <v>0</v>
      </c>
    </row>
    <row r="74" ht="14.0">
      <c r="A74" s="151" t="s">
        <v>934</v>
      </c>
      <c r="B74" s="151" t="s">
        <v>935</v>
      </c>
      <c r="C74" s="80">
        <v>1008.0</v>
      </c>
      <c r="D74" s="151"/>
    </row>
    <row r="75" ht="14.0">
      <c r="A75" s="151" t="s">
        <v>936</v>
      </c>
      <c r="B75" s="151" t="s">
        <v>937</v>
      </c>
      <c r="C75" s="151"/>
      <c r="D75" s="151" t="s">
        <v>0</v>
      </c>
    </row>
    <row r="76" ht="14.0">
      <c r="A76" s="151" t="s">
        <v>938</v>
      </c>
      <c r="B76" s="151" t="s">
        <v>939</v>
      </c>
      <c r="C76" s="151"/>
      <c r="D76" s="151" t="s">
        <v>0</v>
      </c>
    </row>
    <row r="77" ht="14.0">
      <c r="A77" s="151" t="s">
        <v>940</v>
      </c>
      <c r="B77" s="151" t="s">
        <v>941</v>
      </c>
      <c r="C77" s="151"/>
      <c r="D77" s="151" t="s">
        <v>0</v>
      </c>
    </row>
    <row r="78" ht="14.0">
      <c r="A78" s="151" t="s">
        <v>942</v>
      </c>
      <c r="B78" s="151" t="s">
        <v>943</v>
      </c>
      <c r="C78" s="151"/>
      <c r="D78" s="151" t="s">
        <v>0</v>
      </c>
    </row>
    <row r="79" ht="14.0">
      <c r="A79" s="151" t="s">
        <v>944</v>
      </c>
      <c r="B79" s="151" t="s">
        <v>945</v>
      </c>
      <c r="C79" s="151"/>
      <c r="D79" s="151" t="s">
        <v>0</v>
      </c>
    </row>
    <row r="80" ht="14.0">
      <c r="A80" s="151" t="s">
        <v>946</v>
      </c>
      <c r="B80" s="151" t="s">
        <v>947</v>
      </c>
      <c r="C80" s="151"/>
      <c r="D80" s="151" t="s">
        <v>0</v>
      </c>
    </row>
    <row r="81" ht="14.0">
      <c r="A81" s="151" t="s">
        <v>948</v>
      </c>
      <c r="B81" s="151" t="s">
        <v>949</v>
      </c>
      <c r="C81" s="151"/>
      <c r="D81" s="151" t="s">
        <v>0</v>
      </c>
    </row>
    <row r="82" ht="14.0">
      <c r="A82" s="151" t="s">
        <v>950</v>
      </c>
      <c r="B82" s="151" t="s">
        <v>951</v>
      </c>
      <c r="C82" s="151"/>
      <c r="D82" s="151" t="s">
        <v>0</v>
      </c>
    </row>
    <row r="83" ht="14.0">
      <c r="A83" s="151" t="s">
        <v>952</v>
      </c>
      <c r="B83" s="151" t="s">
        <v>953</v>
      </c>
      <c r="C83" s="151"/>
      <c r="D83" s="151" t="s">
        <v>0</v>
      </c>
    </row>
    <row r="84" ht="14.0">
      <c r="A84" s="151" t="s">
        <v>954</v>
      </c>
      <c r="B84" s="151" t="s">
        <v>955</v>
      </c>
      <c r="C84" s="151"/>
      <c r="D84" s="151" t="s">
        <v>0</v>
      </c>
    </row>
    <row r="85" ht="14.0">
      <c r="A85" s="151" t="s">
        <v>956</v>
      </c>
      <c r="B85" s="151" t="s">
        <v>957</v>
      </c>
      <c r="C85" s="151"/>
      <c r="D85" s="151" t="s">
        <v>0</v>
      </c>
    </row>
    <row r="86" ht="14.0">
      <c r="A86" s="151" t="s">
        <v>958</v>
      </c>
      <c r="B86" s="151" t="s">
        <v>959</v>
      </c>
      <c r="C86" s="151"/>
      <c r="D86" s="151" t="s">
        <v>0</v>
      </c>
    </row>
    <row r="87" ht="14.0">
      <c r="A87" s="151" t="s">
        <v>960</v>
      </c>
      <c r="B87" s="151" t="s">
        <v>961</v>
      </c>
      <c r="C87" s="151"/>
      <c r="D87" s="151" t="s">
        <v>0</v>
      </c>
    </row>
    <row r="88" ht="14.0">
      <c r="A88" s="151" t="s">
        <v>962</v>
      </c>
      <c r="B88" s="151" t="s">
        <v>963</v>
      </c>
      <c r="C88" s="151"/>
      <c r="D88" s="151" t="s">
        <v>0</v>
      </c>
    </row>
    <row r="89" ht="14.0">
      <c r="A89" s="151" t="s">
        <v>964</v>
      </c>
      <c r="B89" s="151" t="s">
        <v>965</v>
      </c>
      <c r="C89" s="151"/>
      <c r="D89" s="151" t="s">
        <v>0</v>
      </c>
    </row>
    <row r="90" ht="14.0">
      <c r="A90" s="151" t="s">
        <v>966</v>
      </c>
      <c r="B90" s="151" t="s">
        <v>967</v>
      </c>
      <c r="C90" s="151"/>
      <c r="D90" s="151" t="s">
        <v>0</v>
      </c>
    </row>
    <row r="91" ht="14.0">
      <c r="A91" s="151" t="s">
        <v>968</v>
      </c>
      <c r="B91" s="151" t="s">
        <v>969</v>
      </c>
      <c r="C91" s="151"/>
      <c r="D91" s="151" t="s">
        <v>0</v>
      </c>
    </row>
    <row r="92" ht="14.0">
      <c r="A92" s="151" t="s">
        <v>970</v>
      </c>
      <c r="B92" s="151" t="s">
        <v>971</v>
      </c>
      <c r="C92" s="151"/>
      <c r="D92" s="151" t="s">
        <v>0</v>
      </c>
    </row>
    <row r="93" ht="14.0">
      <c r="A93" s="151" t="s">
        <v>972</v>
      </c>
      <c r="B93" s="151" t="s">
        <v>973</v>
      </c>
      <c r="C93" s="151"/>
      <c r="D93" s="151" t="s">
        <v>0</v>
      </c>
    </row>
    <row r="94" ht="14.0">
      <c r="A94" s="151" t="s">
        <v>974</v>
      </c>
      <c r="B94" s="151" t="s">
        <v>975</v>
      </c>
      <c r="C94" s="151"/>
      <c r="D94" s="151" t="s">
        <v>0</v>
      </c>
    </row>
    <row r="95" ht="14.0">
      <c r="A95" s="151" t="s">
        <v>976</v>
      </c>
      <c r="B95" s="151" t="s">
        <v>977</v>
      </c>
      <c r="C95" s="151"/>
      <c r="D95" s="151" t="s">
        <v>0</v>
      </c>
    </row>
    <row r="96" ht="14.0">
      <c r="A96" s="151" t="s">
        <v>978</v>
      </c>
      <c r="B96" s="151" t="s">
        <v>979</v>
      </c>
      <c r="C96" s="151"/>
      <c r="D96" s="151" t="s">
        <v>0</v>
      </c>
    </row>
    <row r="97" ht="14.0">
      <c r="A97" s="151" t="s">
        <v>980</v>
      </c>
      <c r="B97" s="151" t="s">
        <v>981</v>
      </c>
      <c r="C97" s="151"/>
      <c r="D97" s="151" t="s">
        <v>0</v>
      </c>
    </row>
    <row r="98" ht="14.0">
      <c r="A98" s="151" t="s">
        <v>982</v>
      </c>
      <c r="B98" s="151" t="s">
        <v>983</v>
      </c>
      <c r="C98" s="151"/>
      <c r="D98" s="151" t="s">
        <v>0</v>
      </c>
    </row>
    <row r="99" ht="14.0">
      <c r="A99" s="151" t="s">
        <v>984</v>
      </c>
      <c r="B99" s="151" t="s">
        <v>985</v>
      </c>
      <c r="C99" s="151"/>
      <c r="D99" s="151" t="s">
        <v>0</v>
      </c>
    </row>
    <row r="100" ht="14.0">
      <c r="A100" s="151" t="s">
        <v>986</v>
      </c>
      <c r="B100" s="151" t="s">
        <v>987</v>
      </c>
      <c r="C100" s="151"/>
      <c r="D100" s="151" t="s">
        <v>0</v>
      </c>
    </row>
    <row r="101" ht="14.0">
      <c r="A101" s="151" t="s">
        <v>988</v>
      </c>
      <c r="B101" s="151" t="s">
        <v>989</v>
      </c>
      <c r="C101" s="151"/>
      <c r="D101" s="151" t="s">
        <v>0</v>
      </c>
    </row>
    <row r="102" ht="14.0">
      <c r="A102" s="151" t="s">
        <v>990</v>
      </c>
      <c r="B102" s="151" t="s">
        <v>991</v>
      </c>
      <c r="C102" s="80">
        <v>1008.0</v>
      </c>
      <c r="D102" s="151"/>
    </row>
    <row r="103" ht="14.0">
      <c r="A103" s="151" t="s">
        <v>992</v>
      </c>
      <c r="B103" s="151" t="s">
        <v>993</v>
      </c>
      <c r="C103" s="151"/>
      <c r="D103" s="151"/>
    </row>
    <row r="104" ht="14.0">
      <c r="A104" s="151" t="s">
        <v>994</v>
      </c>
      <c r="B104" s="151">
        <v>37301.0</v>
      </c>
      <c r="C104" s="151">
        <v>36.0</v>
      </c>
      <c r="D104" s="151"/>
    </row>
    <row r="105" ht="14.0">
      <c r="A105" s="151" t="s">
        <v>995</v>
      </c>
      <c r="B105" s="151">
        <v>37327.0</v>
      </c>
      <c r="C105" s="151">
        <v>36.0</v>
      </c>
      <c r="D105" s="151"/>
    </row>
    <row r="106" ht="14.0">
      <c r="A106" s="151" t="s">
        <v>996</v>
      </c>
      <c r="B106" s="151">
        <v>37302.0</v>
      </c>
      <c r="C106" s="151">
        <v>36.0</v>
      </c>
      <c r="D106" s="151"/>
    </row>
    <row r="107" ht="14.0">
      <c r="A107" s="151" t="s">
        <v>997</v>
      </c>
      <c r="B107" s="151">
        <v>37303.0</v>
      </c>
      <c r="C107" s="151">
        <v>36.0</v>
      </c>
      <c r="D107" s="151"/>
    </row>
    <row r="108" ht="14.0">
      <c r="A108" s="151" t="s">
        <v>998</v>
      </c>
      <c r="B108" s="151">
        <v>37304.0</v>
      </c>
      <c r="C108" s="151">
        <v>36.0</v>
      </c>
      <c r="D108" s="151"/>
    </row>
    <row r="109" ht="14.0">
      <c r="A109" s="151" t="s">
        <v>999</v>
      </c>
      <c r="B109" s="151">
        <v>37305.0</v>
      </c>
      <c r="C109" s="151">
        <v>36.0</v>
      </c>
      <c r="D109" s="151"/>
    </row>
    <row r="110" ht="14.0">
      <c r="A110" s="151" t="s">
        <v>1000</v>
      </c>
      <c r="B110" s="151">
        <v>37307.0</v>
      </c>
      <c r="C110" s="151">
        <v>36.0</v>
      </c>
      <c r="D110" s="151"/>
    </row>
    <row r="111" ht="14.0">
      <c r="A111" s="151" t="s">
        <v>1001</v>
      </c>
      <c r="B111" s="151">
        <v>37308.0</v>
      </c>
      <c r="C111" s="151">
        <v>36.0</v>
      </c>
      <c r="D111" s="151"/>
    </row>
    <row r="112" ht="14.0">
      <c r="A112" s="151" t="s">
        <v>1002</v>
      </c>
      <c r="B112" s="151">
        <v>37310.0</v>
      </c>
      <c r="C112" s="151">
        <v>36.0</v>
      </c>
      <c r="D112" s="151"/>
    </row>
    <row r="113" ht="14.0">
      <c r="A113" s="151" t="s">
        <v>1003</v>
      </c>
      <c r="B113" s="151">
        <v>37311.0</v>
      </c>
      <c r="C113" s="151">
        <v>36.0</v>
      </c>
      <c r="D113" s="151"/>
    </row>
    <row r="114" ht="14.0">
      <c r="A114" s="151" t="s">
        <v>1004</v>
      </c>
      <c r="B114" s="151">
        <v>37312.0</v>
      </c>
      <c r="C114" s="151">
        <v>36.0</v>
      </c>
      <c r="D114" s="151"/>
    </row>
    <row r="115" ht="14.0">
      <c r="A115" s="151" t="s">
        <v>1005</v>
      </c>
      <c r="B115" s="151">
        <v>37313.0</v>
      </c>
      <c r="C115" s="151">
        <v>36.0</v>
      </c>
      <c r="D115" s="151"/>
    </row>
    <row r="116" ht="14.0">
      <c r="A116" s="151" t="s">
        <v>1006</v>
      </c>
      <c r="B116" s="151">
        <v>37314.0</v>
      </c>
      <c r="C116" s="151">
        <v>36.0</v>
      </c>
      <c r="D116" s="151"/>
    </row>
    <row r="117" ht="14.0">
      <c r="A117" s="151" t="s">
        <v>1007</v>
      </c>
      <c r="B117" s="151">
        <v>37315.0</v>
      </c>
      <c r="C117" s="151"/>
      <c r="D117" s="151" t="s">
        <v>0</v>
      </c>
    </row>
    <row r="118" ht="14.0">
      <c r="A118" s="151" t="s">
        <v>1008</v>
      </c>
      <c r="B118" s="151">
        <v>37317.0</v>
      </c>
      <c r="C118" s="151">
        <v>36.0</v>
      </c>
      <c r="D118" s="151"/>
    </row>
    <row r="119" ht="14.0">
      <c r="A119" s="151" t="s">
        <v>1009</v>
      </c>
      <c r="B119" s="151">
        <v>37318.0</v>
      </c>
      <c r="C119" s="151">
        <v>36.0</v>
      </c>
      <c r="D119" s="151"/>
    </row>
    <row r="120" ht="14.0">
      <c r="A120" s="151" t="s">
        <v>1010</v>
      </c>
      <c r="B120" s="151">
        <v>37319.0</v>
      </c>
      <c r="C120" s="151">
        <v>36.0</v>
      </c>
      <c r="D120" s="151"/>
    </row>
    <row r="121" ht="14.0">
      <c r="A121" s="151" t="s">
        <v>1011</v>
      </c>
      <c r="B121" s="151">
        <v>37321.0</v>
      </c>
      <c r="C121" s="151">
        <v>36.0</v>
      </c>
      <c r="D121" s="151"/>
    </row>
    <row r="122" ht="14.0">
      <c r="A122" s="151" t="s">
        <v>1012</v>
      </c>
      <c r="B122" s="151" t="s">
        <v>1013</v>
      </c>
      <c r="C122" s="151">
        <v>504.0</v>
      </c>
      <c r="D122" s="151"/>
    </row>
    <row r="123" ht="14.0">
      <c r="A123" s="151" t="s">
        <v>1014</v>
      </c>
      <c r="B123" s="151" t="s">
        <v>1015</v>
      </c>
      <c r="C123" s="151">
        <v>504.0</v>
      </c>
      <c r="D123" s="151"/>
    </row>
    <row r="124" ht="14.0">
      <c r="A124" s="151" t="s">
        <v>1016</v>
      </c>
      <c r="B124" s="151" t="s">
        <v>1017</v>
      </c>
      <c r="C124" s="151">
        <v>504.0</v>
      </c>
      <c r="D124" s="151" t="s">
        <v>0</v>
      </c>
    </row>
    <row r="125" ht="14.0">
      <c r="A125" s="151" t="s">
        <v>1018</v>
      </c>
      <c r="B125" s="151" t="s">
        <v>1019</v>
      </c>
      <c r="C125" s="151">
        <v>504.0</v>
      </c>
      <c r="D125" s="151" t="s">
        <v>0</v>
      </c>
    </row>
    <row r="126" ht="14.0">
      <c r="A126" s="151" t="s">
        <v>1020</v>
      </c>
      <c r="B126" s="151" t="s">
        <v>1021</v>
      </c>
      <c r="C126" s="80">
        <v>3000.0</v>
      </c>
      <c r="D126" s="151"/>
    </row>
    <row r="127" ht="14.0">
      <c r="A127" s="151" t="s">
        <v>1022</v>
      </c>
      <c r="B127" s="151" t="s">
        <v>1023</v>
      </c>
      <c r="C127" s="80">
        <v>3000.0</v>
      </c>
      <c r="D127" s="151"/>
    </row>
    <row r="128" ht="14.0">
      <c r="A128" s="151" t="s">
        <v>1024</v>
      </c>
      <c r="B128" s="151" t="s">
        <v>1025</v>
      </c>
      <c r="C128" s="80">
        <v>3000.0</v>
      </c>
      <c r="D128" s="151"/>
    </row>
    <row r="129" ht="14.0">
      <c r="A129" s="151" t="s">
        <v>1026</v>
      </c>
      <c r="B129" s="151" t="s">
        <v>1027</v>
      </c>
      <c r="C129" s="80">
        <v>3000.0</v>
      </c>
      <c r="D129" s="151"/>
    </row>
    <row r="130" ht="14.0">
      <c r="A130" s="151" t="s">
        <v>1028</v>
      </c>
      <c r="B130" s="151" t="s">
        <v>1029</v>
      </c>
      <c r="C130" s="151"/>
      <c r="D130" s="151" t="s">
        <v>0</v>
      </c>
    </row>
    <row r="131" ht="14.0">
      <c r="A131" s="151" t="s">
        <v>1030</v>
      </c>
      <c r="B131" s="151" t="s">
        <v>1031</v>
      </c>
      <c r="C131" s="80">
        <v>3000.0</v>
      </c>
      <c r="D131" s="151"/>
    </row>
    <row r="132" ht="14.0">
      <c r="A132" s="151" t="s">
        <v>1032</v>
      </c>
      <c r="B132" s="151" t="s">
        <v>1033</v>
      </c>
      <c r="C132" s="151"/>
      <c r="D132" s="151"/>
    </row>
    <row r="133" ht="14.0">
      <c r="A133" s="151" t="s">
        <v>1034</v>
      </c>
      <c r="B133" s="151" t="s">
        <v>1035</v>
      </c>
      <c r="C133" s="151">
        <v>300.0</v>
      </c>
      <c r="D133" s="151"/>
    </row>
    <row r="134" ht="14.0">
      <c r="A134" s="151" t="s">
        <v>1036</v>
      </c>
      <c r="B134" s="151" t="s">
        <v>1037</v>
      </c>
      <c r="C134" s="151">
        <v>504.0</v>
      </c>
      <c r="D134" s="151" t="s">
        <v>0</v>
      </c>
    </row>
    <row r="135" ht="14.0">
      <c r="A135" s="151" t="s">
        <v>1038</v>
      </c>
      <c r="B135" s="151" t="s">
        <v>1039</v>
      </c>
      <c r="C135" s="151">
        <v>420.0</v>
      </c>
      <c r="D135" s="151" t="s">
        <v>0</v>
      </c>
    </row>
    <row r="136" ht="14.0">
      <c r="A136" s="151" t="s">
        <v>1040</v>
      </c>
      <c r="B136" s="151" t="s">
        <v>1041</v>
      </c>
      <c r="C136" s="80">
        <v>1000.0</v>
      </c>
      <c r="D136" s="151"/>
    </row>
    <row r="137" ht="14.0">
      <c r="A137" s="151" t="s">
        <v>1042</v>
      </c>
      <c r="B137" s="151" t="s">
        <v>1043</v>
      </c>
      <c r="C137" s="80">
        <v>1000.0</v>
      </c>
      <c r="D137" s="151"/>
    </row>
    <row r="138" ht="14.0">
      <c r="A138" s="151" t="s">
        <v>1044</v>
      </c>
      <c r="B138" s="151" t="s">
        <v>1045</v>
      </c>
      <c r="C138" s="151"/>
      <c r="D138" s="151" t="s">
        <v>0</v>
      </c>
    </row>
    <row r="139" ht="14.0">
      <c r="A139" s="151" t="s">
        <v>1046</v>
      </c>
      <c r="B139" s="151" t="s">
        <v>1047</v>
      </c>
      <c r="C139" s="80">
        <v>1000.0</v>
      </c>
      <c r="D139" s="151"/>
    </row>
    <row r="140" ht="14.0">
      <c r="A140" s="151" t="s">
        <v>1048</v>
      </c>
      <c r="B140" s="151" t="s">
        <v>1049</v>
      </c>
      <c r="C140" s="80">
        <v>1000.0</v>
      </c>
      <c r="D140" s="151"/>
    </row>
    <row r="141" ht="14.0">
      <c r="A141" s="151" t="s">
        <v>1050</v>
      </c>
      <c r="B141" s="151" t="s">
        <v>1051</v>
      </c>
      <c r="C141" s="151">
        <v>504.0</v>
      </c>
      <c r="D141" s="151" t="s">
        <v>0</v>
      </c>
    </row>
    <row r="142" ht="14.0">
      <c r="A142" s="151" t="s">
        <v>1052</v>
      </c>
      <c r="B142" s="151" t="s">
        <v>1053</v>
      </c>
      <c r="C142" s="151">
        <v>504.0</v>
      </c>
      <c r="D142" s="151" t="s">
        <v>0</v>
      </c>
    </row>
    <row r="143" ht="14.0">
      <c r="A143" s="151" t="s">
        <v>1054</v>
      </c>
      <c r="B143" s="151" t="s">
        <v>1055</v>
      </c>
      <c r="C143" s="151"/>
      <c r="D143" s="151" t="s">
        <v>0</v>
      </c>
    </row>
    <row r="144" ht="14.0">
      <c r="A144" s="151" t="s">
        <v>1056</v>
      </c>
      <c r="B144" s="151" t="s">
        <v>1057</v>
      </c>
      <c r="C144" s="80">
        <v>1000.0</v>
      </c>
      <c r="D144" s="151"/>
    </row>
    <row r="145" ht="14.0">
      <c r="A145" s="151" t="s">
        <v>1058</v>
      </c>
      <c r="B145" s="151" t="s">
        <v>1059</v>
      </c>
      <c r="C145" s="151"/>
      <c r="D145" s="151"/>
    </row>
    <row r="146" ht="14.0">
      <c r="A146" s="151" t="s">
        <v>1060</v>
      </c>
      <c r="B146" s="151" t="s">
        <v>1061</v>
      </c>
      <c r="C146" s="151"/>
      <c r="D146" s="151" t="s">
        <v>0</v>
      </c>
    </row>
    <row r="147" ht="14.0">
      <c r="A147" s="151" t="s">
        <v>1062</v>
      </c>
      <c r="B147" s="151" t="s">
        <v>1063</v>
      </c>
      <c r="C147" s="151"/>
      <c r="D147" s="151" t="s">
        <v>0</v>
      </c>
    </row>
    <row r="148" ht="14.0">
      <c r="A148" s="151" t="s">
        <v>1064</v>
      </c>
      <c r="B148" s="151" t="s">
        <v>1065</v>
      </c>
      <c r="C148" s="151"/>
      <c r="D148" s="151" t="s">
        <v>0</v>
      </c>
    </row>
    <row r="149" ht="14.0">
      <c r="A149" s="151" t="s">
        <v>1066</v>
      </c>
      <c r="B149" s="151" t="s">
        <v>1067</v>
      </c>
      <c r="C149" s="151"/>
      <c r="D149" s="151" t="s">
        <v>0</v>
      </c>
    </row>
    <row r="150" ht="14.0">
      <c r="A150" s="151" t="s">
        <v>1068</v>
      </c>
      <c r="B150" s="151" t="s">
        <v>1069</v>
      </c>
      <c r="C150" s="80">
        <v>1002.0</v>
      </c>
      <c r="D150" s="151" t="s">
        <v>0</v>
      </c>
    </row>
    <row r="151" ht="14.0">
      <c r="A151" s="151" t="s">
        <v>1070</v>
      </c>
      <c r="B151" s="151" t="s">
        <v>1071</v>
      </c>
      <c r="C151" s="80">
        <v>1002.0</v>
      </c>
      <c r="D151" s="151" t="s">
        <v>0</v>
      </c>
    </row>
    <row r="152" ht="14.0">
      <c r="A152" s="151" t="s">
        <v>1072</v>
      </c>
      <c r="B152" s="151" t="s">
        <v>1073</v>
      </c>
      <c r="C152" s="80">
        <v>1002.0</v>
      </c>
      <c r="D152" s="151" t="s">
        <v>0</v>
      </c>
    </row>
    <row r="153" ht="14.0">
      <c r="A153" s="151" t="s">
        <v>1074</v>
      </c>
      <c r="B153" s="151" t="s">
        <v>1075</v>
      </c>
      <c r="C153" s="80">
        <v>1002.0</v>
      </c>
      <c r="D153" s="151" t="s">
        <v>0</v>
      </c>
    </row>
    <row r="154" ht="14.0">
      <c r="A154" s="151" t="s">
        <v>1076</v>
      </c>
      <c r="B154" s="151" t="s">
        <v>1077</v>
      </c>
      <c r="C154" s="80">
        <v>1002.0</v>
      </c>
      <c r="D154" s="151" t="s">
        <v>0</v>
      </c>
    </row>
    <row r="155" ht="14.0">
      <c r="A155" s="151" t="s">
        <v>1078</v>
      </c>
      <c r="B155" s="151" t="s">
        <v>1079</v>
      </c>
      <c r="C155" s="80">
        <v>1002.0</v>
      </c>
      <c r="D155" s="151" t="s">
        <v>0</v>
      </c>
    </row>
    <row r="156" ht="14.0">
      <c r="A156" s="151" t="s">
        <v>1080</v>
      </c>
      <c r="B156" s="151" t="s">
        <v>1081</v>
      </c>
      <c r="C156" s="151">
        <v>200.0</v>
      </c>
      <c r="D156" s="151"/>
    </row>
    <row r="157" ht="14.0">
      <c r="A157" s="151" t="s">
        <v>1082</v>
      </c>
      <c r="B157" s="151" t="s">
        <v>1083</v>
      </c>
      <c r="C157" s="151"/>
      <c r="D157" s="151" t="s">
        <v>0</v>
      </c>
    </row>
    <row r="158" ht="14.0">
      <c r="A158" s="151" t="s">
        <v>595</v>
      </c>
      <c r="B158" s="151" t="s">
        <v>596</v>
      </c>
      <c r="C158" s="151"/>
      <c r="D158" s="151" t="s">
        <v>906</v>
      </c>
    </row>
    <row r="159" ht="14.0">
      <c r="A159" s="151" t="s">
        <v>593</v>
      </c>
      <c r="B159" s="151" t="s">
        <v>594</v>
      </c>
      <c r="C159" s="151"/>
      <c r="D159" s="151" t="s">
        <v>906</v>
      </c>
    </row>
    <row r="160" ht="14.0">
      <c r="A160" s="151" t="s">
        <v>521</v>
      </c>
      <c r="B160" s="151" t="s">
        <v>522</v>
      </c>
      <c r="C160" s="151">
        <v>250.0</v>
      </c>
      <c r="D160" s="151"/>
    </row>
    <row r="161" ht="14.0">
      <c r="A161" s="151" t="s">
        <v>523</v>
      </c>
      <c r="B161" s="151" t="s">
        <v>524</v>
      </c>
      <c r="C161" s="151">
        <v>250.0</v>
      </c>
      <c r="D161" s="151"/>
    </row>
    <row r="162" ht="14.0">
      <c r="A162" s="151" t="s">
        <v>525</v>
      </c>
      <c r="B162" s="151" t="s">
        <v>526</v>
      </c>
      <c r="C162" s="151">
        <v>250.0</v>
      </c>
      <c r="D162" s="151"/>
    </row>
    <row r="163" ht="14.0">
      <c r="A163" s="151" t="s">
        <v>527</v>
      </c>
      <c r="B163" s="151" t="s">
        <v>528</v>
      </c>
      <c r="C163" s="151">
        <v>250.0</v>
      </c>
      <c r="D163" s="151"/>
    </row>
    <row r="164" ht="14.0">
      <c r="A164" s="151" t="s">
        <v>529</v>
      </c>
      <c r="B164" s="151" t="s">
        <v>530</v>
      </c>
      <c r="C164" s="151">
        <v>250.0</v>
      </c>
      <c r="D164" s="151"/>
    </row>
    <row r="165" ht="14.0">
      <c r="A165" s="151" t="s">
        <v>531</v>
      </c>
      <c r="B165" s="151" t="s">
        <v>532</v>
      </c>
      <c r="C165" s="151">
        <v>250.0</v>
      </c>
      <c r="D165" s="151"/>
    </row>
    <row r="166" ht="14.0">
      <c r="A166" s="151" t="s">
        <v>533</v>
      </c>
      <c r="B166" s="151" t="s">
        <v>534</v>
      </c>
      <c r="C166" s="151">
        <v>250.0</v>
      </c>
      <c r="D166" s="151"/>
    </row>
    <row r="167" ht="14.0">
      <c r="A167" s="151" t="s">
        <v>535</v>
      </c>
      <c r="B167" s="151" t="s">
        <v>536</v>
      </c>
      <c r="C167" s="151">
        <v>250.0</v>
      </c>
      <c r="D167" s="151"/>
    </row>
    <row r="168" ht="14.0">
      <c r="A168" s="151" t="s">
        <v>537</v>
      </c>
      <c r="B168" s="151" t="s">
        <v>538</v>
      </c>
      <c r="C168" s="151">
        <v>250.0</v>
      </c>
      <c r="D168" s="151"/>
    </row>
    <row r="169" ht="14.0">
      <c r="A169" s="151" t="s">
        <v>539</v>
      </c>
      <c r="B169" s="151" t="s">
        <v>540</v>
      </c>
      <c r="C169" s="151">
        <v>250.0</v>
      </c>
      <c r="D169" s="151"/>
    </row>
    <row r="170" ht="14.0">
      <c r="A170" s="151" t="s">
        <v>541</v>
      </c>
      <c r="B170" s="151" t="s">
        <v>542</v>
      </c>
      <c r="C170" s="151">
        <v>250.0</v>
      </c>
      <c r="D170" s="151"/>
    </row>
    <row r="171" ht="14.0">
      <c r="A171" s="151" t="s">
        <v>543</v>
      </c>
      <c r="B171" s="151" t="s">
        <v>544</v>
      </c>
      <c r="C171" s="151">
        <v>250.0</v>
      </c>
      <c r="D171" s="151"/>
    </row>
    <row r="172" ht="14.0">
      <c r="A172" s="151" t="s">
        <v>545</v>
      </c>
      <c r="B172" s="151" t="s">
        <v>546</v>
      </c>
      <c r="C172" s="151">
        <v>250.0</v>
      </c>
      <c r="D172" s="151"/>
    </row>
    <row r="173" ht="14.0">
      <c r="A173" s="151" t="s">
        <v>547</v>
      </c>
      <c r="B173" s="151" t="s">
        <v>548</v>
      </c>
      <c r="C173" s="151">
        <v>250.0</v>
      </c>
      <c r="D173" s="151"/>
    </row>
    <row r="174" ht="14.0">
      <c r="A174" s="151" t="s">
        <v>549</v>
      </c>
      <c r="B174" s="151" t="s">
        <v>550</v>
      </c>
      <c r="C174" s="151">
        <v>250.0</v>
      </c>
      <c r="D174" s="151"/>
    </row>
    <row r="175" ht="14.0">
      <c r="A175" s="151" t="s">
        <v>551</v>
      </c>
      <c r="B175" s="151" t="s">
        <v>552</v>
      </c>
      <c r="C175" s="151">
        <v>250.0</v>
      </c>
      <c r="D175" s="151"/>
    </row>
    <row r="176" ht="14.0">
      <c r="A176" s="151" t="s">
        <v>553</v>
      </c>
      <c r="B176" s="151" t="s">
        <v>554</v>
      </c>
      <c r="C176" s="151">
        <v>250.0</v>
      </c>
      <c r="D176" s="151"/>
    </row>
    <row r="177" ht="14.0">
      <c r="A177" s="151" t="s">
        <v>555</v>
      </c>
      <c r="B177" s="151" t="s">
        <v>556</v>
      </c>
      <c r="C177" s="151">
        <v>250.0</v>
      </c>
      <c r="D177" s="151"/>
    </row>
    <row r="178" ht="14.0">
      <c r="A178" s="151" t="s">
        <v>557</v>
      </c>
      <c r="B178" s="151" t="s">
        <v>558</v>
      </c>
      <c r="C178" s="151">
        <v>250.0</v>
      </c>
      <c r="D178" s="151"/>
    </row>
    <row r="179" ht="14.0">
      <c r="A179" s="151" t="s">
        <v>559</v>
      </c>
      <c r="B179" s="151" t="s">
        <v>560</v>
      </c>
      <c r="C179" s="151">
        <v>250.0</v>
      </c>
      <c r="D179" s="151"/>
    </row>
    <row r="180" ht="14.0">
      <c r="A180" s="151" t="s">
        <v>561</v>
      </c>
      <c r="B180" s="151" t="s">
        <v>562</v>
      </c>
      <c r="C180" s="151">
        <v>250.0</v>
      </c>
      <c r="D180" s="151"/>
    </row>
    <row r="181" ht="14.0">
      <c r="A181" s="151" t="s">
        <v>563</v>
      </c>
      <c r="B181" s="151" t="s">
        <v>564</v>
      </c>
      <c r="C181" s="151">
        <v>250.0</v>
      </c>
      <c r="D181" s="151"/>
    </row>
    <row r="182" ht="14.0">
      <c r="A182" s="151" t="s">
        <v>565</v>
      </c>
      <c r="B182" s="151" t="s">
        <v>566</v>
      </c>
      <c r="C182" s="151">
        <v>250.0</v>
      </c>
      <c r="D182" s="151"/>
    </row>
    <row r="183" ht="14.0">
      <c r="A183" s="151" t="s">
        <v>567</v>
      </c>
      <c r="B183" s="151" t="s">
        <v>568</v>
      </c>
      <c r="C183" s="151">
        <v>250.0</v>
      </c>
      <c r="D183" s="151"/>
    </row>
    <row r="184" ht="14.0">
      <c r="A184" s="151" t="s">
        <v>198</v>
      </c>
      <c r="B184" s="151" t="s">
        <v>199</v>
      </c>
      <c r="C184" s="151">
        <v>250.0</v>
      </c>
      <c r="D184" s="151"/>
    </row>
    <row r="185" ht="14.0">
      <c r="A185" s="151" t="s">
        <v>569</v>
      </c>
      <c r="B185" s="151" t="s">
        <v>570</v>
      </c>
      <c r="C185" s="151">
        <v>250.0</v>
      </c>
      <c r="D185" s="151"/>
    </row>
    <row r="186" ht="14.0">
      <c r="A186" s="151" t="s">
        <v>571</v>
      </c>
      <c r="B186" s="151" t="s">
        <v>572</v>
      </c>
      <c r="C186" s="151">
        <v>250.0</v>
      </c>
      <c r="D186" s="151"/>
    </row>
    <row r="187" ht="14.0">
      <c r="A187" s="151" t="s">
        <v>573</v>
      </c>
      <c r="B187" s="151" t="s">
        <v>574</v>
      </c>
      <c r="C187" s="151">
        <v>250.0</v>
      </c>
      <c r="D187" s="151"/>
    </row>
    <row r="188" ht="14.0">
      <c r="A188" s="151" t="s">
        <v>575</v>
      </c>
      <c r="B188" s="151" t="s">
        <v>576</v>
      </c>
      <c r="C188" s="151">
        <v>250.0</v>
      </c>
      <c r="D188" s="151"/>
    </row>
    <row r="189" ht="14.0">
      <c r="A189" s="151" t="s">
        <v>577</v>
      </c>
      <c r="B189" s="151" t="s">
        <v>578</v>
      </c>
      <c r="C189" s="151">
        <v>250.0</v>
      </c>
      <c r="D189" s="151"/>
    </row>
    <row r="190" ht="14.0">
      <c r="A190" s="151" t="s">
        <v>579</v>
      </c>
      <c r="B190" s="151" t="s">
        <v>580</v>
      </c>
      <c r="C190" s="151">
        <v>250.0</v>
      </c>
      <c r="D190" s="151"/>
    </row>
    <row r="191" ht="14.0">
      <c r="A191" s="151" t="s">
        <v>581</v>
      </c>
      <c r="B191" s="151" t="s">
        <v>582</v>
      </c>
      <c r="C191" s="151">
        <v>250.0</v>
      </c>
      <c r="D191" s="151"/>
    </row>
    <row r="192" ht="14.0">
      <c r="A192" s="151" t="s">
        <v>583</v>
      </c>
      <c r="B192" s="151" t="s">
        <v>584</v>
      </c>
      <c r="C192" s="151">
        <v>250.0</v>
      </c>
      <c r="D192" s="151"/>
    </row>
    <row r="193" ht="14.0">
      <c r="A193" s="151" t="s">
        <v>585</v>
      </c>
      <c r="B193" s="151" t="s">
        <v>586</v>
      </c>
      <c r="C193" s="151">
        <v>250.0</v>
      </c>
      <c r="D193" s="151"/>
    </row>
    <row r="194" ht="14.0">
      <c r="A194" s="151" t="s">
        <v>587</v>
      </c>
      <c r="B194" s="151" t="s">
        <v>588</v>
      </c>
      <c r="C194" s="151">
        <v>250.0</v>
      </c>
      <c r="D194" s="151"/>
    </row>
    <row r="195" ht="14.0">
      <c r="A195" s="151" t="s">
        <v>589</v>
      </c>
      <c r="B195" s="151" t="s">
        <v>590</v>
      </c>
      <c r="C195" s="151">
        <v>250.0</v>
      </c>
      <c r="D195" s="151"/>
    </row>
    <row r="196" ht="14.0">
      <c r="A196" s="151" t="s">
        <v>591</v>
      </c>
      <c r="B196" s="151" t="s">
        <v>592</v>
      </c>
      <c r="C196" s="151">
        <v>250.0</v>
      </c>
      <c r="D196" s="151"/>
    </row>
    <row r="197" ht="14.0">
      <c r="A197" s="151" t="s">
        <v>1084</v>
      </c>
      <c r="B197" s="151" t="s">
        <v>1085</v>
      </c>
      <c r="C197" s="151"/>
      <c r="D197" s="151"/>
    </row>
    <row r="198" ht="14.0">
      <c r="A198" s="151" t="s">
        <v>1086</v>
      </c>
      <c r="B198" s="151" t="s">
        <v>1087</v>
      </c>
      <c r="C198" s="80">
        <v>1002.0</v>
      </c>
      <c r="D198" s="151" t="s">
        <v>0</v>
      </c>
    </row>
    <row r="199" ht="14.0">
      <c r="A199" s="151" t="s">
        <v>1088</v>
      </c>
      <c r="B199" s="151" t="s">
        <v>1089</v>
      </c>
      <c r="C199" s="80">
        <v>1002.0</v>
      </c>
      <c r="D199" s="151" t="s">
        <v>0</v>
      </c>
    </row>
    <row r="200" ht="14.0">
      <c r="A200" s="151" t="s">
        <v>1090</v>
      </c>
      <c r="B200" s="151" t="s">
        <v>1091</v>
      </c>
      <c r="C200" s="80">
        <v>1002.0</v>
      </c>
      <c r="D200" s="151" t="s">
        <v>0</v>
      </c>
    </row>
    <row r="201" ht="14.0">
      <c r="A201" s="151" t="s">
        <v>1092</v>
      </c>
      <c r="B201" s="151" t="s">
        <v>1093</v>
      </c>
      <c r="C201" s="80">
        <v>1002.0</v>
      </c>
      <c r="D201" s="151" t="s">
        <v>0</v>
      </c>
    </row>
    <row r="202" ht="14.0">
      <c r="A202" s="151" t="s">
        <v>1094</v>
      </c>
      <c r="B202" s="151" t="s">
        <v>1095</v>
      </c>
      <c r="C202" s="80">
        <v>1002.0</v>
      </c>
      <c r="D202" s="151" t="s">
        <v>0</v>
      </c>
    </row>
    <row r="203" ht="14.0">
      <c r="A203" s="151" t="s">
        <v>1096</v>
      </c>
      <c r="B203" s="151" t="s">
        <v>1097</v>
      </c>
      <c r="C203" s="80">
        <v>1002.0</v>
      </c>
      <c r="D203" s="151" t="s">
        <v>0</v>
      </c>
    </row>
    <row r="204" ht="14.0">
      <c r="A204" s="151" t="s">
        <v>1098</v>
      </c>
      <c r="B204" s="151" t="s">
        <v>1099</v>
      </c>
      <c r="C204" s="80">
        <v>1002.0</v>
      </c>
      <c r="D204" s="151" t="s">
        <v>0</v>
      </c>
    </row>
    <row r="205" ht="14.0">
      <c r="A205" s="151" t="s">
        <v>1100</v>
      </c>
      <c r="B205" s="151" t="s">
        <v>1101</v>
      </c>
      <c r="C205" s="80">
        <v>1002.0</v>
      </c>
      <c r="D205" s="151" t="s">
        <v>0</v>
      </c>
    </row>
    <row r="206" ht="14.0">
      <c r="A206" s="151" t="s">
        <v>1102</v>
      </c>
      <c r="B206" s="151" t="s">
        <v>1103</v>
      </c>
      <c r="C206" s="80">
        <v>1002.0</v>
      </c>
      <c r="D206" s="151" t="s">
        <v>0</v>
      </c>
    </row>
    <row r="207" ht="14.0">
      <c r="A207" s="151" t="s">
        <v>1104</v>
      </c>
      <c r="B207" s="151" t="s">
        <v>1105</v>
      </c>
      <c r="C207" s="151">
        <v>100.0</v>
      </c>
      <c r="D207" s="151" t="s">
        <v>0</v>
      </c>
    </row>
    <row r="208" ht="14.0">
      <c r="A208" s="151" t="s">
        <v>1106</v>
      </c>
      <c r="B208" s="151" t="s">
        <v>1107</v>
      </c>
      <c r="C208" s="151"/>
      <c r="D208" s="151" t="s">
        <v>0</v>
      </c>
    </row>
    <row r="209" ht="14.0">
      <c r="A209" s="151" t="s">
        <v>1108</v>
      </c>
      <c r="B209" s="151" t="s">
        <v>1109</v>
      </c>
      <c r="C209" s="80">
        <v>1000.0</v>
      </c>
      <c r="D209" s="151" t="s">
        <v>0</v>
      </c>
    </row>
    <row r="210" ht="14.0">
      <c r="A210" s="151" t="s">
        <v>1110</v>
      </c>
      <c r="B210" s="151" t="s">
        <v>1111</v>
      </c>
      <c r="C210" s="80">
        <v>1000.0</v>
      </c>
      <c r="D210" s="151" t="s">
        <v>0</v>
      </c>
    </row>
    <row r="211" ht="14.0">
      <c r="A211" s="151" t="s">
        <v>1112</v>
      </c>
      <c r="B211" s="151" t="s">
        <v>1113</v>
      </c>
      <c r="C211" s="80">
        <v>1000.0</v>
      </c>
      <c r="D211" s="151" t="s">
        <v>0</v>
      </c>
    </row>
    <row r="212" ht="14.0">
      <c r="A212" s="151" t="s">
        <v>1114</v>
      </c>
      <c r="B212" s="151" t="s">
        <v>1115</v>
      </c>
      <c r="C212" s="80">
        <v>1000.0</v>
      </c>
      <c r="D212" s="151" t="s">
        <v>0</v>
      </c>
    </row>
    <row r="213" ht="14.0">
      <c r="A213" s="151" t="s">
        <v>1116</v>
      </c>
      <c r="B213" s="151" t="s">
        <v>1117</v>
      </c>
      <c r="C213" s="80">
        <v>1000.0</v>
      </c>
      <c r="D213" s="151" t="s">
        <v>0</v>
      </c>
    </row>
    <row r="214" ht="14.0">
      <c r="A214" s="151" t="s">
        <v>1118</v>
      </c>
      <c r="B214" s="151" t="s">
        <v>1119</v>
      </c>
      <c r="C214" s="80">
        <v>1000.0</v>
      </c>
      <c r="D214" s="151" t="s">
        <v>0</v>
      </c>
    </row>
    <row r="215" ht="14.0">
      <c r="A215" s="151" t="s">
        <v>1120</v>
      </c>
      <c r="B215" s="151" t="s">
        <v>1121</v>
      </c>
      <c r="C215" s="151">
        <v>504.0</v>
      </c>
      <c r="D215" s="151" t="s">
        <v>0</v>
      </c>
    </row>
    <row r="216" ht="14.0">
      <c r="A216" s="151" t="s">
        <v>1122</v>
      </c>
      <c r="B216" s="151" t="s">
        <v>1123</v>
      </c>
      <c r="C216" s="151">
        <v>504.0</v>
      </c>
      <c r="D216" s="151" t="s">
        <v>0</v>
      </c>
    </row>
    <row r="217" ht="14.0">
      <c r="A217" s="151" t="s">
        <v>1124</v>
      </c>
      <c r="B217" s="151" t="s">
        <v>1125</v>
      </c>
      <c r="C217" s="151">
        <v>504.0</v>
      </c>
      <c r="D217" s="151" t="s">
        <v>0</v>
      </c>
    </row>
    <row r="218" ht="14.0">
      <c r="A218" s="151" t="s">
        <v>1126</v>
      </c>
      <c r="B218" s="151" t="s">
        <v>1127</v>
      </c>
      <c r="C218" s="151">
        <v>504.0</v>
      </c>
      <c r="D218" s="151" t="s">
        <v>0</v>
      </c>
    </row>
    <row r="219" ht="14.0">
      <c r="A219" s="151" t="s">
        <v>1128</v>
      </c>
      <c r="B219" s="151" t="s">
        <v>1129</v>
      </c>
      <c r="C219" s="151">
        <v>504.0</v>
      </c>
      <c r="D219" s="151" t="s">
        <v>0</v>
      </c>
    </row>
    <row r="220" ht="14.0">
      <c r="A220" s="151" t="s">
        <v>1130</v>
      </c>
      <c r="B220" s="151" t="s">
        <v>1131</v>
      </c>
      <c r="C220" s="151">
        <v>504.0</v>
      </c>
      <c r="D220" s="151" t="s">
        <v>0</v>
      </c>
    </row>
    <row r="221" ht="14.0">
      <c r="A221" s="151" t="s">
        <v>1132</v>
      </c>
      <c r="B221" s="151" t="s">
        <v>1133</v>
      </c>
      <c r="C221" s="151">
        <v>504.0</v>
      </c>
      <c r="D221" s="151" t="s">
        <v>0</v>
      </c>
    </row>
    <row r="222" ht="14.0">
      <c r="A222" s="151" t="s">
        <v>1134</v>
      </c>
      <c r="B222" s="151" t="s">
        <v>1135</v>
      </c>
      <c r="C222" s="151">
        <v>504.0</v>
      </c>
      <c r="D222" s="151" t="s">
        <v>0</v>
      </c>
    </row>
    <row r="223" ht="14.0">
      <c r="A223" s="151" t="s">
        <v>1136</v>
      </c>
      <c r="B223" s="151" t="s">
        <v>1137</v>
      </c>
      <c r="C223" s="151">
        <v>100.0</v>
      </c>
      <c r="D223" s="151" t="s">
        <v>0</v>
      </c>
    </row>
    <row r="224" ht="14.0">
      <c r="A224" s="151" t="s">
        <v>1138</v>
      </c>
      <c r="B224" s="151" t="s">
        <v>1139</v>
      </c>
      <c r="C224" s="151"/>
      <c r="D224" s="151" t="s">
        <v>0</v>
      </c>
    </row>
    <row r="225" ht="14.0">
      <c r="A225" s="151" t="s">
        <v>1140</v>
      </c>
      <c r="B225" s="151" t="s">
        <v>1141</v>
      </c>
      <c r="C225" s="151"/>
      <c r="D225" s="151" t="s">
        <v>0</v>
      </c>
    </row>
    <row r="226" ht="14.0">
      <c r="A226" s="151" t="s">
        <v>64</v>
      </c>
      <c r="B226" s="151" t="s">
        <v>65</v>
      </c>
      <c r="C226" s="80">
        <v>1002.0</v>
      </c>
      <c r="D226" s="151"/>
    </row>
    <row r="227" ht="14.0">
      <c r="A227" s="151" t="s">
        <v>1142</v>
      </c>
      <c r="B227" s="151" t="s">
        <v>1143</v>
      </c>
      <c r="C227" s="151"/>
      <c r="D227" s="151" t="s">
        <v>0</v>
      </c>
    </row>
    <row r="228" ht="14.0">
      <c r="A228" s="151" t="s">
        <v>1144</v>
      </c>
      <c r="B228" s="151" t="s">
        <v>1145</v>
      </c>
      <c r="C228" s="80">
        <v>1002.0</v>
      </c>
      <c r="D228" s="151"/>
    </row>
    <row r="229" ht="14.0">
      <c r="A229" s="151" t="s">
        <v>1146</v>
      </c>
      <c r="B229" s="151" t="s">
        <v>1147</v>
      </c>
      <c r="C229" s="151"/>
      <c r="D229" s="151" t="s">
        <v>0</v>
      </c>
    </row>
    <row r="230" ht="14.0">
      <c r="A230" s="151" t="s">
        <v>1148</v>
      </c>
      <c r="B230" s="151" t="s">
        <v>1149</v>
      </c>
      <c r="C230" s="80">
        <v>1002.0</v>
      </c>
      <c r="D230" s="151"/>
    </row>
    <row r="231" ht="14.0">
      <c r="A231" s="151" t="s">
        <v>66</v>
      </c>
      <c r="B231" s="151" t="s">
        <v>67</v>
      </c>
      <c r="C231" s="80">
        <v>1002.0</v>
      </c>
      <c r="D231" s="151" t="s">
        <v>906</v>
      </c>
    </row>
    <row r="232" ht="14.0">
      <c r="A232" s="151" t="s">
        <v>69</v>
      </c>
      <c r="B232" s="151" t="s">
        <v>70</v>
      </c>
      <c r="C232" s="80">
        <v>1002.0</v>
      </c>
      <c r="D232" s="151"/>
    </row>
    <row r="233" ht="14.0">
      <c r="A233" s="151" t="s">
        <v>1150</v>
      </c>
      <c r="B233" s="151" t="s">
        <v>1151</v>
      </c>
      <c r="C233" s="151"/>
      <c r="D233" s="151" t="s">
        <v>0</v>
      </c>
    </row>
    <row r="234" ht="14.0">
      <c r="A234" s="151" t="s">
        <v>1152</v>
      </c>
      <c r="B234" s="151" t="s">
        <v>1153</v>
      </c>
      <c r="C234" s="151"/>
      <c r="D234" s="151" t="s">
        <v>0</v>
      </c>
    </row>
    <row r="235" ht="14.0">
      <c r="A235" s="151" t="s">
        <v>1154</v>
      </c>
      <c r="B235" s="151" t="s">
        <v>1155</v>
      </c>
      <c r="C235" s="151"/>
      <c r="D235" s="151" t="s">
        <v>0</v>
      </c>
    </row>
    <row r="236" ht="14.0">
      <c r="A236" s="151" t="s">
        <v>1156</v>
      </c>
      <c r="B236" s="151" t="s">
        <v>1157</v>
      </c>
      <c r="C236" s="151"/>
      <c r="D236" s="151" t="s">
        <v>0</v>
      </c>
    </row>
    <row r="237" ht="14.0">
      <c r="A237" s="151" t="s">
        <v>1158</v>
      </c>
      <c r="B237" s="151" t="s">
        <v>76</v>
      </c>
      <c r="C237" s="151"/>
      <c r="D237" s="151" t="s">
        <v>0</v>
      </c>
    </row>
    <row r="238" ht="14.0">
      <c r="A238" s="151" t="s">
        <v>77</v>
      </c>
      <c r="B238" s="151" t="s">
        <v>78</v>
      </c>
      <c r="C238" s="151"/>
      <c r="D238" s="151" t="s">
        <v>906</v>
      </c>
    </row>
    <row r="239" ht="14.0">
      <c r="A239" s="151" t="s">
        <v>1159</v>
      </c>
      <c r="B239" s="151" t="s">
        <v>1160</v>
      </c>
      <c r="C239" s="151"/>
      <c r="D239" s="151" t="s">
        <v>0</v>
      </c>
    </row>
    <row r="240" ht="14.0">
      <c r="A240" s="151" t="s">
        <v>1161</v>
      </c>
      <c r="B240" s="151" t="s">
        <v>1162</v>
      </c>
      <c r="C240" s="151"/>
      <c r="D240" s="151" t="s">
        <v>0</v>
      </c>
    </row>
    <row r="241" ht="14.0">
      <c r="A241" s="151" t="s">
        <v>149</v>
      </c>
      <c r="B241" s="151" t="s">
        <v>150</v>
      </c>
      <c r="C241" s="80">
        <v>1008.0</v>
      </c>
      <c r="D241" s="151"/>
    </row>
    <row r="242" ht="14.0">
      <c r="A242" s="151" t="s">
        <v>147</v>
      </c>
      <c r="B242" s="151" t="s">
        <v>148</v>
      </c>
      <c r="C242" s="80">
        <v>1008.0</v>
      </c>
      <c r="D242" s="151"/>
    </row>
    <row r="243" ht="14.0">
      <c r="A243" s="151" t="s">
        <v>1163</v>
      </c>
      <c r="B243" s="151" t="s">
        <v>1164</v>
      </c>
      <c r="C243" s="151">
        <v>300.0</v>
      </c>
      <c r="D243" s="151"/>
    </row>
    <row r="244" ht="14.0">
      <c r="A244" s="151" t="s">
        <v>1165</v>
      </c>
      <c r="B244" s="151" t="s">
        <v>1166</v>
      </c>
      <c r="C244" s="151">
        <v>300.0</v>
      </c>
      <c r="D244" s="151"/>
    </row>
    <row r="245" ht="14.0">
      <c r="A245" s="151" t="s">
        <v>1167</v>
      </c>
      <c r="B245" s="151" t="s">
        <v>1168</v>
      </c>
      <c r="C245" s="151"/>
      <c r="D245" s="151"/>
    </row>
    <row r="246" ht="14.0">
      <c r="A246" s="151" t="s">
        <v>1169</v>
      </c>
      <c r="B246" s="151" t="s">
        <v>1170</v>
      </c>
      <c r="C246" s="151">
        <v>300.0</v>
      </c>
      <c r="D246" s="151"/>
    </row>
    <row r="247" ht="14.0">
      <c r="A247" s="151" t="s">
        <v>1171</v>
      </c>
      <c r="B247" s="151" t="s">
        <v>1172</v>
      </c>
      <c r="C247" s="151"/>
      <c r="D247" s="151" t="s">
        <v>0</v>
      </c>
    </row>
    <row r="248" ht="14.0">
      <c r="A248" s="151" t="s">
        <v>1173</v>
      </c>
      <c r="B248" s="151" t="s">
        <v>1174</v>
      </c>
      <c r="C248" s="80">
        <v>1000.0</v>
      </c>
      <c r="D248" s="151" t="s">
        <v>0</v>
      </c>
    </row>
    <row r="249" ht="14.0">
      <c r="A249" s="151" t="s">
        <v>1175</v>
      </c>
      <c r="B249" s="151" t="s">
        <v>1176</v>
      </c>
      <c r="C249" s="80">
        <v>1000.0</v>
      </c>
      <c r="D249" s="151" t="s">
        <v>0</v>
      </c>
    </row>
    <row r="250" ht="14.0">
      <c r="A250" s="151" t="s">
        <v>1177</v>
      </c>
      <c r="B250" s="152" t="s">
        <v>1178</v>
      </c>
      <c r="C250" s="80">
        <v>1000.0</v>
      </c>
      <c r="D250" s="151" t="s">
        <v>0</v>
      </c>
    </row>
    <row r="251" ht="14.0">
      <c r="A251" s="151" t="s">
        <v>1179</v>
      </c>
      <c r="B251" s="151" t="s">
        <v>1180</v>
      </c>
      <c r="C251" s="80">
        <v>1000.0</v>
      </c>
      <c r="D251" s="151" t="s">
        <v>0</v>
      </c>
    </row>
    <row r="252" ht="14.0">
      <c r="A252" s="151" t="s">
        <v>1181</v>
      </c>
      <c r="B252" s="151" t="s">
        <v>1182</v>
      </c>
      <c r="C252" s="80">
        <v>1000.0</v>
      </c>
      <c r="D252" s="151" t="s">
        <v>0</v>
      </c>
    </row>
    <row r="253" ht="14.0">
      <c r="A253" s="151" t="s">
        <v>1183</v>
      </c>
      <c r="B253" s="151" t="s">
        <v>1184</v>
      </c>
      <c r="C253" s="80">
        <v>1000.0</v>
      </c>
      <c r="D253" s="151" t="s">
        <v>0</v>
      </c>
    </row>
    <row r="254" ht="14.0">
      <c r="A254" s="151" t="s">
        <v>1185</v>
      </c>
      <c r="B254" s="151" t="s">
        <v>1178</v>
      </c>
      <c r="C254" s="80">
        <v>1000.0</v>
      </c>
      <c r="D254" s="151" t="s">
        <v>0</v>
      </c>
    </row>
    <row r="255" ht="14.0">
      <c r="A255" s="151" t="s">
        <v>1186</v>
      </c>
      <c r="B255" s="151" t="s">
        <v>1187</v>
      </c>
      <c r="C255" s="80">
        <v>1000.0</v>
      </c>
      <c r="D255" s="151" t="s">
        <v>0</v>
      </c>
    </row>
    <row r="256" ht="14.0">
      <c r="A256" s="151" t="s">
        <v>1188</v>
      </c>
      <c r="B256" s="151" t="s">
        <v>1189</v>
      </c>
      <c r="C256" s="80">
        <v>1000.0</v>
      </c>
      <c r="D256" s="151"/>
    </row>
    <row r="257" ht="14.0">
      <c r="A257" s="151" t="s">
        <v>345</v>
      </c>
      <c r="B257" s="151" t="s">
        <v>346</v>
      </c>
      <c r="C257" s="80">
        <v>1000.0</v>
      </c>
      <c r="D257" s="151"/>
    </row>
    <row r="258" ht="14.0">
      <c r="A258" s="151" t="s">
        <v>503</v>
      </c>
      <c r="B258" s="151" t="s">
        <v>504</v>
      </c>
      <c r="C258" s="151">
        <v>500.0</v>
      </c>
      <c r="D258" s="151"/>
    </row>
    <row r="259" ht="14.0">
      <c r="A259" s="151" t="s">
        <v>1190</v>
      </c>
      <c r="B259" s="151" t="s">
        <v>1191</v>
      </c>
      <c r="C259" s="80">
        <v>1000.0</v>
      </c>
      <c r="D259" s="151"/>
    </row>
    <row r="260" ht="14.0">
      <c r="A260" s="151" t="s">
        <v>1192</v>
      </c>
      <c r="B260" s="151" t="s">
        <v>1193</v>
      </c>
      <c r="C260" s="80">
        <v>1000.0</v>
      </c>
      <c r="D260" s="151"/>
    </row>
    <row r="261" ht="14.0">
      <c r="A261" s="151" t="s">
        <v>347</v>
      </c>
      <c r="B261" s="151" t="s">
        <v>348</v>
      </c>
      <c r="C261" s="80">
        <v>1000.0</v>
      </c>
      <c r="D261" s="151"/>
    </row>
    <row r="262" ht="14.0">
      <c r="A262" s="151" t="s">
        <v>505</v>
      </c>
      <c r="B262" s="151" t="s">
        <v>506</v>
      </c>
      <c r="C262" s="80">
        <v>1000.0</v>
      </c>
      <c r="D262" s="151"/>
    </row>
    <row r="263" ht="14.0">
      <c r="A263" s="151" t="s">
        <v>1194</v>
      </c>
      <c r="B263" s="151" t="s">
        <v>1195</v>
      </c>
      <c r="C263" s="80">
        <v>1000.0</v>
      </c>
      <c r="D263" s="151"/>
    </row>
    <row r="264" ht="14.0">
      <c r="A264" s="151" t="s">
        <v>1196</v>
      </c>
      <c r="B264" s="151" t="s">
        <v>1197</v>
      </c>
      <c r="C264" s="80">
        <v>1000.0</v>
      </c>
      <c r="D264" s="151" t="s">
        <v>0</v>
      </c>
    </row>
    <row r="265" ht="14.0">
      <c r="A265" s="151" t="s">
        <v>1198</v>
      </c>
      <c r="B265" s="151" t="s">
        <v>1199</v>
      </c>
      <c r="C265" s="80">
        <v>1000.0</v>
      </c>
      <c r="D265" s="151" t="s">
        <v>0</v>
      </c>
    </row>
    <row r="266" ht="14.0">
      <c r="A266" s="151" t="s">
        <v>1200</v>
      </c>
      <c r="B266" s="151" t="s">
        <v>1201</v>
      </c>
      <c r="C266" s="80">
        <v>1000.0</v>
      </c>
      <c r="D266" s="151" t="s">
        <v>0</v>
      </c>
    </row>
    <row r="267" ht="14.0">
      <c r="A267" s="151" t="s">
        <v>1202</v>
      </c>
      <c r="B267" s="151" t="s">
        <v>1203</v>
      </c>
      <c r="C267" s="80">
        <v>1000.0</v>
      </c>
      <c r="D267" s="151" t="s">
        <v>0</v>
      </c>
    </row>
    <row r="268" ht="14.0">
      <c r="A268" s="151" t="s">
        <v>1204</v>
      </c>
      <c r="B268" s="151" t="s">
        <v>1205</v>
      </c>
      <c r="C268" s="80">
        <v>1000.0</v>
      </c>
      <c r="D268" s="151" t="s">
        <v>0</v>
      </c>
    </row>
    <row r="269" ht="14.0">
      <c r="A269" s="151" t="s">
        <v>1206</v>
      </c>
      <c r="B269" s="151" t="s">
        <v>1207</v>
      </c>
      <c r="C269" s="80">
        <v>1000.0</v>
      </c>
      <c r="D269" s="151" t="s">
        <v>0</v>
      </c>
    </row>
    <row r="270" ht="14.0">
      <c r="A270" s="151" t="s">
        <v>1208</v>
      </c>
      <c r="B270" s="151" t="s">
        <v>1209</v>
      </c>
      <c r="C270" s="80">
        <v>1000.0</v>
      </c>
      <c r="D270" s="151" t="s">
        <v>0</v>
      </c>
    </row>
    <row r="271" ht="14.0">
      <c r="A271" s="151" t="s">
        <v>1210</v>
      </c>
      <c r="B271" s="151" t="s">
        <v>1211</v>
      </c>
      <c r="C271" s="80">
        <v>1000.0</v>
      </c>
      <c r="D271" s="151" t="s">
        <v>0</v>
      </c>
    </row>
    <row r="272" ht="14.0">
      <c r="A272" s="151" t="s">
        <v>1212</v>
      </c>
      <c r="B272" s="151" t="s">
        <v>1213</v>
      </c>
      <c r="C272" s="80">
        <v>1000.0</v>
      </c>
      <c r="D272" s="151"/>
    </row>
    <row r="273" ht="14.0">
      <c r="A273" s="151" t="s">
        <v>1214</v>
      </c>
      <c r="B273" s="151" t="s">
        <v>1215</v>
      </c>
      <c r="C273" s="80">
        <v>1000.0</v>
      </c>
      <c r="D273" s="151" t="s">
        <v>0</v>
      </c>
    </row>
    <row r="274" ht="14.0">
      <c r="A274" s="151" t="s">
        <v>1216</v>
      </c>
      <c r="B274" s="151" t="s">
        <v>1217</v>
      </c>
      <c r="C274" s="80">
        <v>1000.0</v>
      </c>
      <c r="D274" s="151"/>
    </row>
    <row r="275" ht="14.0">
      <c r="A275" s="151" t="s">
        <v>1218</v>
      </c>
      <c r="B275" s="151" t="s">
        <v>1219</v>
      </c>
      <c r="C275" s="80">
        <v>1000.0</v>
      </c>
      <c r="D275" s="151"/>
    </row>
    <row r="276" ht="14.0">
      <c r="A276" s="151" t="s">
        <v>1220</v>
      </c>
      <c r="B276" s="151" t="s">
        <v>1221</v>
      </c>
      <c r="C276" s="80">
        <v>1000.0</v>
      </c>
      <c r="D276" s="151"/>
    </row>
    <row r="277" ht="14.0">
      <c r="A277" s="151" t="s">
        <v>1222</v>
      </c>
      <c r="B277" s="151" t="s">
        <v>624</v>
      </c>
      <c r="C277" s="151">
        <v>501.0</v>
      </c>
      <c r="D277" s="151"/>
    </row>
    <row r="278" ht="14.0">
      <c r="A278" s="151" t="s">
        <v>1223</v>
      </c>
      <c r="B278" s="151" t="s">
        <v>1224</v>
      </c>
      <c r="C278" s="80">
        <v>1000.0</v>
      </c>
      <c r="D278" s="151"/>
    </row>
    <row r="279" ht="14.0">
      <c r="A279" s="151" t="s">
        <v>1225</v>
      </c>
      <c r="B279" s="151" t="s">
        <v>1226</v>
      </c>
      <c r="C279" s="80">
        <v>1000.0</v>
      </c>
      <c r="D279" s="151" t="s">
        <v>0</v>
      </c>
    </row>
    <row r="280" ht="14.0">
      <c r="A280" s="151" t="s">
        <v>1227</v>
      </c>
      <c r="B280" s="151" t="s">
        <v>1228</v>
      </c>
      <c r="C280" s="80">
        <v>1000.0</v>
      </c>
      <c r="D280" s="151" t="s">
        <v>0</v>
      </c>
    </row>
    <row r="281" ht="14.0">
      <c r="A281" s="151" t="s">
        <v>1229</v>
      </c>
      <c r="B281" s="151" t="s">
        <v>1230</v>
      </c>
      <c r="C281" s="80">
        <v>1000.0</v>
      </c>
      <c r="D281" s="151" t="s">
        <v>0</v>
      </c>
    </row>
    <row r="282" ht="14.0">
      <c r="A282" s="151" t="s">
        <v>1231</v>
      </c>
      <c r="B282" s="151" t="s">
        <v>1232</v>
      </c>
      <c r="C282" s="80">
        <v>1000.0</v>
      </c>
      <c r="D282" s="151" t="s">
        <v>0</v>
      </c>
    </row>
    <row r="283" ht="14.0">
      <c r="A283" s="151" t="s">
        <v>1233</v>
      </c>
      <c r="B283" s="151" t="s">
        <v>1234</v>
      </c>
      <c r="C283" s="80">
        <v>1000.0</v>
      </c>
      <c r="D283" s="151" t="s">
        <v>0</v>
      </c>
    </row>
    <row r="284" ht="14.0">
      <c r="A284" s="151" t="s">
        <v>1235</v>
      </c>
      <c r="B284" s="151" t="s">
        <v>1236</v>
      </c>
      <c r="C284" s="80">
        <v>1000.0</v>
      </c>
      <c r="D284" s="151" t="s">
        <v>0</v>
      </c>
    </row>
    <row r="285" ht="14.0">
      <c r="A285" s="151" t="s">
        <v>1237</v>
      </c>
      <c r="B285" s="151" t="s">
        <v>1238</v>
      </c>
      <c r="C285" s="151">
        <v>501.0</v>
      </c>
      <c r="D285" s="151" t="s">
        <v>0</v>
      </c>
    </row>
    <row r="286" ht="14.0">
      <c r="A286" s="151" t="s">
        <v>1239</v>
      </c>
      <c r="B286" s="151" t="s">
        <v>1240</v>
      </c>
      <c r="C286" s="80">
        <v>1000.0</v>
      </c>
      <c r="D286" s="151" t="s">
        <v>0</v>
      </c>
    </row>
    <row r="287" ht="14.0">
      <c r="A287" s="151" t="s">
        <v>1241</v>
      </c>
      <c r="B287" s="151" t="s">
        <v>1242</v>
      </c>
      <c r="C287" s="80">
        <v>1000.0</v>
      </c>
      <c r="D287" s="151" t="s">
        <v>0</v>
      </c>
    </row>
    <row r="288" ht="14.0">
      <c r="A288" s="151" t="s">
        <v>1243</v>
      </c>
      <c r="B288" s="151" t="s">
        <v>1244</v>
      </c>
      <c r="C288" s="151"/>
      <c r="D288" s="151" t="s">
        <v>0</v>
      </c>
    </row>
    <row r="289" ht="14.0">
      <c r="A289" s="151" t="s">
        <v>1245</v>
      </c>
      <c r="B289" s="151" t="s">
        <v>1246</v>
      </c>
      <c r="C289" s="151"/>
      <c r="D289" s="151" t="s">
        <v>0</v>
      </c>
    </row>
    <row r="290" ht="14.0">
      <c r="A290" s="151" t="s">
        <v>370</v>
      </c>
      <c r="B290" s="151" t="s">
        <v>371</v>
      </c>
      <c r="C290" s="80">
        <v>1000.0</v>
      </c>
      <c r="D290" s="151" t="s">
        <v>0</v>
      </c>
    </row>
    <row r="291" ht="14.0">
      <c r="A291" s="151" t="s">
        <v>372</v>
      </c>
      <c r="B291" s="151" t="s">
        <v>373</v>
      </c>
      <c r="C291" s="80">
        <v>1000.0</v>
      </c>
      <c r="D291" s="151"/>
    </row>
    <row r="292" ht="14.0">
      <c r="A292" s="151" t="s">
        <v>1247</v>
      </c>
      <c r="B292" s="151" t="s">
        <v>1248</v>
      </c>
      <c r="C292" s="80">
        <v>1000.0</v>
      </c>
      <c r="D292" s="151" t="s">
        <v>0</v>
      </c>
    </row>
    <row r="293" ht="14.0">
      <c r="A293" s="151" t="s">
        <v>1249</v>
      </c>
      <c r="B293" s="151" t="s">
        <v>1250</v>
      </c>
      <c r="C293" s="151"/>
      <c r="D293" s="151" t="s">
        <v>0</v>
      </c>
    </row>
    <row r="294" ht="14.0">
      <c r="A294" s="151" t="s">
        <v>1251</v>
      </c>
      <c r="B294" s="151" t="s">
        <v>1252</v>
      </c>
      <c r="C294" s="151"/>
      <c r="D294" s="151" t="s">
        <v>0</v>
      </c>
    </row>
    <row r="295" ht="14.0">
      <c r="A295" s="151" t="s">
        <v>1253</v>
      </c>
      <c r="B295" s="151" t="s">
        <v>1254</v>
      </c>
      <c r="C295" s="151">
        <v>500.0</v>
      </c>
      <c r="D295" s="151" t="s">
        <v>0</v>
      </c>
    </row>
    <row r="296" ht="14.0">
      <c r="A296" s="151" t="s">
        <v>1255</v>
      </c>
      <c r="B296" s="151" t="s">
        <v>1256</v>
      </c>
      <c r="C296" s="151"/>
      <c r="D296" s="151" t="s">
        <v>0</v>
      </c>
    </row>
    <row r="297" ht="14.0">
      <c r="A297" s="151" t="s">
        <v>200</v>
      </c>
      <c r="B297" s="151" t="s">
        <v>201</v>
      </c>
      <c r="C297" s="151">
        <v>150.0</v>
      </c>
      <c r="D297" s="151"/>
    </row>
    <row r="298" ht="14.0">
      <c r="A298" s="151" t="s">
        <v>1257</v>
      </c>
      <c r="B298" s="151" t="s">
        <v>1258</v>
      </c>
      <c r="C298" s="151"/>
      <c r="D298" s="151" t="s">
        <v>0</v>
      </c>
    </row>
    <row r="299" ht="14.0">
      <c r="A299" s="151" t="s">
        <v>1259</v>
      </c>
      <c r="B299" s="151" t="s">
        <v>1260</v>
      </c>
      <c r="C299" s="151"/>
      <c r="D299" s="151" t="s">
        <v>0</v>
      </c>
    </row>
    <row r="300" ht="14.0">
      <c r="A300" s="151" t="s">
        <v>1261</v>
      </c>
      <c r="B300" s="151" t="s">
        <v>1262</v>
      </c>
      <c r="C300" s="151"/>
      <c r="D300" s="151" t="s">
        <v>0</v>
      </c>
    </row>
    <row r="301" ht="14.0">
      <c r="A301" s="151" t="s">
        <v>1263</v>
      </c>
      <c r="B301" s="151" t="s">
        <v>1264</v>
      </c>
      <c r="C301" s="151"/>
      <c r="D301" s="151" t="s">
        <v>0</v>
      </c>
    </row>
    <row r="302" ht="14.0">
      <c r="A302" s="151" t="s">
        <v>1265</v>
      </c>
      <c r="B302" s="151" t="s">
        <v>1266</v>
      </c>
      <c r="C302" s="151"/>
      <c r="D302" s="151" t="s">
        <v>0</v>
      </c>
    </row>
    <row r="303" ht="14.0">
      <c r="A303" s="151" t="s">
        <v>1267</v>
      </c>
      <c r="B303" s="151" t="s">
        <v>1268</v>
      </c>
      <c r="C303" s="151"/>
      <c r="D303" s="151" t="s">
        <v>0</v>
      </c>
    </row>
    <row r="304" ht="14.0">
      <c r="A304" s="151" t="s">
        <v>610</v>
      </c>
      <c r="B304" s="151" t="s">
        <v>611</v>
      </c>
      <c r="C304" s="151">
        <v>500.0</v>
      </c>
      <c r="D304" s="151" t="s">
        <v>0</v>
      </c>
    </row>
    <row r="305" ht="14.0">
      <c r="A305" s="151" t="s">
        <v>608</v>
      </c>
      <c r="B305" s="151" t="s">
        <v>609</v>
      </c>
      <c r="C305" s="151">
        <v>500.0</v>
      </c>
      <c r="D305" s="151"/>
    </row>
    <row r="306" ht="14.0">
      <c r="A306" s="151" t="s">
        <v>602</v>
      </c>
      <c r="B306" s="151" t="s">
        <v>603</v>
      </c>
      <c r="C306" s="151">
        <v>500.0</v>
      </c>
      <c r="D306" s="151"/>
    </row>
    <row r="307" ht="14.0">
      <c r="A307" s="151" t="s">
        <v>598</v>
      </c>
      <c r="B307" s="151" t="s">
        <v>599</v>
      </c>
      <c r="C307" s="151">
        <v>500.0</v>
      </c>
      <c r="D307" s="151"/>
    </row>
    <row r="308" ht="14.0">
      <c r="A308" s="151" t="s">
        <v>1269</v>
      </c>
      <c r="B308" s="151" t="s">
        <v>1270</v>
      </c>
      <c r="C308" s="151">
        <v>500.0</v>
      </c>
      <c r="D308" s="151" t="s">
        <v>0</v>
      </c>
    </row>
    <row r="309" ht="14.0">
      <c r="A309" s="151" t="s">
        <v>1271</v>
      </c>
      <c r="B309" s="151" t="s">
        <v>1272</v>
      </c>
      <c r="C309" s="151"/>
      <c r="D309" s="151" t="s">
        <v>0</v>
      </c>
    </row>
    <row r="310" ht="14.0">
      <c r="A310" s="151" t="s">
        <v>1273</v>
      </c>
      <c r="B310" s="151" t="s">
        <v>1274</v>
      </c>
      <c r="C310" s="151"/>
      <c r="D310" s="151" t="s">
        <v>0</v>
      </c>
    </row>
    <row r="311" ht="14.0">
      <c r="A311" s="151" t="s">
        <v>1275</v>
      </c>
      <c r="B311" s="151">
        <v>34801.0</v>
      </c>
      <c r="C311" s="151"/>
      <c r="D311" s="151" t="s">
        <v>0</v>
      </c>
    </row>
    <row r="312" ht="14.0">
      <c r="A312" s="151" t="s">
        <v>1276</v>
      </c>
      <c r="B312" s="151">
        <v>34802.0</v>
      </c>
      <c r="C312" s="151"/>
      <c r="D312" s="151" t="s">
        <v>0</v>
      </c>
    </row>
    <row r="313" ht="14.0">
      <c r="A313" s="151" t="s">
        <v>1277</v>
      </c>
      <c r="B313" s="151">
        <v>34803.0</v>
      </c>
      <c r="C313" s="151"/>
      <c r="D313" s="151" t="s">
        <v>0</v>
      </c>
    </row>
    <row r="314" ht="14.0">
      <c r="A314" s="151" t="s">
        <v>1278</v>
      </c>
      <c r="B314" s="151">
        <v>34804.0</v>
      </c>
      <c r="C314" s="151"/>
      <c r="D314" s="151" t="s">
        <v>0</v>
      </c>
    </row>
    <row r="315" ht="14.0">
      <c r="A315" s="151" t="s">
        <v>1279</v>
      </c>
      <c r="B315" s="151" t="s">
        <v>1280</v>
      </c>
      <c r="C315" s="151">
        <v>30.0</v>
      </c>
      <c r="D315" s="151"/>
    </row>
    <row r="316" ht="14.0">
      <c r="A316" s="151" t="s">
        <v>1281</v>
      </c>
      <c r="B316" s="151">
        <v>92601.0</v>
      </c>
      <c r="C316" s="151"/>
      <c r="D316" s="151" t="s">
        <v>0</v>
      </c>
    </row>
    <row r="317" ht="14.0">
      <c r="A317" s="151" t="s">
        <v>1282</v>
      </c>
      <c r="B317" s="151">
        <v>92602.0</v>
      </c>
      <c r="C317" s="151"/>
      <c r="D317" s="151" t="s">
        <v>0</v>
      </c>
    </row>
    <row r="318" ht="14.0">
      <c r="A318" s="151" t="s">
        <v>1283</v>
      </c>
      <c r="B318" s="151">
        <v>92603.0</v>
      </c>
      <c r="C318" s="151"/>
      <c r="D318" s="151" t="s">
        <v>0</v>
      </c>
    </row>
    <row r="319" ht="14.0">
      <c r="A319" s="151" t="s">
        <v>1284</v>
      </c>
      <c r="B319" s="151">
        <v>92604.0</v>
      </c>
      <c r="C319" s="151"/>
      <c r="D319" s="151" t="s">
        <v>0</v>
      </c>
    </row>
    <row r="320" ht="14.0">
      <c r="A320" s="151" t="s">
        <v>1285</v>
      </c>
      <c r="B320" s="151">
        <v>92605.0</v>
      </c>
      <c r="C320" s="151"/>
      <c r="D320" s="151" t="s">
        <v>0</v>
      </c>
    </row>
    <row r="321" ht="14.0">
      <c r="A321" s="151" t="s">
        <v>1286</v>
      </c>
      <c r="B321" s="151">
        <v>92606.0</v>
      </c>
      <c r="C321" s="151"/>
      <c r="D321" s="151" t="s">
        <v>0</v>
      </c>
    </row>
    <row r="322" ht="14.0">
      <c r="A322" s="151" t="s">
        <v>1287</v>
      </c>
      <c r="B322" s="151">
        <v>92608.0</v>
      </c>
      <c r="C322" s="151"/>
      <c r="D322" s="151" t="s">
        <v>0</v>
      </c>
    </row>
    <row r="323" ht="14.0">
      <c r="A323" s="151" t="s">
        <v>1288</v>
      </c>
      <c r="B323" s="151">
        <v>92610.0</v>
      </c>
      <c r="C323" s="151"/>
      <c r="D323" s="151" t="s">
        <v>0</v>
      </c>
    </row>
    <row r="324" ht="14.0">
      <c r="A324" s="151" t="s">
        <v>1289</v>
      </c>
      <c r="B324" s="151">
        <v>92611.0</v>
      </c>
      <c r="C324" s="151"/>
      <c r="D324" s="151" t="s">
        <v>0</v>
      </c>
    </row>
    <row r="325" ht="14.0">
      <c r="A325" s="151" t="s">
        <v>1290</v>
      </c>
      <c r="B325" s="151">
        <v>92612.0</v>
      </c>
      <c r="C325" s="151"/>
      <c r="D325" s="151" t="s">
        <v>0</v>
      </c>
    </row>
    <row r="326" ht="14.0">
      <c r="A326" s="151" t="s">
        <v>1291</v>
      </c>
      <c r="B326" s="151">
        <v>92613.0</v>
      </c>
      <c r="C326" s="151"/>
      <c r="D326" s="151" t="s">
        <v>0</v>
      </c>
    </row>
    <row r="327" ht="14.0">
      <c r="A327" s="151" t="s">
        <v>1292</v>
      </c>
      <c r="B327" s="151">
        <v>92618.0</v>
      </c>
      <c r="C327" s="151"/>
      <c r="D327" s="151" t="s">
        <v>0</v>
      </c>
    </row>
    <row r="328" ht="14.0">
      <c r="A328" s="151" t="s">
        <v>1293</v>
      </c>
      <c r="B328" s="151">
        <v>92619.0</v>
      </c>
      <c r="C328" s="151"/>
      <c r="D328" s="151" t="s">
        <v>0</v>
      </c>
    </row>
    <row r="329" ht="14.0">
      <c r="A329" s="151" t="s">
        <v>1294</v>
      </c>
      <c r="B329" s="151" t="s">
        <v>1295</v>
      </c>
      <c r="C329" s="151"/>
      <c r="D329" s="151" t="s">
        <v>0</v>
      </c>
    </row>
    <row r="330" ht="14.0">
      <c r="A330" s="151" t="s">
        <v>1296</v>
      </c>
      <c r="B330" s="151" t="s">
        <v>1297</v>
      </c>
      <c r="C330" s="80">
        <v>1002.0</v>
      </c>
      <c r="D330" s="151"/>
    </row>
    <row r="331" ht="14.0">
      <c r="A331" s="151" t="s">
        <v>1298</v>
      </c>
      <c r="B331" s="151" t="s">
        <v>1299</v>
      </c>
      <c r="C331" s="80">
        <v>1002.0</v>
      </c>
      <c r="D331" s="151"/>
    </row>
    <row r="332" ht="14.0">
      <c r="A332" s="151" t="s">
        <v>1300</v>
      </c>
      <c r="B332" s="151" t="s">
        <v>1301</v>
      </c>
      <c r="C332" s="80">
        <v>1002.0</v>
      </c>
      <c r="D332" s="151"/>
    </row>
    <row r="333" ht="14.0">
      <c r="A333" s="151" t="s">
        <v>1302</v>
      </c>
      <c r="B333" s="151" t="s">
        <v>1303</v>
      </c>
      <c r="C333" s="80">
        <v>1002.0</v>
      </c>
      <c r="D333" s="151"/>
    </row>
    <row r="334" ht="14.0">
      <c r="A334" s="151" t="s">
        <v>1304</v>
      </c>
      <c r="B334" s="151" t="s">
        <v>1305</v>
      </c>
      <c r="C334" s="80">
        <v>1002.0</v>
      </c>
      <c r="D334" s="151"/>
    </row>
    <row r="335" ht="14.0">
      <c r="A335" s="151" t="s">
        <v>1306</v>
      </c>
      <c r="B335" s="151" t="s">
        <v>1307</v>
      </c>
      <c r="C335" s="80">
        <v>1002.0</v>
      </c>
      <c r="D335" s="151"/>
    </row>
    <row r="336" ht="14.0">
      <c r="A336" s="151" t="s">
        <v>1308</v>
      </c>
      <c r="B336" s="151" t="s">
        <v>1309</v>
      </c>
      <c r="C336" s="80">
        <v>1002.0</v>
      </c>
      <c r="D336" s="151"/>
    </row>
    <row r="337" ht="14.0">
      <c r="A337" s="151" t="s">
        <v>1310</v>
      </c>
      <c r="B337" s="151" t="s">
        <v>1311</v>
      </c>
      <c r="C337" s="80">
        <v>1002.0</v>
      </c>
      <c r="D337" s="151"/>
    </row>
    <row r="338" ht="14.0">
      <c r="A338" s="151" t="s">
        <v>1312</v>
      </c>
      <c r="B338" s="151" t="s">
        <v>1313</v>
      </c>
      <c r="C338" s="80">
        <v>1002.0</v>
      </c>
      <c r="D338" s="151"/>
    </row>
    <row r="339" ht="14.0">
      <c r="A339" s="151" t="s">
        <v>1314</v>
      </c>
      <c r="B339" s="151" t="s">
        <v>1315</v>
      </c>
      <c r="C339" s="80">
        <v>1002.0</v>
      </c>
      <c r="D339" s="151"/>
    </row>
    <row r="340" ht="14.0">
      <c r="A340" s="151" t="s">
        <v>1316</v>
      </c>
      <c r="B340" s="151" t="s">
        <v>1317</v>
      </c>
      <c r="C340" s="80">
        <v>1002.0</v>
      </c>
      <c r="D340" s="151"/>
    </row>
    <row r="341" ht="14.0">
      <c r="A341" s="151" t="s">
        <v>1318</v>
      </c>
      <c r="B341" s="151" t="s">
        <v>1319</v>
      </c>
      <c r="C341" s="80">
        <v>1002.0</v>
      </c>
      <c r="D341" s="151"/>
    </row>
    <row r="342" ht="14.0">
      <c r="A342" s="151" t="s">
        <v>1320</v>
      </c>
      <c r="B342" s="151" t="s">
        <v>1321</v>
      </c>
      <c r="C342" s="151"/>
      <c r="D342" s="151" t="s">
        <v>0</v>
      </c>
    </row>
    <row r="343" ht="14.0">
      <c r="A343" s="151" t="s">
        <v>1322</v>
      </c>
      <c r="B343" s="151" t="s">
        <v>1323</v>
      </c>
      <c r="C343" s="151"/>
      <c r="D343" s="151"/>
    </row>
    <row r="344" ht="14.0">
      <c r="A344" s="151" t="s">
        <v>1324</v>
      </c>
      <c r="B344" s="151" t="s">
        <v>1325</v>
      </c>
      <c r="C344" s="151"/>
      <c r="D344" s="151"/>
    </row>
    <row r="345" ht="14.0">
      <c r="A345" s="151" t="s">
        <v>1326</v>
      </c>
      <c r="B345" s="151">
        <v>43332.0</v>
      </c>
      <c r="C345" s="151"/>
      <c r="D345" s="151"/>
    </row>
    <row r="346" ht="14.0">
      <c r="A346" s="151" t="s">
        <v>1327</v>
      </c>
      <c r="B346" s="151">
        <v>43301.0</v>
      </c>
      <c r="C346" s="151"/>
      <c r="D346" s="151"/>
    </row>
    <row r="347" ht="14.0">
      <c r="A347" s="151" t="s">
        <v>1328</v>
      </c>
      <c r="B347" s="151">
        <v>43302.0</v>
      </c>
      <c r="C347" s="151"/>
      <c r="D347" s="151"/>
    </row>
    <row r="348" ht="14.0">
      <c r="A348" s="151" t="s">
        <v>1329</v>
      </c>
      <c r="B348" s="151">
        <v>43303.0</v>
      </c>
      <c r="C348" s="151"/>
      <c r="D348" s="151" t="s">
        <v>0</v>
      </c>
    </row>
    <row r="349" ht="14.0">
      <c r="A349" s="151" t="s">
        <v>1330</v>
      </c>
      <c r="B349" s="151">
        <v>43304.0</v>
      </c>
      <c r="C349" s="151"/>
      <c r="D349" s="151"/>
    </row>
    <row r="350" ht="14.0">
      <c r="A350" s="151" t="s">
        <v>1331</v>
      </c>
      <c r="B350" s="151">
        <v>992432.0</v>
      </c>
      <c r="C350" s="151"/>
      <c r="D350" s="151"/>
    </row>
    <row r="351" ht="14.0">
      <c r="A351" s="151" t="s">
        <v>1332</v>
      </c>
      <c r="B351" s="151">
        <v>41201.0</v>
      </c>
      <c r="C351" s="151"/>
      <c r="D351" s="151"/>
    </row>
    <row r="352" ht="14.0">
      <c r="A352" s="151" t="s">
        <v>1333</v>
      </c>
      <c r="B352" s="151">
        <v>41202.0</v>
      </c>
      <c r="C352" s="151"/>
      <c r="D352" s="151"/>
    </row>
    <row r="353" ht="14.0">
      <c r="A353" s="151" t="s">
        <v>1334</v>
      </c>
      <c r="B353" s="151">
        <v>41233.0</v>
      </c>
      <c r="C353" s="151"/>
      <c r="D353" s="151"/>
    </row>
    <row r="354" ht="14.0">
      <c r="A354" s="151" t="s">
        <v>1335</v>
      </c>
      <c r="B354" s="151">
        <v>41234.0</v>
      </c>
      <c r="C354" s="151"/>
      <c r="D354" s="151"/>
    </row>
    <row r="355" ht="14.0">
      <c r="A355" s="151" t="s">
        <v>1336</v>
      </c>
      <c r="B355" s="151">
        <v>41205.0</v>
      </c>
      <c r="C355" s="151"/>
      <c r="D355" s="151"/>
    </row>
    <row r="356" ht="14.0">
      <c r="A356" s="151" t="s">
        <v>1337</v>
      </c>
      <c r="B356" s="151">
        <v>41203.0</v>
      </c>
      <c r="C356" s="151"/>
      <c r="D356" s="151" t="s">
        <v>0</v>
      </c>
    </row>
    <row r="357" ht="14.0">
      <c r="A357" s="151" t="s">
        <v>1338</v>
      </c>
      <c r="B357" s="151">
        <v>41204.0</v>
      </c>
      <c r="C357" s="151"/>
      <c r="D357" s="151" t="s">
        <v>0</v>
      </c>
    </row>
    <row r="358" ht="14.0">
      <c r="A358" s="151" t="s">
        <v>1339</v>
      </c>
      <c r="B358" s="151" t="s">
        <v>1340</v>
      </c>
      <c r="C358" s="151"/>
      <c r="D358" s="151"/>
    </row>
    <row r="359" ht="14.0">
      <c r="A359" s="151" t="s">
        <v>1341</v>
      </c>
      <c r="B359" s="151" t="s">
        <v>1342</v>
      </c>
      <c r="C359" s="151"/>
      <c r="D359" s="151"/>
    </row>
    <row r="360" ht="14.0">
      <c r="A360" s="151" t="s">
        <v>1343</v>
      </c>
      <c r="B360" s="151">
        <v>79602.0</v>
      </c>
      <c r="C360" s="151">
        <v>42.0</v>
      </c>
      <c r="D360" s="151"/>
    </row>
    <row r="361" ht="14.0">
      <c r="A361" s="151" t="s">
        <v>1344</v>
      </c>
      <c r="B361" s="151">
        <v>79605.0</v>
      </c>
      <c r="C361" s="151">
        <v>42.0</v>
      </c>
      <c r="D361" s="151"/>
    </row>
    <row r="362" ht="14.0">
      <c r="A362" s="151" t="s">
        <v>1345</v>
      </c>
      <c r="B362" s="151">
        <v>79603.0</v>
      </c>
      <c r="C362" s="151">
        <v>42.0</v>
      </c>
      <c r="D362" s="151"/>
    </row>
    <row r="363" ht="14.0">
      <c r="A363" s="151" t="s">
        <v>1346</v>
      </c>
      <c r="B363" s="151">
        <v>79604.0</v>
      </c>
      <c r="C363" s="151">
        <v>42.0</v>
      </c>
      <c r="D363" s="151"/>
    </row>
    <row r="364" ht="14.0">
      <c r="A364" s="151" t="s">
        <v>1347</v>
      </c>
      <c r="B364" s="151">
        <v>79606.0</v>
      </c>
      <c r="C364" s="151">
        <v>42.0</v>
      </c>
      <c r="D364" s="151"/>
    </row>
    <row r="365" ht="14.0">
      <c r="A365" s="151" t="s">
        <v>1348</v>
      </c>
      <c r="B365" s="151">
        <v>79601.0</v>
      </c>
      <c r="C365" s="151">
        <v>42.0</v>
      </c>
      <c r="D365" s="151"/>
    </row>
    <row r="366" ht="14.0">
      <c r="A366" s="151" t="s">
        <v>1349</v>
      </c>
      <c r="B366" s="151" t="s">
        <v>1350</v>
      </c>
      <c r="C366" s="151"/>
      <c r="D366" s="151"/>
    </row>
    <row r="367" ht="14.0">
      <c r="A367" s="151" t="s">
        <v>1351</v>
      </c>
      <c r="B367" s="151">
        <v>40601.0</v>
      </c>
      <c r="C367" s="151"/>
      <c r="D367" s="151" t="s">
        <v>0</v>
      </c>
    </row>
    <row r="368" ht="14.0">
      <c r="A368" s="151" t="s">
        <v>1352</v>
      </c>
      <c r="B368" s="151">
        <v>40602.0</v>
      </c>
      <c r="C368" s="151"/>
      <c r="D368" s="151" t="s">
        <v>0</v>
      </c>
    </row>
    <row r="369" ht="14.0">
      <c r="A369" s="151" t="s">
        <v>1353</v>
      </c>
      <c r="B369" s="151">
        <v>40603.0</v>
      </c>
      <c r="C369" s="151"/>
      <c r="D369" s="151" t="s">
        <v>0</v>
      </c>
    </row>
    <row r="370" ht="14.0">
      <c r="A370" s="151" t="s">
        <v>1354</v>
      </c>
      <c r="B370" s="151">
        <v>40604.0</v>
      </c>
      <c r="C370" s="151"/>
      <c r="D370" s="151" t="s">
        <v>0</v>
      </c>
    </row>
    <row r="371" ht="14.0">
      <c r="A371" s="151" t="s">
        <v>1355</v>
      </c>
      <c r="B371" s="151" t="s">
        <v>1356</v>
      </c>
      <c r="C371" s="151"/>
      <c r="D371" s="151"/>
    </row>
    <row r="372" ht="14.0">
      <c r="A372" s="151" t="s">
        <v>1357</v>
      </c>
      <c r="B372" s="151" t="s">
        <v>1358</v>
      </c>
      <c r="C372" s="151"/>
      <c r="D372" s="151" t="s">
        <v>0</v>
      </c>
    </row>
    <row r="373" ht="14.0">
      <c r="A373" s="151" t="s">
        <v>1359</v>
      </c>
      <c r="B373" s="151">
        <v>43203.0</v>
      </c>
      <c r="C373" s="151"/>
      <c r="D373" s="151"/>
    </row>
    <row r="374" ht="14.0">
      <c r="A374" s="151" t="s">
        <v>1360</v>
      </c>
      <c r="B374" s="151">
        <v>43232.0</v>
      </c>
      <c r="C374" s="151"/>
      <c r="D374" s="151"/>
    </row>
    <row r="375" ht="14.0">
      <c r="A375" s="151" t="s">
        <v>1361</v>
      </c>
      <c r="B375" s="151">
        <v>43206.0</v>
      </c>
      <c r="C375" s="151"/>
      <c r="D375" s="151"/>
    </row>
    <row r="376" ht="14.0">
      <c r="A376" s="151" t="s">
        <v>1362</v>
      </c>
      <c r="B376" s="151">
        <v>43215.0</v>
      </c>
      <c r="C376" s="151"/>
      <c r="D376" s="151"/>
    </row>
    <row r="377" ht="14.0">
      <c r="A377" s="151" t="s">
        <v>1363</v>
      </c>
      <c r="B377" s="151">
        <v>43213.0</v>
      </c>
      <c r="C377" s="151"/>
      <c r="D377" s="151"/>
    </row>
    <row r="378" ht="14.0">
      <c r="A378" s="151" t="s">
        <v>1364</v>
      </c>
      <c r="B378" s="151">
        <v>43212.0</v>
      </c>
      <c r="C378" s="151"/>
      <c r="D378" s="151" t="s">
        <v>0</v>
      </c>
    </row>
    <row r="379" ht="14.0">
      <c r="A379" s="151" t="s">
        <v>1365</v>
      </c>
      <c r="B379" s="151">
        <v>43245.0</v>
      </c>
      <c r="C379" s="151"/>
      <c r="D379" s="151"/>
    </row>
    <row r="380" ht="14.0">
      <c r="A380" s="151" t="s">
        <v>1366</v>
      </c>
      <c r="B380" s="151">
        <v>43205.0</v>
      </c>
      <c r="C380" s="151"/>
      <c r="D380" s="151" t="s">
        <v>0</v>
      </c>
    </row>
    <row r="381" ht="14.0">
      <c r="A381" s="151" t="s">
        <v>1367</v>
      </c>
      <c r="B381" s="151">
        <v>43204.0</v>
      </c>
      <c r="C381" s="151"/>
      <c r="D381" s="151"/>
    </row>
    <row r="382" ht="14.0">
      <c r="A382" s="151" t="s">
        <v>1368</v>
      </c>
      <c r="B382" s="151">
        <v>43201.0</v>
      </c>
      <c r="C382" s="151"/>
      <c r="D382" s="151"/>
    </row>
    <row r="383" ht="14.0">
      <c r="A383" s="151" t="s">
        <v>1369</v>
      </c>
      <c r="B383" s="151" t="s">
        <v>1370</v>
      </c>
      <c r="C383" s="151"/>
      <c r="D383" s="151"/>
    </row>
    <row r="384" ht="14.0">
      <c r="A384" s="151" t="s">
        <v>1371</v>
      </c>
      <c r="B384" s="151">
        <v>40902.0</v>
      </c>
      <c r="C384" s="151"/>
      <c r="D384" s="151" t="s">
        <v>0</v>
      </c>
    </row>
    <row r="385" ht="14.0">
      <c r="A385" s="151" t="s">
        <v>1372</v>
      </c>
      <c r="B385" s="151">
        <v>40904.0</v>
      </c>
      <c r="C385" s="151"/>
      <c r="D385" s="151" t="s">
        <v>0</v>
      </c>
    </row>
    <row r="386" ht="14.0">
      <c r="A386" s="151" t="s">
        <v>1373</v>
      </c>
      <c r="B386" s="151">
        <v>40903.0</v>
      </c>
      <c r="C386" s="151"/>
      <c r="D386" s="151" t="s">
        <v>0</v>
      </c>
    </row>
    <row r="387" ht="14.0">
      <c r="A387" s="151" t="s">
        <v>1374</v>
      </c>
      <c r="B387" s="151">
        <v>40901.0</v>
      </c>
      <c r="C387" s="151"/>
      <c r="D387" s="151"/>
    </row>
    <row r="388" ht="14.0">
      <c r="A388" s="151" t="s">
        <v>1375</v>
      </c>
      <c r="B388" s="151">
        <v>40905.0</v>
      </c>
      <c r="C388" s="151"/>
      <c r="D388" s="151" t="s">
        <v>0</v>
      </c>
    </row>
    <row r="389" ht="14.0">
      <c r="A389" s="151" t="s">
        <v>1376</v>
      </c>
      <c r="B389" s="151" t="s">
        <v>1377</v>
      </c>
      <c r="C389" s="151"/>
      <c r="D389" s="151"/>
    </row>
    <row r="390" ht="14.0">
      <c r="A390" s="151" t="s">
        <v>1378</v>
      </c>
      <c r="B390" s="151" t="s">
        <v>1379</v>
      </c>
      <c r="C390" s="151"/>
      <c r="D390" s="151" t="s">
        <v>0</v>
      </c>
    </row>
    <row r="391" ht="14.0">
      <c r="A391" s="151" t="s">
        <v>1380</v>
      </c>
      <c r="B391" s="151">
        <v>43110.0</v>
      </c>
      <c r="C391" s="151"/>
      <c r="D391" s="151"/>
    </row>
    <row r="392" ht="14.0">
      <c r="A392" s="151" t="s">
        <v>1381</v>
      </c>
      <c r="B392" s="151">
        <v>43133.0</v>
      </c>
      <c r="C392" s="151"/>
      <c r="D392" s="151"/>
    </row>
    <row r="393" ht="14.0">
      <c r="A393" s="151" t="s">
        <v>1382</v>
      </c>
      <c r="B393" s="151">
        <v>43150.0</v>
      </c>
      <c r="C393" s="151"/>
      <c r="D393" s="151"/>
    </row>
    <row r="394" ht="14.0">
      <c r="A394" s="151" t="s">
        <v>1383</v>
      </c>
      <c r="B394" s="151">
        <v>43134.0</v>
      </c>
      <c r="C394" s="151"/>
      <c r="D394" s="151"/>
    </row>
    <row r="395" ht="14.0">
      <c r="A395" s="151" t="s">
        <v>1384</v>
      </c>
      <c r="B395" s="151">
        <v>43145.0</v>
      </c>
      <c r="C395" s="151"/>
      <c r="D395" s="151"/>
    </row>
    <row r="396" ht="14.0">
      <c r="A396" s="151" t="s">
        <v>1385</v>
      </c>
      <c r="B396" s="151">
        <v>43108.0</v>
      </c>
      <c r="C396" s="151"/>
      <c r="D396" s="151" t="s">
        <v>0</v>
      </c>
    </row>
    <row r="397" ht="14.0">
      <c r="A397" s="151" t="s">
        <v>1386</v>
      </c>
      <c r="B397" s="151">
        <v>43111.0</v>
      </c>
      <c r="C397" s="151"/>
      <c r="D397" s="151"/>
    </row>
    <row r="398" ht="14.0">
      <c r="A398" s="151" t="s">
        <v>1387</v>
      </c>
      <c r="B398" s="151">
        <v>43101.0</v>
      </c>
      <c r="C398" s="151"/>
      <c r="D398" s="151"/>
    </row>
    <row r="399" ht="14.0">
      <c r="A399" s="151" t="s">
        <v>1388</v>
      </c>
      <c r="B399" s="151">
        <v>43103.0</v>
      </c>
      <c r="C399" s="151"/>
      <c r="D399" s="151" t="s">
        <v>0</v>
      </c>
    </row>
    <row r="400" ht="14.0">
      <c r="A400" s="151" t="s">
        <v>1389</v>
      </c>
      <c r="B400" s="151">
        <v>43106.0</v>
      </c>
      <c r="C400" s="151"/>
      <c r="D400" s="151"/>
    </row>
    <row r="401" ht="14.0">
      <c r="A401" s="151" t="s">
        <v>1390</v>
      </c>
      <c r="B401" s="151">
        <v>43105.0</v>
      </c>
      <c r="C401" s="151"/>
      <c r="D401" s="151"/>
    </row>
    <row r="402" ht="14.0">
      <c r="A402" s="151" t="s">
        <v>1391</v>
      </c>
      <c r="B402" s="151">
        <v>43104.0</v>
      </c>
      <c r="C402" s="151"/>
      <c r="D402" s="151"/>
    </row>
    <row r="403" ht="14.0">
      <c r="A403" s="151" t="s">
        <v>1392</v>
      </c>
      <c r="B403" s="151">
        <v>43112.0</v>
      </c>
      <c r="C403" s="151"/>
      <c r="D403" s="151"/>
    </row>
    <row r="404" ht="14.0">
      <c r="A404" s="151" t="s">
        <v>1393</v>
      </c>
      <c r="B404" s="151">
        <v>43107.0</v>
      </c>
      <c r="C404" s="151"/>
      <c r="D404" s="151"/>
    </row>
    <row r="405" ht="14.0">
      <c r="A405" s="151" t="s">
        <v>1394</v>
      </c>
      <c r="B405" s="151" t="s">
        <v>1395</v>
      </c>
      <c r="C405" s="151"/>
      <c r="D405" s="151"/>
    </row>
    <row r="406" ht="14.0">
      <c r="A406" s="151" t="s">
        <v>1396</v>
      </c>
      <c r="B406" s="151">
        <v>40701.0</v>
      </c>
      <c r="C406" s="151"/>
      <c r="D406" s="151"/>
    </row>
    <row r="407" ht="14.0">
      <c r="A407" s="151" t="s">
        <v>1397</v>
      </c>
      <c r="B407" s="151">
        <v>40732.0</v>
      </c>
      <c r="C407" s="151"/>
      <c r="D407" s="151"/>
    </row>
    <row r="408" ht="14.0">
      <c r="A408" s="151" t="s">
        <v>1398</v>
      </c>
      <c r="B408" s="151">
        <v>40702.0</v>
      </c>
      <c r="C408" s="151"/>
      <c r="D408" s="151"/>
    </row>
    <row r="409" ht="14.0">
      <c r="A409" s="151" t="s">
        <v>1399</v>
      </c>
      <c r="B409" s="151">
        <v>40734.0</v>
      </c>
      <c r="C409" s="151"/>
      <c r="D409" s="151"/>
    </row>
    <row r="410" ht="14.0">
      <c r="A410" s="151" t="s">
        <v>1400</v>
      </c>
      <c r="B410" s="151">
        <v>40735.0</v>
      </c>
      <c r="C410" s="151"/>
      <c r="D410" s="151" t="s">
        <v>0</v>
      </c>
    </row>
    <row r="411" ht="14.0">
      <c r="A411" s="151" t="s">
        <v>1401</v>
      </c>
      <c r="B411" s="151">
        <v>40746.0</v>
      </c>
      <c r="C411" s="151"/>
      <c r="D411" s="151"/>
    </row>
    <row r="412" ht="14.0">
      <c r="A412" s="151" t="s">
        <v>1402</v>
      </c>
      <c r="B412" s="151">
        <v>40703.0</v>
      </c>
      <c r="C412" s="151"/>
      <c r="D412" s="151" t="s">
        <v>0</v>
      </c>
    </row>
    <row r="413" ht="14.0">
      <c r="A413" s="151" t="s">
        <v>1403</v>
      </c>
      <c r="B413" s="151">
        <v>40704.0</v>
      </c>
      <c r="C413" s="151"/>
      <c r="D413" s="151" t="s">
        <v>0</v>
      </c>
    </row>
    <row r="414" ht="14.0">
      <c r="A414" s="151" t="s">
        <v>1404</v>
      </c>
      <c r="B414" s="151">
        <v>40705.0</v>
      </c>
      <c r="C414" s="151"/>
      <c r="D414" s="151" t="s">
        <v>0</v>
      </c>
    </row>
    <row r="415" ht="14.0">
      <c r="A415" s="151" t="s">
        <v>1405</v>
      </c>
      <c r="B415" s="151" t="s">
        <v>1406</v>
      </c>
      <c r="C415" s="151"/>
      <c r="D415" s="151"/>
    </row>
    <row r="416" ht="14.0">
      <c r="A416" s="151" t="s">
        <v>1407</v>
      </c>
      <c r="B416" s="151" t="s">
        <v>1408</v>
      </c>
      <c r="C416" s="151"/>
      <c r="D416" s="151"/>
    </row>
    <row r="417" ht="14.0">
      <c r="A417" s="151" t="s">
        <v>1409</v>
      </c>
      <c r="B417" s="151">
        <v>43190.0</v>
      </c>
      <c r="C417" s="151"/>
      <c r="D417" s="151"/>
    </row>
    <row r="418" ht="14.0">
      <c r="A418" s="151" t="s">
        <v>1410</v>
      </c>
      <c r="B418" s="151" t="s">
        <v>1411</v>
      </c>
      <c r="C418" s="151"/>
      <c r="D418" s="151"/>
    </row>
    <row r="419" ht="14.0">
      <c r="A419" s="151" t="s">
        <v>1412</v>
      </c>
      <c r="B419" s="151">
        <v>53822.0</v>
      </c>
      <c r="C419" s="151">
        <v>240.0</v>
      </c>
      <c r="D419" s="151"/>
    </row>
    <row r="420" ht="14.0">
      <c r="A420" s="151" t="s">
        <v>1413</v>
      </c>
      <c r="B420" s="151">
        <v>53833.0</v>
      </c>
      <c r="C420" s="151">
        <v>240.0</v>
      </c>
      <c r="D420" s="151"/>
    </row>
    <row r="421" ht="14.0">
      <c r="A421" s="151" t="s">
        <v>1414</v>
      </c>
      <c r="B421" s="151">
        <v>53834.0</v>
      </c>
      <c r="C421" s="151">
        <v>240.0</v>
      </c>
      <c r="D421" s="151"/>
    </row>
    <row r="422" ht="14.0">
      <c r="A422" s="151" t="s">
        <v>1415</v>
      </c>
      <c r="B422" s="151">
        <v>53845.0</v>
      </c>
      <c r="C422" s="151">
        <v>240.0</v>
      </c>
      <c r="D422" s="151"/>
    </row>
    <row r="423" ht="14.0">
      <c r="A423" s="151" t="s">
        <v>1416</v>
      </c>
      <c r="B423" s="151">
        <v>53852.0</v>
      </c>
      <c r="C423" s="151">
        <v>240.0</v>
      </c>
      <c r="D423" s="151"/>
    </row>
    <row r="424" ht="14.0">
      <c r="A424" s="151" t="s">
        <v>1417</v>
      </c>
      <c r="B424" s="151" t="s">
        <v>1418</v>
      </c>
      <c r="C424" s="151"/>
      <c r="D424" s="151"/>
    </row>
    <row r="425" ht="14.0">
      <c r="A425" s="151" t="s">
        <v>1419</v>
      </c>
      <c r="B425" s="151">
        <v>40501.0</v>
      </c>
      <c r="C425" s="151"/>
      <c r="D425" s="151"/>
    </row>
    <row r="426" ht="14.0">
      <c r="A426" s="151" t="s">
        <v>1420</v>
      </c>
      <c r="B426" s="151">
        <v>40502.0</v>
      </c>
      <c r="C426" s="151"/>
      <c r="D426" s="151"/>
    </row>
    <row r="427" ht="14.0">
      <c r="A427" s="151" t="s">
        <v>1421</v>
      </c>
      <c r="B427" s="151">
        <v>40533.0</v>
      </c>
      <c r="C427" s="151"/>
      <c r="D427" s="151"/>
    </row>
    <row r="428" ht="14.0">
      <c r="A428" s="151" t="s">
        <v>1422</v>
      </c>
      <c r="B428" s="151">
        <v>40534.0</v>
      </c>
      <c r="C428" s="151"/>
      <c r="D428" s="151"/>
    </row>
    <row r="429" ht="14.0">
      <c r="A429" s="151" t="s">
        <v>1423</v>
      </c>
      <c r="B429" s="151">
        <v>40523.0</v>
      </c>
      <c r="C429" s="151"/>
      <c r="D429" s="151"/>
    </row>
    <row r="430" ht="14.0">
      <c r="A430" s="151" t="s">
        <v>1424</v>
      </c>
      <c r="B430" s="151">
        <v>40504.0</v>
      </c>
      <c r="C430" s="151">
        <v>240.0</v>
      </c>
      <c r="D430" s="151" t="s">
        <v>906</v>
      </c>
    </row>
    <row r="431" ht="14.0">
      <c r="A431" s="151" t="s">
        <v>1425</v>
      </c>
      <c r="B431" s="151">
        <v>40503.0</v>
      </c>
      <c r="C431" s="151"/>
      <c r="D431" s="151"/>
    </row>
    <row r="432" ht="14.0">
      <c r="A432" s="151" t="s">
        <v>1426</v>
      </c>
      <c r="B432" s="151" t="s">
        <v>1427</v>
      </c>
      <c r="C432" s="151"/>
      <c r="D432" s="151"/>
    </row>
    <row r="433" ht="14.0">
      <c r="A433" s="151" t="s">
        <v>1428</v>
      </c>
      <c r="B433" s="151" t="s">
        <v>1429</v>
      </c>
      <c r="C433" s="151"/>
      <c r="D433" s="151"/>
    </row>
    <row r="434" ht="14.0">
      <c r="A434" s="151" t="s">
        <v>1430</v>
      </c>
      <c r="B434" s="151">
        <v>43010.0</v>
      </c>
      <c r="C434" s="151"/>
      <c r="D434" s="151"/>
    </row>
    <row r="435" ht="14.0">
      <c r="A435" s="151" t="s">
        <v>1431</v>
      </c>
      <c r="B435" s="151">
        <v>43011.0</v>
      </c>
      <c r="C435" s="151"/>
      <c r="D435" s="151"/>
    </row>
    <row r="436" ht="14.0">
      <c r="A436" s="151" t="s">
        <v>1432</v>
      </c>
      <c r="B436" s="151">
        <v>43008.0</v>
      </c>
      <c r="C436" s="151"/>
      <c r="D436" s="151"/>
    </row>
    <row r="437" ht="14.0">
      <c r="A437" s="151" t="s">
        <v>1433</v>
      </c>
      <c r="B437" s="151">
        <v>43001.0</v>
      </c>
      <c r="C437" s="151"/>
      <c r="D437" s="151"/>
    </row>
    <row r="438" ht="14.0">
      <c r="A438" s="151" t="s">
        <v>1434</v>
      </c>
      <c r="B438" s="151">
        <v>43003.0</v>
      </c>
      <c r="C438" s="151"/>
      <c r="D438" s="151"/>
    </row>
    <row r="439" ht="14.0">
      <c r="A439" s="151" t="s">
        <v>1435</v>
      </c>
      <c r="B439" s="151">
        <v>43006.0</v>
      </c>
      <c r="C439" s="151"/>
      <c r="D439" s="151"/>
    </row>
    <row r="440" ht="14.0">
      <c r="A440" s="151" t="s">
        <v>1436</v>
      </c>
      <c r="B440" s="151">
        <v>43004.0</v>
      </c>
      <c r="C440" s="151"/>
      <c r="D440" s="151"/>
    </row>
    <row r="441" ht="14.0">
      <c r="A441" s="151" t="s">
        <v>1437</v>
      </c>
      <c r="B441" s="151">
        <v>43012.0</v>
      </c>
      <c r="C441" s="151"/>
      <c r="D441" s="151"/>
    </row>
    <row r="442" ht="14.0">
      <c r="A442" s="151" t="s">
        <v>1438</v>
      </c>
      <c r="B442" s="151" t="s">
        <v>1439</v>
      </c>
      <c r="C442" s="151"/>
      <c r="D442" s="151" t="s">
        <v>0</v>
      </c>
    </row>
    <row r="443" ht="14.0">
      <c r="A443" s="151" t="s">
        <v>1440</v>
      </c>
      <c r="B443" s="151" t="s">
        <v>1441</v>
      </c>
      <c r="C443" s="151"/>
      <c r="D443" s="151"/>
    </row>
    <row r="444" ht="14.0">
      <c r="A444" s="151" t="s">
        <v>1442</v>
      </c>
      <c r="B444" s="151">
        <v>41101.0</v>
      </c>
      <c r="C444" s="151"/>
      <c r="D444" s="151"/>
    </row>
    <row r="445" ht="14.0">
      <c r="A445" s="151" t="s">
        <v>1443</v>
      </c>
      <c r="B445" s="151">
        <v>41103.0</v>
      </c>
      <c r="C445" s="151"/>
      <c r="D445" s="151"/>
    </row>
    <row r="446" ht="14.0">
      <c r="A446" s="151" t="s">
        <v>1444</v>
      </c>
      <c r="B446" s="151">
        <v>41102.0</v>
      </c>
      <c r="C446" s="151"/>
      <c r="D446" s="151"/>
    </row>
    <row r="447" ht="14.0">
      <c r="A447" s="151" t="s">
        <v>1445</v>
      </c>
      <c r="B447" s="151">
        <v>41104.0</v>
      </c>
      <c r="C447" s="151"/>
      <c r="D447" s="151"/>
    </row>
    <row r="448" ht="14.0">
      <c r="A448" s="151" t="s">
        <v>1446</v>
      </c>
      <c r="B448" s="151" t="s">
        <v>1447</v>
      </c>
      <c r="C448" s="151"/>
      <c r="D448" s="151"/>
    </row>
    <row r="449" ht="14.0">
      <c r="A449" s="151" t="s">
        <v>1448</v>
      </c>
      <c r="B449" s="151" t="s">
        <v>1449</v>
      </c>
      <c r="C449" s="151"/>
      <c r="D449" s="151"/>
    </row>
    <row r="450" ht="14.0">
      <c r="A450" s="151" t="s">
        <v>1450</v>
      </c>
      <c r="B450" s="151">
        <v>41001.0</v>
      </c>
      <c r="C450" s="151"/>
      <c r="D450" s="151"/>
    </row>
    <row r="451" ht="14.0">
      <c r="A451" s="151" t="s">
        <v>1451</v>
      </c>
      <c r="B451" s="151">
        <v>41002.0</v>
      </c>
      <c r="C451" s="151"/>
      <c r="D451" s="151"/>
    </row>
    <row r="452" ht="14.0">
      <c r="A452" s="151" t="s">
        <v>1452</v>
      </c>
      <c r="B452" s="151">
        <v>41005.0</v>
      </c>
      <c r="C452" s="151"/>
      <c r="D452" s="151"/>
    </row>
    <row r="453" ht="14.0">
      <c r="A453" s="151" t="s">
        <v>1453</v>
      </c>
      <c r="B453" s="151">
        <v>41034.0</v>
      </c>
      <c r="C453" s="151"/>
      <c r="D453" s="151"/>
    </row>
    <row r="454" ht="14.0">
      <c r="A454" s="151" t="s">
        <v>1454</v>
      </c>
      <c r="B454" s="151">
        <v>41023.0</v>
      </c>
      <c r="C454" s="151"/>
      <c r="D454" s="151"/>
    </row>
    <row r="455" ht="14.0">
      <c r="A455" s="151" t="s">
        <v>1455</v>
      </c>
      <c r="B455" s="151">
        <v>41004.0</v>
      </c>
      <c r="C455" s="151"/>
      <c r="D455" s="151" t="s">
        <v>0</v>
      </c>
    </row>
    <row r="456" ht="14.0">
      <c r="A456" s="151" t="s">
        <v>1456</v>
      </c>
      <c r="B456" s="151">
        <v>41003.0</v>
      </c>
      <c r="C456" s="151"/>
      <c r="D456" s="151"/>
    </row>
    <row r="457" ht="14.0">
      <c r="A457" s="151" t="s">
        <v>1457</v>
      </c>
      <c r="B457" s="151" t="s">
        <v>1458</v>
      </c>
      <c r="C457" s="151"/>
      <c r="D457" s="151" t="s">
        <v>0</v>
      </c>
    </row>
    <row r="458" ht="14.0">
      <c r="A458" s="151" t="s">
        <v>1459</v>
      </c>
      <c r="B458" s="151" t="s">
        <v>1460</v>
      </c>
      <c r="C458" s="151"/>
      <c r="D458" s="151"/>
    </row>
    <row r="459" ht="14.0">
      <c r="A459" s="151" t="s">
        <v>1461</v>
      </c>
      <c r="B459" s="151" t="s">
        <v>1462</v>
      </c>
      <c r="C459" s="151"/>
      <c r="D459" s="151"/>
    </row>
    <row r="460" ht="14.0">
      <c r="A460" s="151" t="s">
        <v>1463</v>
      </c>
      <c r="B460" s="151" t="s">
        <v>1464</v>
      </c>
      <c r="C460" s="151"/>
      <c r="D460" s="151"/>
    </row>
    <row r="461" ht="14.0">
      <c r="A461" s="151" t="s">
        <v>1465</v>
      </c>
      <c r="B461" s="151" t="s">
        <v>1466</v>
      </c>
      <c r="C461" s="151"/>
      <c r="D461" s="151" t="s">
        <v>0</v>
      </c>
    </row>
    <row r="462" ht="14.0">
      <c r="A462" s="151" t="s">
        <v>1467</v>
      </c>
      <c r="B462" s="151" t="s">
        <v>1468</v>
      </c>
      <c r="C462" s="151">
        <v>200.0</v>
      </c>
      <c r="D462" s="151"/>
    </row>
    <row r="463" ht="14.0">
      <c r="A463" s="151" t="s">
        <v>1469</v>
      </c>
      <c r="B463" s="151" t="s">
        <v>1470</v>
      </c>
      <c r="C463" s="80">
        <v>1000.0</v>
      </c>
      <c r="D463" s="151" t="s">
        <v>0</v>
      </c>
    </row>
    <row r="464" ht="14.0">
      <c r="A464" s="151" t="s">
        <v>1471</v>
      </c>
      <c r="B464" s="151" t="s">
        <v>1472</v>
      </c>
      <c r="C464" s="80">
        <v>1000.0</v>
      </c>
      <c r="D464" s="151" t="s">
        <v>0</v>
      </c>
    </row>
    <row r="465" ht="14.0">
      <c r="A465" s="151" t="s">
        <v>1473</v>
      </c>
      <c r="B465" s="151" t="s">
        <v>1474</v>
      </c>
      <c r="C465" s="80">
        <v>1000.0</v>
      </c>
      <c r="D465" s="151" t="s">
        <v>0</v>
      </c>
    </row>
    <row r="466" ht="14.0">
      <c r="A466" s="151" t="s">
        <v>1475</v>
      </c>
      <c r="B466" s="151" t="s">
        <v>1476</v>
      </c>
      <c r="C466" s="80">
        <v>1000.0</v>
      </c>
      <c r="D466" s="151" t="s">
        <v>0</v>
      </c>
    </row>
    <row r="467" ht="14.0">
      <c r="A467" s="151" t="s">
        <v>1477</v>
      </c>
      <c r="B467" s="151" t="s">
        <v>1478</v>
      </c>
      <c r="C467" s="151">
        <v>150.0</v>
      </c>
      <c r="D467" s="151" t="s">
        <v>0</v>
      </c>
    </row>
    <row r="468" ht="14.0">
      <c r="A468" s="151" t="s">
        <v>1479</v>
      </c>
      <c r="B468" s="151" t="s">
        <v>1480</v>
      </c>
      <c r="C468" s="151">
        <v>150.0</v>
      </c>
      <c r="D468" s="151" t="s">
        <v>0</v>
      </c>
    </row>
    <row r="469" ht="14.0">
      <c r="A469" s="151" t="s">
        <v>1481</v>
      </c>
      <c r="B469" s="151" t="s">
        <v>1482</v>
      </c>
      <c r="C469" s="151"/>
      <c r="D469" s="151" t="s">
        <v>0</v>
      </c>
    </row>
    <row r="470" ht="14.0">
      <c r="A470" s="151" t="s">
        <v>1483</v>
      </c>
      <c r="B470" s="151" t="s">
        <v>1484</v>
      </c>
      <c r="C470" s="151"/>
      <c r="D470" s="151" t="s">
        <v>0</v>
      </c>
    </row>
    <row r="471" ht="14.0">
      <c r="A471" s="151" t="s">
        <v>1485</v>
      </c>
      <c r="B471" s="151" t="s">
        <v>1486</v>
      </c>
      <c r="C471" s="151"/>
      <c r="D471" s="151" t="s">
        <v>0</v>
      </c>
    </row>
    <row r="472" ht="14.0">
      <c r="A472" s="151" t="s">
        <v>1487</v>
      </c>
      <c r="B472" s="151" t="s">
        <v>1488</v>
      </c>
      <c r="C472" s="151"/>
      <c r="D472" s="151" t="s">
        <v>0</v>
      </c>
    </row>
    <row r="473" ht="14.0">
      <c r="A473" s="151" t="s">
        <v>1489</v>
      </c>
      <c r="B473" s="151" t="s">
        <v>1490</v>
      </c>
      <c r="C473" s="151"/>
      <c r="D473" s="151" t="s">
        <v>0</v>
      </c>
    </row>
    <row r="474" ht="14.0">
      <c r="A474" s="151" t="s">
        <v>1491</v>
      </c>
      <c r="B474" s="151" t="s">
        <v>1492</v>
      </c>
      <c r="C474" s="151"/>
      <c r="D474" s="151" t="s">
        <v>0</v>
      </c>
    </row>
    <row r="475" ht="14.0">
      <c r="A475" s="151" t="s">
        <v>1493</v>
      </c>
      <c r="B475" s="151" t="s">
        <v>1494</v>
      </c>
      <c r="C475" s="151"/>
      <c r="D475" s="151" t="s">
        <v>0</v>
      </c>
    </row>
    <row r="476" ht="14.0">
      <c r="A476" s="151" t="s">
        <v>1495</v>
      </c>
      <c r="B476" s="151" t="s">
        <v>1496</v>
      </c>
      <c r="C476" s="151"/>
      <c r="D476" s="151" t="s">
        <v>0</v>
      </c>
    </row>
    <row r="477" ht="14.0">
      <c r="A477" s="151" t="s">
        <v>1497</v>
      </c>
      <c r="B477" s="151" t="s">
        <v>1498</v>
      </c>
      <c r="C477" s="151"/>
      <c r="D477" s="151" t="s">
        <v>0</v>
      </c>
    </row>
    <row r="478" ht="14.0">
      <c r="A478" s="151" t="s">
        <v>1499</v>
      </c>
      <c r="B478" s="151" t="s">
        <v>1500</v>
      </c>
      <c r="C478" s="151"/>
      <c r="D478" s="151" t="s">
        <v>0</v>
      </c>
    </row>
    <row r="479" ht="14.0">
      <c r="A479" s="151" t="s">
        <v>1501</v>
      </c>
      <c r="B479" s="151" t="s">
        <v>1502</v>
      </c>
      <c r="C479" s="151"/>
      <c r="D479" s="151" t="s">
        <v>0</v>
      </c>
    </row>
    <row r="480" ht="14.0">
      <c r="A480" s="151" t="s">
        <v>1503</v>
      </c>
      <c r="B480" s="151" t="s">
        <v>1504</v>
      </c>
      <c r="C480" s="151">
        <v>5.0</v>
      </c>
      <c r="D480" s="151"/>
    </row>
    <row r="481" ht="14.0">
      <c r="A481" s="151" t="s">
        <v>1505</v>
      </c>
      <c r="B481" s="151" t="s">
        <v>1506</v>
      </c>
      <c r="C481" s="151">
        <v>5.0</v>
      </c>
      <c r="D481" s="151"/>
    </row>
    <row r="482" ht="14.0">
      <c r="A482" s="151" t="s">
        <v>1507</v>
      </c>
      <c r="B482" s="151" t="s">
        <v>1508</v>
      </c>
      <c r="C482" s="151">
        <v>5.0</v>
      </c>
      <c r="D482" s="151"/>
    </row>
    <row r="483" ht="14.0">
      <c r="A483" s="151" t="s">
        <v>1509</v>
      </c>
      <c r="B483" s="151" t="s">
        <v>1510</v>
      </c>
      <c r="C483" s="151">
        <v>5.0</v>
      </c>
      <c r="D483" s="151"/>
    </row>
    <row r="484" ht="14.0">
      <c r="A484" s="151" t="s">
        <v>1511</v>
      </c>
      <c r="B484" s="151" t="s">
        <v>1512</v>
      </c>
      <c r="C484" s="151">
        <v>5.0</v>
      </c>
      <c r="D484" s="151"/>
    </row>
    <row r="485" ht="14.0">
      <c r="A485" s="151" t="s">
        <v>1513</v>
      </c>
      <c r="B485" s="151" t="s">
        <v>1514</v>
      </c>
      <c r="C485" s="151">
        <v>5.0</v>
      </c>
      <c r="D485" s="151"/>
    </row>
    <row r="486" ht="14.0">
      <c r="A486" s="151" t="s">
        <v>1515</v>
      </c>
      <c r="B486" s="151" t="s">
        <v>1516</v>
      </c>
      <c r="C486" s="151">
        <v>5.0</v>
      </c>
      <c r="D486" s="151"/>
    </row>
    <row r="487" ht="14.0">
      <c r="A487" s="151" t="s">
        <v>1517</v>
      </c>
      <c r="B487" s="151" t="s">
        <v>1518</v>
      </c>
      <c r="C487" s="151">
        <v>5.0</v>
      </c>
      <c r="D487" s="151"/>
    </row>
    <row r="488" ht="14.0">
      <c r="A488" s="151" t="s">
        <v>1519</v>
      </c>
      <c r="B488" s="151" t="s">
        <v>1520</v>
      </c>
      <c r="C488" s="151">
        <v>5.0</v>
      </c>
      <c r="D488" s="151"/>
    </row>
    <row r="489" ht="14.0">
      <c r="A489" s="151" t="s">
        <v>1521</v>
      </c>
      <c r="B489" s="151" t="s">
        <v>1522</v>
      </c>
      <c r="C489" s="151">
        <v>5.0</v>
      </c>
      <c r="D489" s="151"/>
    </row>
    <row r="490" ht="14.0">
      <c r="A490" s="151" t="s">
        <v>1523</v>
      </c>
      <c r="B490" s="151" t="s">
        <v>1524</v>
      </c>
      <c r="C490" s="151">
        <v>5.0</v>
      </c>
      <c r="D490" s="151"/>
    </row>
    <row r="491" ht="14.0">
      <c r="A491" s="151" t="s">
        <v>1525</v>
      </c>
      <c r="B491" s="151" t="s">
        <v>1526</v>
      </c>
      <c r="C491" s="151">
        <v>5.0</v>
      </c>
      <c r="D491" s="151"/>
    </row>
    <row r="492" ht="14.0">
      <c r="A492" s="151" t="s">
        <v>1527</v>
      </c>
      <c r="B492" s="151" t="s">
        <v>1528</v>
      </c>
      <c r="C492" s="151">
        <v>5.0</v>
      </c>
      <c r="D492" s="151"/>
    </row>
    <row r="493" ht="14.0">
      <c r="A493" s="151" t="s">
        <v>1529</v>
      </c>
      <c r="B493" s="151" t="s">
        <v>1530</v>
      </c>
      <c r="C493" s="151">
        <v>5.0</v>
      </c>
      <c r="D493" s="151"/>
    </row>
    <row r="494" ht="14.0">
      <c r="A494" s="151" t="s">
        <v>1531</v>
      </c>
      <c r="B494" s="151" t="s">
        <v>1532</v>
      </c>
      <c r="C494" s="151">
        <v>5.0</v>
      </c>
      <c r="D494" s="151"/>
    </row>
    <row r="495" ht="14.0">
      <c r="A495" s="151" t="s">
        <v>1533</v>
      </c>
      <c r="B495" s="151" t="s">
        <v>1534</v>
      </c>
      <c r="C495" s="151">
        <v>5.0</v>
      </c>
      <c r="D495" s="151"/>
    </row>
    <row r="496" ht="14.0">
      <c r="A496" s="151" t="s">
        <v>1535</v>
      </c>
      <c r="B496" s="151" t="s">
        <v>1536</v>
      </c>
      <c r="C496" s="151">
        <v>5.0</v>
      </c>
      <c r="D496" s="151"/>
    </row>
    <row r="497" ht="14.0">
      <c r="A497" s="151" t="s">
        <v>1537</v>
      </c>
      <c r="B497" s="151" t="s">
        <v>1538</v>
      </c>
      <c r="C497" s="151">
        <v>5.0</v>
      </c>
      <c r="D497" s="151"/>
    </row>
    <row r="498" ht="14.0">
      <c r="A498" s="151" t="s">
        <v>1539</v>
      </c>
      <c r="B498" s="151" t="s">
        <v>1540</v>
      </c>
      <c r="C498" s="151">
        <v>5.0</v>
      </c>
      <c r="D498" s="151"/>
    </row>
    <row r="499" ht="14.0">
      <c r="A499" s="151" t="s">
        <v>1541</v>
      </c>
      <c r="B499" s="151" t="s">
        <v>1542</v>
      </c>
      <c r="C499" s="151">
        <v>5.0</v>
      </c>
      <c r="D499" s="151"/>
    </row>
    <row r="500" ht="14.0">
      <c r="A500" s="151" t="s">
        <v>1543</v>
      </c>
      <c r="B500" s="151" t="s">
        <v>1544</v>
      </c>
      <c r="C500" s="151">
        <v>5.0</v>
      </c>
      <c r="D500" s="151"/>
    </row>
    <row r="501" ht="14.0">
      <c r="A501" s="151" t="s">
        <v>1545</v>
      </c>
      <c r="B501" s="151" t="s">
        <v>1546</v>
      </c>
      <c r="C501" s="151">
        <v>5.0</v>
      </c>
      <c r="D501" s="151" t="s">
        <v>906</v>
      </c>
    </row>
    <row r="502" ht="14.0">
      <c r="A502" s="151" t="s">
        <v>1547</v>
      </c>
      <c r="B502" s="151" t="s">
        <v>1548</v>
      </c>
      <c r="C502" s="151">
        <v>5.0</v>
      </c>
      <c r="D502" s="151"/>
    </row>
    <row r="503" ht="14.0">
      <c r="A503" s="151" t="s">
        <v>1549</v>
      </c>
      <c r="B503" s="151" t="s">
        <v>1550</v>
      </c>
      <c r="C503" s="151">
        <v>5.0</v>
      </c>
      <c r="D503" s="151"/>
    </row>
    <row r="504" ht="14.0">
      <c r="A504" s="151" t="s">
        <v>1551</v>
      </c>
      <c r="B504" s="151" t="s">
        <v>1552</v>
      </c>
      <c r="C504" s="151">
        <v>5.0</v>
      </c>
      <c r="D504" s="151"/>
    </row>
    <row r="505" ht="14.0">
      <c r="A505" s="151" t="s">
        <v>1553</v>
      </c>
      <c r="B505" s="151" t="s">
        <v>1554</v>
      </c>
      <c r="C505" s="151">
        <v>5.0</v>
      </c>
      <c r="D505" s="151"/>
    </row>
    <row r="506" ht="14.0">
      <c r="A506" s="151" t="s">
        <v>1555</v>
      </c>
      <c r="B506" s="151" t="s">
        <v>1556</v>
      </c>
      <c r="C506" s="151">
        <v>5.0</v>
      </c>
      <c r="D506" s="151"/>
    </row>
    <row r="507" ht="14.0">
      <c r="A507" s="151" t="s">
        <v>1557</v>
      </c>
      <c r="B507" s="151" t="s">
        <v>1558</v>
      </c>
      <c r="C507" s="151">
        <v>5.0</v>
      </c>
      <c r="D507" s="151"/>
    </row>
    <row r="508" ht="14.0">
      <c r="A508" s="151" t="s">
        <v>1559</v>
      </c>
      <c r="B508" s="151" t="s">
        <v>1560</v>
      </c>
      <c r="C508" s="151">
        <v>5.0</v>
      </c>
      <c r="D508" s="151"/>
    </row>
    <row r="509" ht="14.0">
      <c r="A509" s="151" t="s">
        <v>1561</v>
      </c>
      <c r="B509" s="151" t="s">
        <v>1562</v>
      </c>
      <c r="C509" s="151">
        <v>5.0</v>
      </c>
      <c r="D509" s="151"/>
    </row>
    <row r="510" ht="14.0">
      <c r="A510" s="151" t="s">
        <v>1563</v>
      </c>
      <c r="B510" s="151" t="s">
        <v>1564</v>
      </c>
      <c r="C510" s="151">
        <v>5.0</v>
      </c>
      <c r="D510" s="151"/>
    </row>
    <row r="511" ht="14.0">
      <c r="A511" s="151" t="s">
        <v>1565</v>
      </c>
      <c r="B511" s="151" t="s">
        <v>1566</v>
      </c>
      <c r="C511" s="151">
        <v>5.0</v>
      </c>
      <c r="D511" s="151"/>
    </row>
    <row r="512" ht="14.0">
      <c r="A512" s="151" t="s">
        <v>1567</v>
      </c>
      <c r="B512" s="151" t="s">
        <v>1568</v>
      </c>
      <c r="C512" s="151">
        <v>5.0</v>
      </c>
      <c r="D512" s="151"/>
    </row>
    <row r="513" ht="14.0">
      <c r="A513" s="151" t="s">
        <v>1569</v>
      </c>
      <c r="B513" s="151" t="s">
        <v>1570</v>
      </c>
      <c r="C513" s="151">
        <v>5.0</v>
      </c>
      <c r="D513" s="151"/>
    </row>
    <row r="514" ht="14.0">
      <c r="A514" s="151" t="s">
        <v>1571</v>
      </c>
      <c r="B514" s="151" t="s">
        <v>1572</v>
      </c>
      <c r="C514" s="151">
        <v>5.0</v>
      </c>
      <c r="D514" s="151"/>
    </row>
    <row r="515" ht="14.0">
      <c r="A515" s="151" t="s">
        <v>1573</v>
      </c>
      <c r="B515" s="151" t="s">
        <v>1574</v>
      </c>
      <c r="C515" s="151">
        <v>5.0</v>
      </c>
      <c r="D515" s="151"/>
    </row>
    <row r="516" ht="14.0">
      <c r="A516" s="151" t="s">
        <v>1575</v>
      </c>
      <c r="B516" s="151" t="s">
        <v>1576</v>
      </c>
      <c r="C516" s="151">
        <v>5.0</v>
      </c>
      <c r="D516" s="151"/>
    </row>
    <row r="517" ht="14.0">
      <c r="A517" s="151" t="s">
        <v>1577</v>
      </c>
      <c r="B517" s="151" t="s">
        <v>1578</v>
      </c>
      <c r="C517" s="151">
        <v>5.0</v>
      </c>
      <c r="D517" s="151"/>
    </row>
    <row r="518" ht="14.0">
      <c r="A518" s="151" t="s">
        <v>1579</v>
      </c>
      <c r="B518" s="151" t="s">
        <v>1580</v>
      </c>
      <c r="C518" s="151">
        <v>5.0</v>
      </c>
      <c r="D518" s="151"/>
    </row>
    <row r="519" ht="14.0">
      <c r="A519" s="151" t="s">
        <v>1581</v>
      </c>
      <c r="B519" s="151" t="s">
        <v>1582</v>
      </c>
      <c r="C519" s="151">
        <v>5.0</v>
      </c>
      <c r="D519" s="151"/>
    </row>
    <row r="520" ht="14.0">
      <c r="A520" s="151" t="s">
        <v>1583</v>
      </c>
      <c r="B520" s="151" t="s">
        <v>1584</v>
      </c>
      <c r="C520" s="151">
        <v>5.0</v>
      </c>
      <c r="D520" s="151"/>
    </row>
    <row r="521" ht="14.0">
      <c r="A521" s="151" t="s">
        <v>1585</v>
      </c>
      <c r="B521" s="151" t="s">
        <v>1586</v>
      </c>
      <c r="C521" s="151">
        <v>5.0</v>
      </c>
      <c r="D521" s="151"/>
    </row>
    <row r="522" ht="14.0">
      <c r="A522" s="151" t="s">
        <v>1587</v>
      </c>
      <c r="B522" s="151" t="s">
        <v>1588</v>
      </c>
      <c r="C522" s="151">
        <v>5.0</v>
      </c>
      <c r="D522" s="151"/>
    </row>
    <row r="523" ht="14.0">
      <c r="A523" s="151" t="s">
        <v>1589</v>
      </c>
      <c r="B523" s="151" t="s">
        <v>1590</v>
      </c>
      <c r="C523" s="151">
        <v>5.0</v>
      </c>
      <c r="D523" s="151"/>
    </row>
    <row r="524" ht="14.0">
      <c r="A524" s="151" t="s">
        <v>1591</v>
      </c>
      <c r="B524" s="151" t="s">
        <v>1592</v>
      </c>
      <c r="C524" s="151">
        <v>5.0</v>
      </c>
      <c r="D524" s="151"/>
    </row>
    <row r="525" ht="14.0">
      <c r="A525" s="151" t="s">
        <v>1593</v>
      </c>
      <c r="B525" s="151" t="s">
        <v>1594</v>
      </c>
      <c r="C525" s="151">
        <v>5.0</v>
      </c>
      <c r="D525" s="151"/>
    </row>
    <row r="526" ht="14.0">
      <c r="A526" s="151" t="s">
        <v>1595</v>
      </c>
      <c r="B526" s="151" t="s">
        <v>1596</v>
      </c>
      <c r="C526" s="151">
        <v>5.0</v>
      </c>
      <c r="D526" s="151"/>
    </row>
    <row r="527" ht="14.0">
      <c r="A527" s="151" t="s">
        <v>1597</v>
      </c>
      <c r="B527" s="151" t="s">
        <v>1598</v>
      </c>
      <c r="C527" s="151">
        <v>5.0</v>
      </c>
      <c r="D527" s="151"/>
    </row>
    <row r="528" ht="14.0">
      <c r="A528" s="151" t="s">
        <v>1599</v>
      </c>
      <c r="B528" s="151" t="s">
        <v>1600</v>
      </c>
      <c r="C528" s="151">
        <v>5.0</v>
      </c>
      <c r="D528" s="151"/>
    </row>
    <row r="529" ht="14.0">
      <c r="A529" s="151" t="s">
        <v>1601</v>
      </c>
      <c r="B529" s="151" t="s">
        <v>1602</v>
      </c>
      <c r="C529" s="151">
        <v>5.0</v>
      </c>
      <c r="D529" s="151"/>
    </row>
    <row r="530" ht="14.0">
      <c r="A530" s="151" t="s">
        <v>1603</v>
      </c>
      <c r="B530" s="151" t="s">
        <v>1604</v>
      </c>
      <c r="C530" s="151">
        <v>5.0</v>
      </c>
      <c r="D530" s="151"/>
    </row>
    <row r="531" ht="14.0">
      <c r="A531" s="151" t="s">
        <v>1605</v>
      </c>
      <c r="B531" s="151" t="s">
        <v>1606</v>
      </c>
      <c r="C531" s="151">
        <v>5.0</v>
      </c>
      <c r="D531" s="151"/>
    </row>
    <row r="532" ht="14.0">
      <c r="A532" s="151" t="s">
        <v>1607</v>
      </c>
      <c r="B532" s="151" t="s">
        <v>1608</v>
      </c>
      <c r="C532" s="151">
        <v>5.0</v>
      </c>
      <c r="D532" s="151" t="s">
        <v>906</v>
      </c>
    </row>
    <row r="533" ht="14.0">
      <c r="A533" s="151" t="s">
        <v>1609</v>
      </c>
      <c r="B533" s="151" t="s">
        <v>1610</v>
      </c>
      <c r="C533" s="151">
        <v>5.0</v>
      </c>
      <c r="D533" s="151" t="s">
        <v>906</v>
      </c>
    </row>
    <row r="534" ht="14.0">
      <c r="A534" s="151" t="s">
        <v>1611</v>
      </c>
      <c r="B534" s="151" t="s">
        <v>1612</v>
      </c>
      <c r="C534" s="151">
        <v>5.0</v>
      </c>
      <c r="D534" s="151"/>
    </row>
    <row r="535" ht="14.0">
      <c r="A535" s="151" t="s">
        <v>1613</v>
      </c>
      <c r="B535" s="151" t="s">
        <v>1614</v>
      </c>
      <c r="C535" s="151">
        <v>5.0</v>
      </c>
      <c r="D535" s="151" t="s">
        <v>906</v>
      </c>
    </row>
    <row r="536" ht="14.0">
      <c r="A536" s="151" t="s">
        <v>1615</v>
      </c>
      <c r="B536" s="151" t="s">
        <v>1616</v>
      </c>
      <c r="C536" s="151">
        <v>5.0</v>
      </c>
      <c r="D536" s="151"/>
    </row>
    <row r="537" ht="14.0">
      <c r="A537" s="151" t="s">
        <v>1617</v>
      </c>
      <c r="B537" s="151" t="s">
        <v>1618</v>
      </c>
      <c r="C537" s="151">
        <v>5.0</v>
      </c>
      <c r="D537" s="151" t="s">
        <v>906</v>
      </c>
    </row>
    <row r="538" ht="14.0">
      <c r="A538" s="151" t="s">
        <v>1619</v>
      </c>
      <c r="B538" s="151" t="s">
        <v>1620</v>
      </c>
      <c r="C538" s="151">
        <v>5.0</v>
      </c>
      <c r="D538" s="151"/>
    </row>
    <row r="539" ht="14.0">
      <c r="A539" s="151" t="s">
        <v>1621</v>
      </c>
      <c r="B539" s="151" t="s">
        <v>1622</v>
      </c>
      <c r="C539" s="151">
        <v>5.0</v>
      </c>
      <c r="D539" s="151"/>
    </row>
    <row r="540" ht="14.0">
      <c r="A540" s="151" t="s">
        <v>1623</v>
      </c>
      <c r="B540" s="151" t="s">
        <v>1624</v>
      </c>
      <c r="C540" s="151">
        <v>5.0</v>
      </c>
      <c r="D540" s="151"/>
    </row>
    <row r="541" ht="14.0">
      <c r="A541" s="151" t="s">
        <v>1625</v>
      </c>
      <c r="B541" s="151" t="s">
        <v>1626</v>
      </c>
      <c r="C541" s="151">
        <v>5.0</v>
      </c>
      <c r="D541" s="151"/>
    </row>
    <row r="542" ht="14.0">
      <c r="A542" s="151" t="s">
        <v>1627</v>
      </c>
      <c r="B542" s="151" t="s">
        <v>1628</v>
      </c>
      <c r="C542" s="151"/>
      <c r="D542" s="151" t="s">
        <v>0</v>
      </c>
    </row>
    <row r="543" ht="14.0">
      <c r="A543" s="151" t="s">
        <v>1629</v>
      </c>
      <c r="B543" s="151" t="s">
        <v>1630</v>
      </c>
      <c r="C543" s="80">
        <v>1100.0</v>
      </c>
      <c r="D543" s="151"/>
    </row>
    <row r="544" ht="14.0">
      <c r="A544" s="151" t="s">
        <v>1631</v>
      </c>
      <c r="B544" s="151" t="s">
        <v>1632</v>
      </c>
      <c r="C544" s="151">
        <v>504.0</v>
      </c>
      <c r="D544" s="151" t="s">
        <v>0</v>
      </c>
    </row>
    <row r="545" ht="14.0">
      <c r="A545" s="151" t="s">
        <v>1633</v>
      </c>
      <c r="B545" s="151" t="s">
        <v>1634</v>
      </c>
      <c r="C545" s="151">
        <v>504.0</v>
      </c>
      <c r="D545" s="151" t="s">
        <v>0</v>
      </c>
    </row>
    <row r="546" ht="14.0">
      <c r="A546" s="151" t="s">
        <v>1635</v>
      </c>
      <c r="B546" s="151" t="s">
        <v>1636</v>
      </c>
      <c r="C546" s="151">
        <v>504.0</v>
      </c>
      <c r="D546" s="151" t="s">
        <v>0</v>
      </c>
    </row>
    <row r="547" ht="14.0">
      <c r="A547" s="151" t="s">
        <v>1637</v>
      </c>
      <c r="B547" s="151" t="s">
        <v>1638</v>
      </c>
      <c r="C547" s="151">
        <v>504.0</v>
      </c>
      <c r="D547" s="151" t="s">
        <v>0</v>
      </c>
    </row>
    <row r="548" ht="14.0">
      <c r="A548" s="151" t="s">
        <v>1639</v>
      </c>
      <c r="B548" s="151" t="s">
        <v>1640</v>
      </c>
      <c r="C548" s="151">
        <v>504.0</v>
      </c>
      <c r="D548" s="151" t="s">
        <v>0</v>
      </c>
    </row>
    <row r="549" ht="14.0">
      <c r="A549" s="151" t="s">
        <v>1641</v>
      </c>
      <c r="B549" s="151" t="s">
        <v>1642</v>
      </c>
      <c r="C549" s="151">
        <v>504.0</v>
      </c>
      <c r="D549" s="151" t="s">
        <v>0</v>
      </c>
    </row>
    <row r="550" ht="14.0">
      <c r="A550" s="151" t="s">
        <v>1643</v>
      </c>
      <c r="B550" s="151" t="s">
        <v>1644</v>
      </c>
      <c r="C550" s="151">
        <v>504.0</v>
      </c>
      <c r="D550" s="151" t="s">
        <v>0</v>
      </c>
    </row>
    <row r="551" ht="14.0">
      <c r="A551" s="151" t="s">
        <v>1645</v>
      </c>
      <c r="B551" s="151" t="s">
        <v>1646</v>
      </c>
      <c r="C551" s="151">
        <v>504.0</v>
      </c>
      <c r="D551" s="151" t="s">
        <v>0</v>
      </c>
    </row>
    <row r="552" ht="14.0">
      <c r="A552" s="151" t="s">
        <v>1647</v>
      </c>
      <c r="B552" s="151" t="s">
        <v>1648</v>
      </c>
      <c r="C552" s="151">
        <v>504.0</v>
      </c>
      <c r="D552" s="151" t="s">
        <v>0</v>
      </c>
    </row>
    <row r="553" ht="14.0">
      <c r="A553" s="151" t="s">
        <v>1649</v>
      </c>
      <c r="B553" s="151" t="s">
        <v>1650</v>
      </c>
      <c r="C553" s="151">
        <v>504.0</v>
      </c>
      <c r="D553" s="151" t="s">
        <v>0</v>
      </c>
    </row>
    <row r="554" ht="14.0">
      <c r="A554" s="151" t="s">
        <v>1651</v>
      </c>
      <c r="B554" s="151" t="s">
        <v>1652</v>
      </c>
      <c r="C554" s="151">
        <v>504.0</v>
      </c>
      <c r="D554" s="151" t="s">
        <v>0</v>
      </c>
    </row>
    <row r="555" ht="14.0">
      <c r="A555" s="151" t="s">
        <v>1653</v>
      </c>
      <c r="B555" s="151" t="s">
        <v>1654</v>
      </c>
      <c r="C555" s="151">
        <v>504.0</v>
      </c>
      <c r="D555" s="151" t="s">
        <v>0</v>
      </c>
    </row>
    <row r="556" ht="14.0">
      <c r="A556" s="151" t="s">
        <v>1655</v>
      </c>
      <c r="B556" s="151" t="s">
        <v>1656</v>
      </c>
      <c r="C556" s="151">
        <v>504.0</v>
      </c>
      <c r="D556" s="151" t="s">
        <v>0</v>
      </c>
    </row>
    <row r="557" ht="14.0">
      <c r="A557" s="151" t="s">
        <v>1657</v>
      </c>
      <c r="B557" s="151" t="s">
        <v>1658</v>
      </c>
      <c r="C557" s="151">
        <v>504.0</v>
      </c>
      <c r="D557" s="151" t="s">
        <v>0</v>
      </c>
    </row>
    <row r="558" ht="14.0">
      <c r="A558" s="151" t="s">
        <v>1659</v>
      </c>
      <c r="B558" s="151" t="s">
        <v>1660</v>
      </c>
      <c r="C558" s="151">
        <v>504.0</v>
      </c>
      <c r="D558" s="151" t="s">
        <v>0</v>
      </c>
    </row>
    <row r="559" ht="14.0">
      <c r="A559" s="151" t="s">
        <v>1661</v>
      </c>
      <c r="B559" s="151" t="s">
        <v>1662</v>
      </c>
      <c r="C559" s="151">
        <v>504.0</v>
      </c>
      <c r="D559" s="151" t="s">
        <v>0</v>
      </c>
    </row>
    <row r="560" ht="14.0">
      <c r="A560" s="151" t="s">
        <v>1663</v>
      </c>
      <c r="B560" s="151" t="s">
        <v>1664</v>
      </c>
      <c r="C560" s="151">
        <v>504.0</v>
      </c>
      <c r="D560" s="151" t="s">
        <v>0</v>
      </c>
    </row>
    <row r="561" ht="14.0">
      <c r="A561" s="151" t="s">
        <v>1665</v>
      </c>
      <c r="B561" s="151" t="s">
        <v>1666</v>
      </c>
      <c r="C561" s="151">
        <v>504.0</v>
      </c>
      <c r="D561" s="151" t="s">
        <v>0</v>
      </c>
    </row>
    <row r="562" ht="14.0">
      <c r="A562" s="151" t="s">
        <v>1667</v>
      </c>
      <c r="B562" s="151" t="s">
        <v>1668</v>
      </c>
      <c r="C562" s="151"/>
      <c r="D562" s="151" t="s">
        <v>0</v>
      </c>
    </row>
    <row r="563" ht="14.0">
      <c r="A563" s="151" t="s">
        <v>1669</v>
      </c>
      <c r="B563" s="151" t="s">
        <v>1670</v>
      </c>
      <c r="C563" s="151"/>
      <c r="D563" s="151" t="s">
        <v>0</v>
      </c>
    </row>
    <row r="564" ht="14.0">
      <c r="A564" s="151" t="s">
        <v>1671</v>
      </c>
      <c r="B564" s="151" t="s">
        <v>1672</v>
      </c>
      <c r="C564" s="151"/>
      <c r="D564" s="151" t="s">
        <v>906</v>
      </c>
    </row>
    <row r="565" ht="14.0">
      <c r="A565" s="151" t="s">
        <v>1673</v>
      </c>
      <c r="B565" s="151" t="s">
        <v>1674</v>
      </c>
      <c r="C565" s="80">
        <v>1008.0</v>
      </c>
      <c r="D565" s="151" t="s">
        <v>0</v>
      </c>
    </row>
    <row r="566" ht="14.0">
      <c r="A566" s="151" t="s">
        <v>1675</v>
      </c>
      <c r="B566" s="151" t="s">
        <v>1676</v>
      </c>
      <c r="C566" s="151"/>
      <c r="D566" s="151" t="s">
        <v>0</v>
      </c>
    </row>
    <row r="567" ht="14.0">
      <c r="A567" s="151" t="s">
        <v>1677</v>
      </c>
      <c r="B567" s="151" t="s">
        <v>1678</v>
      </c>
      <c r="C567" s="151"/>
      <c r="D567" s="151" t="s">
        <v>0</v>
      </c>
    </row>
    <row r="568" ht="14.0">
      <c r="A568" s="151" t="s">
        <v>1679</v>
      </c>
      <c r="B568" s="151" t="s">
        <v>1680</v>
      </c>
      <c r="C568" s="151"/>
      <c r="D568" s="151" t="s">
        <v>0</v>
      </c>
    </row>
    <row r="569" ht="14.0">
      <c r="A569" s="151" t="s">
        <v>1681</v>
      </c>
      <c r="B569" s="151" t="s">
        <v>1682</v>
      </c>
      <c r="C569" s="151"/>
      <c r="D569" s="151" t="s">
        <v>0</v>
      </c>
    </row>
    <row r="570" ht="14.0">
      <c r="A570" s="151" t="s">
        <v>1683</v>
      </c>
      <c r="B570" s="151" t="s">
        <v>1684</v>
      </c>
      <c r="C570" s="151"/>
      <c r="D570" s="151" t="s">
        <v>0</v>
      </c>
    </row>
    <row r="571" ht="14.0">
      <c r="A571" s="151" t="s">
        <v>1685</v>
      </c>
      <c r="B571" s="151" t="s">
        <v>1686</v>
      </c>
      <c r="C571" s="151">
        <v>200.0</v>
      </c>
      <c r="D571" s="151" t="s">
        <v>0</v>
      </c>
    </row>
    <row r="572" ht="14.0">
      <c r="A572" s="151" t="s">
        <v>1687</v>
      </c>
      <c r="B572" s="151" t="s">
        <v>1688</v>
      </c>
      <c r="C572" s="151">
        <v>200.0</v>
      </c>
      <c r="D572" s="151"/>
    </row>
    <row r="573" ht="14.0">
      <c r="A573" s="151" t="s">
        <v>1689</v>
      </c>
      <c r="B573" s="151" t="s">
        <v>1690</v>
      </c>
      <c r="C573" s="151">
        <v>200.0</v>
      </c>
      <c r="D573" s="151"/>
    </row>
    <row r="574" ht="14.0">
      <c r="A574" s="151" t="s">
        <v>1691</v>
      </c>
      <c r="B574" s="151" t="s">
        <v>1692</v>
      </c>
      <c r="C574" s="151">
        <v>200.0</v>
      </c>
      <c r="D574" s="151"/>
    </row>
    <row r="575" ht="14.0">
      <c r="A575" s="151" t="s">
        <v>1693</v>
      </c>
      <c r="B575" s="151" t="s">
        <v>1694</v>
      </c>
      <c r="C575" s="151"/>
      <c r="D575" s="151" t="s">
        <v>0</v>
      </c>
    </row>
    <row r="576" ht="14.0">
      <c r="A576" s="151" t="s">
        <v>1695</v>
      </c>
      <c r="B576" s="151" t="s">
        <v>1696</v>
      </c>
      <c r="C576" s="151"/>
      <c r="D576" s="151" t="s">
        <v>0</v>
      </c>
    </row>
    <row r="577" ht="14.0">
      <c r="A577" s="151" t="s">
        <v>1697</v>
      </c>
      <c r="B577" s="151" t="s">
        <v>1698</v>
      </c>
      <c r="C577" s="151">
        <v>500.0</v>
      </c>
      <c r="D577" s="151" t="s">
        <v>0</v>
      </c>
    </row>
    <row r="578" ht="14.0">
      <c r="A578" s="151" t="s">
        <v>1699</v>
      </c>
      <c r="B578" s="151" t="s">
        <v>1700</v>
      </c>
      <c r="C578" s="151"/>
      <c r="D578" s="151" t="s">
        <v>0</v>
      </c>
    </row>
    <row r="579" ht="14.0">
      <c r="A579" s="151" t="s">
        <v>1701</v>
      </c>
      <c r="B579" s="151" t="s">
        <v>1702</v>
      </c>
      <c r="C579" s="151">
        <v>500.0</v>
      </c>
      <c r="D579" s="151" t="s">
        <v>0</v>
      </c>
    </row>
    <row r="580" ht="14.0">
      <c r="A580" s="151" t="s">
        <v>438</v>
      </c>
      <c r="B580" s="151" t="s">
        <v>439</v>
      </c>
      <c r="C580" s="80">
        <v>1000.0</v>
      </c>
      <c r="D580" s="151" t="s">
        <v>0</v>
      </c>
    </row>
    <row r="581" ht="14.0">
      <c r="A581" s="151" t="s">
        <v>432</v>
      </c>
      <c r="B581" s="151" t="s">
        <v>433</v>
      </c>
      <c r="C581" s="80">
        <v>1000.0</v>
      </c>
      <c r="D581" s="151" t="s">
        <v>0</v>
      </c>
    </row>
    <row r="582" ht="14.0">
      <c r="A582" s="151" t="s">
        <v>434</v>
      </c>
      <c r="B582" s="151" t="s">
        <v>435</v>
      </c>
      <c r="C582" s="80">
        <v>1000.0</v>
      </c>
      <c r="D582" s="151" t="s">
        <v>0</v>
      </c>
    </row>
    <row r="583" ht="14.0">
      <c r="A583" s="151" t="s">
        <v>430</v>
      </c>
      <c r="B583" s="151" t="s">
        <v>431</v>
      </c>
      <c r="C583" s="80">
        <v>1000.0</v>
      </c>
      <c r="D583" s="151" t="s">
        <v>0</v>
      </c>
    </row>
    <row r="584" ht="14.0">
      <c r="A584" s="151" t="s">
        <v>428</v>
      </c>
      <c r="B584" s="151" t="s">
        <v>429</v>
      </c>
      <c r="C584" s="80">
        <v>1000.0</v>
      </c>
      <c r="D584" s="151" t="s">
        <v>0</v>
      </c>
    </row>
    <row r="585" ht="14.0">
      <c r="A585" s="151" t="s">
        <v>446</v>
      </c>
      <c r="B585" s="151" t="s">
        <v>447</v>
      </c>
      <c r="C585" s="80">
        <v>1000.0</v>
      </c>
      <c r="D585" s="151" t="s">
        <v>0</v>
      </c>
    </row>
    <row r="586" ht="14.0">
      <c r="A586" s="151" t="s">
        <v>440</v>
      </c>
      <c r="B586" s="151" t="s">
        <v>441</v>
      </c>
      <c r="C586" s="80">
        <v>1000.0</v>
      </c>
      <c r="D586" s="151" t="s">
        <v>0</v>
      </c>
    </row>
    <row r="587" ht="14.0">
      <c r="A587" s="151" t="s">
        <v>448</v>
      </c>
      <c r="B587" s="151" t="s">
        <v>449</v>
      </c>
      <c r="C587" s="80">
        <v>1000.0</v>
      </c>
      <c r="D587" s="151" t="s">
        <v>0</v>
      </c>
    </row>
    <row r="588" ht="14.0">
      <c r="A588" s="151" t="s">
        <v>1703</v>
      </c>
      <c r="B588" s="151" t="s">
        <v>1704</v>
      </c>
      <c r="C588" s="151">
        <v>10.0</v>
      </c>
      <c r="D588" s="151"/>
    </row>
    <row r="589" ht="14.0">
      <c r="A589" s="151" t="s">
        <v>652</v>
      </c>
      <c r="B589" s="151" t="s">
        <v>653</v>
      </c>
      <c r="C589" s="80">
        <v>1002.0</v>
      </c>
      <c r="D589" s="151"/>
    </row>
    <row r="590" ht="14.0">
      <c r="A590" s="151" t="s">
        <v>650</v>
      </c>
      <c r="B590" s="151" t="s">
        <v>651</v>
      </c>
      <c r="C590" s="80">
        <v>1002.0</v>
      </c>
      <c r="D590" s="151"/>
    </row>
    <row r="591" ht="14.0">
      <c r="A591" s="151" t="s">
        <v>656</v>
      </c>
      <c r="B591" s="151" t="s">
        <v>657</v>
      </c>
      <c r="C591" s="80">
        <v>1002.0</v>
      </c>
      <c r="D591" s="151"/>
    </row>
    <row r="592" ht="14.0">
      <c r="A592" s="151" t="s">
        <v>648</v>
      </c>
      <c r="B592" s="151" t="s">
        <v>649</v>
      </c>
      <c r="C592" s="80">
        <v>1002.0</v>
      </c>
      <c r="D592" s="151"/>
    </row>
    <row r="593" ht="14.0">
      <c r="A593" s="151" t="s">
        <v>654</v>
      </c>
      <c r="B593" s="151" t="s">
        <v>655</v>
      </c>
      <c r="C593" s="80">
        <v>1002.0</v>
      </c>
      <c r="D593" s="151"/>
    </row>
    <row r="594" ht="14.0">
      <c r="A594" s="151" t="s">
        <v>658</v>
      </c>
      <c r="B594" s="151" t="s">
        <v>659</v>
      </c>
      <c r="C594" s="80">
        <v>1002.0</v>
      </c>
      <c r="D594" s="151"/>
    </row>
    <row r="595" ht="14.0">
      <c r="A595" s="151" t="s">
        <v>678</v>
      </c>
      <c r="B595" s="151" t="s">
        <v>679</v>
      </c>
      <c r="C595" s="151"/>
      <c r="D595" s="151"/>
    </row>
    <row r="596" ht="14.0">
      <c r="A596" s="151" t="s">
        <v>1705</v>
      </c>
      <c r="B596" s="151" t="s">
        <v>1706</v>
      </c>
      <c r="C596" s="151"/>
      <c r="D596" s="151" t="s">
        <v>0</v>
      </c>
    </row>
    <row r="597" ht="14.0">
      <c r="A597" s="151" t="s">
        <v>1707</v>
      </c>
      <c r="B597" s="151" t="s">
        <v>1708</v>
      </c>
      <c r="C597" s="151">
        <v>200.0</v>
      </c>
      <c r="D597" s="151"/>
    </row>
    <row r="598" ht="14.0">
      <c r="A598" s="151" t="s">
        <v>1709</v>
      </c>
      <c r="B598" s="151" t="s">
        <v>1710</v>
      </c>
      <c r="C598" s="151">
        <v>308.0</v>
      </c>
      <c r="D598" s="151"/>
    </row>
    <row r="599" ht="14.0">
      <c r="A599" s="151" t="s">
        <v>1711</v>
      </c>
      <c r="B599" s="151" t="s">
        <v>1712</v>
      </c>
      <c r="C599" s="151">
        <v>308.0</v>
      </c>
      <c r="D599" s="151"/>
    </row>
    <row r="600" ht="14.0">
      <c r="A600" s="151" t="s">
        <v>1713</v>
      </c>
      <c r="B600" s="151" t="s">
        <v>1714</v>
      </c>
      <c r="C600" s="151">
        <v>200.0</v>
      </c>
      <c r="D600" s="151"/>
    </row>
    <row r="601" ht="14.0">
      <c r="A601" s="151" t="s">
        <v>1715</v>
      </c>
      <c r="B601" s="151" t="s">
        <v>1716</v>
      </c>
      <c r="C601" s="151">
        <v>120.0</v>
      </c>
      <c r="D601" s="151"/>
    </row>
    <row r="602" ht="14.0">
      <c r="A602" s="151" t="s">
        <v>1717</v>
      </c>
      <c r="B602" s="151" t="s">
        <v>1718</v>
      </c>
      <c r="C602" s="151">
        <v>120.0</v>
      </c>
      <c r="D602" s="151"/>
    </row>
    <row r="603" ht="14.0">
      <c r="A603" s="151" t="s">
        <v>1719</v>
      </c>
      <c r="B603" s="151" t="s">
        <v>1720</v>
      </c>
      <c r="C603" s="151"/>
      <c r="D603" s="151"/>
    </row>
    <row r="604" ht="14.0">
      <c r="A604" s="151" t="s">
        <v>1721</v>
      </c>
      <c r="B604" s="151" t="s">
        <v>1722</v>
      </c>
      <c r="C604" s="151"/>
      <c r="D604" s="151"/>
    </row>
    <row r="605" ht="14.0">
      <c r="A605" s="151" t="s">
        <v>1723</v>
      </c>
      <c r="B605" s="151" t="s">
        <v>1724</v>
      </c>
      <c r="C605" s="151">
        <v>500.0</v>
      </c>
      <c r="D605" s="151"/>
    </row>
    <row r="606" ht="14.0">
      <c r="A606" s="151" t="s">
        <v>1725</v>
      </c>
      <c r="B606" s="151" t="s">
        <v>692</v>
      </c>
      <c r="C606" s="151">
        <v>500.0</v>
      </c>
      <c r="D606" s="151"/>
    </row>
    <row r="607" ht="14.0">
      <c r="A607" s="151" t="s">
        <v>1726</v>
      </c>
      <c r="B607" s="151" t="s">
        <v>690</v>
      </c>
      <c r="C607" s="151">
        <v>500.0</v>
      </c>
      <c r="D607" s="151"/>
    </row>
    <row r="608" ht="14.0">
      <c r="A608" s="151" t="s">
        <v>1727</v>
      </c>
      <c r="B608" s="151" t="s">
        <v>694</v>
      </c>
      <c r="C608" s="151">
        <v>500.0</v>
      </c>
      <c r="D608" s="151"/>
    </row>
    <row r="609" ht="14.0">
      <c r="A609" s="151" t="s">
        <v>742</v>
      </c>
      <c r="B609" s="151" t="s">
        <v>743</v>
      </c>
      <c r="C609" s="151">
        <v>500.0</v>
      </c>
      <c r="D609" s="151"/>
    </row>
    <row r="610" ht="14.0">
      <c r="A610" s="151" t="s">
        <v>740</v>
      </c>
      <c r="B610" s="151" t="s">
        <v>741</v>
      </c>
      <c r="C610" s="151">
        <v>500.0</v>
      </c>
      <c r="D610" s="151"/>
    </row>
    <row r="611" ht="14.0">
      <c r="A611" s="151" t="s">
        <v>1728</v>
      </c>
      <c r="B611" s="151" t="s">
        <v>1729</v>
      </c>
      <c r="C611" s="151">
        <v>500.0</v>
      </c>
      <c r="D611" s="151"/>
    </row>
    <row r="612" ht="14.0">
      <c r="A612" s="151" t="s">
        <v>695</v>
      </c>
      <c r="B612" s="151" t="s">
        <v>696</v>
      </c>
      <c r="C612" s="151">
        <v>500.0</v>
      </c>
      <c r="D612" s="151"/>
    </row>
    <row r="613" ht="14.0">
      <c r="A613" s="151" t="s">
        <v>697</v>
      </c>
      <c r="B613" s="151" t="s">
        <v>698</v>
      </c>
      <c r="C613" s="151">
        <v>500.0</v>
      </c>
      <c r="D613" s="151"/>
    </row>
    <row r="614" ht="14.0">
      <c r="A614" s="151" t="s">
        <v>1730</v>
      </c>
      <c r="B614" s="151" t="s">
        <v>1731</v>
      </c>
      <c r="C614" s="151"/>
      <c r="D614" s="151" t="s">
        <v>0</v>
      </c>
    </row>
    <row r="615" ht="14.0">
      <c r="A615" s="151" t="s">
        <v>1732</v>
      </c>
      <c r="B615" s="151" t="s">
        <v>1733</v>
      </c>
      <c r="C615" s="151"/>
      <c r="D615" s="151" t="s">
        <v>0</v>
      </c>
    </row>
    <row r="616" ht="14.0">
      <c r="A616" s="151" t="s">
        <v>1734</v>
      </c>
      <c r="B616" s="151" t="s">
        <v>1735</v>
      </c>
      <c r="C616" s="151"/>
      <c r="D616" s="151" t="s">
        <v>0</v>
      </c>
    </row>
    <row r="617" ht="14.0">
      <c r="A617" s="151" t="s">
        <v>1736</v>
      </c>
      <c r="B617" s="151" t="s">
        <v>1737</v>
      </c>
      <c r="C617" s="151"/>
      <c r="D617" s="151" t="s">
        <v>0</v>
      </c>
    </row>
    <row r="618" ht="14.0">
      <c r="A618" s="151" t="s">
        <v>1738</v>
      </c>
      <c r="B618" s="151" t="s">
        <v>1739</v>
      </c>
      <c r="C618" s="151"/>
      <c r="D618" s="151" t="s">
        <v>0</v>
      </c>
    </row>
    <row r="619" ht="14.0">
      <c r="A619" s="151" t="s">
        <v>1740</v>
      </c>
      <c r="B619" s="151" t="s">
        <v>1741</v>
      </c>
      <c r="C619" s="151"/>
      <c r="D619" s="151" t="s">
        <v>0</v>
      </c>
    </row>
    <row r="620" ht="14.0">
      <c r="A620" s="151" t="s">
        <v>1742</v>
      </c>
      <c r="B620" s="151" t="s">
        <v>1743</v>
      </c>
      <c r="C620" s="151"/>
      <c r="D620" s="151" t="s">
        <v>0</v>
      </c>
    </row>
    <row r="621" ht="14.0">
      <c r="A621" s="151" t="s">
        <v>1744</v>
      </c>
      <c r="B621" s="151" t="s">
        <v>1745</v>
      </c>
      <c r="C621" s="151"/>
      <c r="D621" s="151" t="s">
        <v>0</v>
      </c>
    </row>
    <row r="622" ht="14.0">
      <c r="A622" s="151" t="s">
        <v>1746</v>
      </c>
      <c r="B622" s="151" t="s">
        <v>1747</v>
      </c>
      <c r="C622" s="151"/>
      <c r="D622" s="151" t="s">
        <v>0</v>
      </c>
    </row>
    <row r="623" ht="14.0">
      <c r="A623" s="151" t="s">
        <v>1748</v>
      </c>
      <c r="B623" s="151" t="s">
        <v>1749</v>
      </c>
      <c r="C623" s="151"/>
      <c r="D623" s="151" t="s">
        <v>0</v>
      </c>
    </row>
    <row r="624" ht="14.0">
      <c r="A624" s="151" t="s">
        <v>1750</v>
      </c>
      <c r="B624" s="151" t="s">
        <v>1751</v>
      </c>
      <c r="C624" s="151">
        <v>500.0</v>
      </c>
      <c r="D624" s="151"/>
    </row>
    <row r="625" ht="14.0">
      <c r="A625" s="151" t="s">
        <v>1752</v>
      </c>
      <c r="B625" s="151" t="s">
        <v>1753</v>
      </c>
      <c r="C625" s="151">
        <v>5.0</v>
      </c>
      <c r="D625" s="151"/>
    </row>
    <row r="626" ht="14.0">
      <c r="A626" s="151" t="s">
        <v>1754</v>
      </c>
      <c r="B626" s="151" t="s">
        <v>1755</v>
      </c>
      <c r="C626" s="151">
        <v>5.0</v>
      </c>
      <c r="D626" s="151"/>
    </row>
    <row r="627" ht="14.0">
      <c r="A627" s="151" t="s">
        <v>1756</v>
      </c>
      <c r="B627" s="151" t="s">
        <v>1757</v>
      </c>
      <c r="C627" s="151">
        <v>5.0</v>
      </c>
      <c r="D627" s="151"/>
    </row>
    <row r="628" ht="14.0">
      <c r="A628" s="151" t="s">
        <v>1758</v>
      </c>
      <c r="B628" s="151" t="s">
        <v>1759</v>
      </c>
      <c r="C628" s="151">
        <v>5.0</v>
      </c>
      <c r="D628" s="151"/>
    </row>
    <row r="629" ht="14.0">
      <c r="A629" s="151" t="s">
        <v>1760</v>
      </c>
      <c r="B629" s="151" t="s">
        <v>1761</v>
      </c>
      <c r="C629" s="151">
        <v>5.0</v>
      </c>
      <c r="D629" s="151"/>
    </row>
    <row r="630" ht="14.0">
      <c r="A630" s="151" t="s">
        <v>1762</v>
      </c>
      <c r="B630" s="151" t="s">
        <v>1763</v>
      </c>
      <c r="C630" s="151">
        <v>5.0</v>
      </c>
      <c r="D630" s="151"/>
    </row>
    <row r="631" ht="14.0">
      <c r="A631" s="151" t="s">
        <v>1764</v>
      </c>
      <c r="B631" s="151" t="s">
        <v>1765</v>
      </c>
      <c r="C631" s="151">
        <v>5.0</v>
      </c>
      <c r="D631" s="151"/>
    </row>
    <row r="632" ht="14.0">
      <c r="A632" s="151" t="s">
        <v>1766</v>
      </c>
      <c r="B632" s="151" t="s">
        <v>1767</v>
      </c>
      <c r="C632" s="151">
        <v>5.0</v>
      </c>
      <c r="D632" s="151"/>
    </row>
    <row r="633" ht="14.0">
      <c r="A633" s="151" t="s">
        <v>1768</v>
      </c>
      <c r="B633" s="151" t="s">
        <v>1769</v>
      </c>
      <c r="C633" s="151">
        <v>5.0</v>
      </c>
      <c r="D633" s="151"/>
    </row>
    <row r="634" ht="14.0">
      <c r="A634" s="151" t="s">
        <v>1770</v>
      </c>
      <c r="B634" s="151" t="s">
        <v>1771</v>
      </c>
      <c r="C634" s="151">
        <v>5.0</v>
      </c>
      <c r="D634" s="151"/>
    </row>
    <row r="635" ht="14.0">
      <c r="A635" s="151" t="s">
        <v>1772</v>
      </c>
      <c r="B635" s="151" t="s">
        <v>1773</v>
      </c>
      <c r="C635" s="151">
        <v>5.0</v>
      </c>
      <c r="D635" s="151"/>
    </row>
    <row r="636" ht="14.0">
      <c r="A636" s="151" t="s">
        <v>1774</v>
      </c>
      <c r="B636" s="151" t="s">
        <v>1775</v>
      </c>
      <c r="C636" s="151">
        <v>5.0</v>
      </c>
      <c r="D636" s="151"/>
    </row>
    <row r="637" ht="14.0">
      <c r="A637" s="151" t="s">
        <v>1776</v>
      </c>
      <c r="B637" s="151" t="s">
        <v>1777</v>
      </c>
      <c r="C637" s="151">
        <v>5.0</v>
      </c>
      <c r="D637" s="151"/>
    </row>
    <row r="638" ht="14.0">
      <c r="A638" s="151" t="s">
        <v>1778</v>
      </c>
      <c r="B638" s="151" t="s">
        <v>1779</v>
      </c>
      <c r="C638" s="151">
        <v>5.0</v>
      </c>
      <c r="D638" s="151"/>
    </row>
    <row r="639" ht="14.0">
      <c r="A639" s="151" t="s">
        <v>1780</v>
      </c>
      <c r="B639" s="151" t="s">
        <v>1781</v>
      </c>
      <c r="C639" s="151">
        <v>5.0</v>
      </c>
      <c r="D639" s="151"/>
    </row>
    <row r="640" ht="14.0">
      <c r="A640" s="151" t="s">
        <v>1782</v>
      </c>
      <c r="B640" s="151" t="s">
        <v>1783</v>
      </c>
      <c r="C640" s="151">
        <v>5.0</v>
      </c>
      <c r="D640" s="151"/>
    </row>
    <row r="641" ht="14.0">
      <c r="A641" s="151" t="s">
        <v>1784</v>
      </c>
      <c r="B641" s="151" t="s">
        <v>1785</v>
      </c>
      <c r="C641" s="151">
        <v>5.0</v>
      </c>
      <c r="D641" s="151"/>
    </row>
    <row r="642" ht="14.0">
      <c r="A642" s="151" t="s">
        <v>1786</v>
      </c>
      <c r="B642" s="151" t="s">
        <v>1787</v>
      </c>
      <c r="C642" s="151">
        <v>5.0</v>
      </c>
      <c r="D642" s="151"/>
    </row>
    <row r="643" ht="14.0">
      <c r="A643" s="151" t="s">
        <v>1788</v>
      </c>
      <c r="B643" s="151" t="s">
        <v>1789</v>
      </c>
      <c r="C643" s="151">
        <v>5.0</v>
      </c>
      <c r="D643" s="151"/>
    </row>
    <row r="644" ht="14.0">
      <c r="A644" s="151" t="s">
        <v>1790</v>
      </c>
      <c r="B644" s="151" t="s">
        <v>1791</v>
      </c>
      <c r="C644" s="151">
        <v>5.0</v>
      </c>
      <c r="D644" s="151"/>
    </row>
    <row r="645" ht="14.0">
      <c r="A645" s="151" t="s">
        <v>1792</v>
      </c>
      <c r="B645" s="151" t="s">
        <v>1793</v>
      </c>
      <c r="C645" s="151">
        <v>5.0</v>
      </c>
      <c r="D645" s="151"/>
    </row>
    <row r="646" ht="14.0">
      <c r="A646" s="151" t="s">
        <v>1794</v>
      </c>
      <c r="B646" s="151" t="s">
        <v>1795</v>
      </c>
      <c r="C646" s="151">
        <v>5.0</v>
      </c>
      <c r="D646" s="151"/>
    </row>
    <row r="647" ht="14.0">
      <c r="A647" s="151" t="s">
        <v>1796</v>
      </c>
      <c r="B647" s="151" t="s">
        <v>1797</v>
      </c>
      <c r="C647" s="151">
        <v>5.0</v>
      </c>
      <c r="D647" s="151"/>
    </row>
    <row r="648" ht="14.0">
      <c r="A648" s="151" t="s">
        <v>1798</v>
      </c>
      <c r="B648" s="151" t="s">
        <v>1799</v>
      </c>
      <c r="C648" s="151">
        <v>5.0</v>
      </c>
      <c r="D648" s="151"/>
    </row>
    <row r="649" ht="14.0">
      <c r="A649" s="151" t="s">
        <v>1800</v>
      </c>
      <c r="B649" s="151" t="s">
        <v>1801</v>
      </c>
      <c r="C649" s="151">
        <v>5.0</v>
      </c>
      <c r="D649" s="151"/>
    </row>
    <row r="650" ht="14.0">
      <c r="A650" s="151" t="s">
        <v>1802</v>
      </c>
      <c r="B650" s="151" t="s">
        <v>1803</v>
      </c>
      <c r="C650" s="151">
        <v>5.0</v>
      </c>
      <c r="D650" s="151"/>
    </row>
    <row r="651" ht="14.0">
      <c r="A651" s="151" t="s">
        <v>1804</v>
      </c>
      <c r="B651" s="151" t="s">
        <v>1805</v>
      </c>
      <c r="C651" s="151">
        <v>5.0</v>
      </c>
      <c r="D651" s="151"/>
    </row>
    <row r="652" ht="14.0">
      <c r="A652" s="151" t="s">
        <v>1806</v>
      </c>
      <c r="B652" s="151" t="s">
        <v>1807</v>
      </c>
      <c r="C652" s="151">
        <v>5.0</v>
      </c>
      <c r="D652" s="151"/>
    </row>
    <row r="653" ht="14.0">
      <c r="A653" s="151" t="s">
        <v>1808</v>
      </c>
      <c r="B653" s="151" t="s">
        <v>1809</v>
      </c>
      <c r="C653" s="151">
        <v>5.0</v>
      </c>
      <c r="D653" s="151"/>
    </row>
    <row r="654" ht="14.0">
      <c r="A654" s="151" t="s">
        <v>1810</v>
      </c>
      <c r="B654" s="151" t="s">
        <v>1811</v>
      </c>
      <c r="C654" s="151">
        <v>5.0</v>
      </c>
      <c r="D654" s="151"/>
    </row>
    <row r="655" ht="14.0">
      <c r="A655" s="151" t="s">
        <v>1812</v>
      </c>
      <c r="B655" s="151" t="s">
        <v>1813</v>
      </c>
      <c r="C655" s="151">
        <v>5.0</v>
      </c>
      <c r="D655" s="151"/>
    </row>
    <row r="656" ht="14.0">
      <c r="A656" s="151" t="s">
        <v>1814</v>
      </c>
      <c r="B656" s="151" t="s">
        <v>1815</v>
      </c>
      <c r="C656" s="151">
        <v>5.0</v>
      </c>
      <c r="D656" s="151" t="s">
        <v>906</v>
      </c>
    </row>
    <row r="657" ht="14.0">
      <c r="A657" s="151" t="s">
        <v>1816</v>
      </c>
      <c r="B657" s="151" t="s">
        <v>1817</v>
      </c>
      <c r="C657" s="151">
        <v>5.0</v>
      </c>
      <c r="D657" s="151" t="s">
        <v>906</v>
      </c>
    </row>
    <row r="658" ht="14.0">
      <c r="A658" s="151" t="s">
        <v>1818</v>
      </c>
      <c r="B658" s="151" t="s">
        <v>1819</v>
      </c>
      <c r="C658" s="151">
        <v>5.0</v>
      </c>
      <c r="D658" s="151"/>
    </row>
    <row r="659" ht="14.0">
      <c r="A659" s="151" t="s">
        <v>1820</v>
      </c>
      <c r="B659" s="151" t="s">
        <v>1821</v>
      </c>
      <c r="C659" s="151">
        <v>5.0</v>
      </c>
      <c r="D659" s="151"/>
    </row>
    <row r="660" ht="14.0">
      <c r="A660" s="151" t="s">
        <v>1822</v>
      </c>
      <c r="B660" s="151" t="s">
        <v>1823</v>
      </c>
      <c r="C660" s="151">
        <v>5.0</v>
      </c>
      <c r="D660" s="151"/>
    </row>
    <row r="661" ht="14.0">
      <c r="A661" s="151" t="s">
        <v>1824</v>
      </c>
      <c r="B661" s="151" t="s">
        <v>1825</v>
      </c>
      <c r="C661" s="151">
        <v>5.0</v>
      </c>
      <c r="D661" s="151"/>
    </row>
    <row r="662" ht="14.0">
      <c r="A662" s="151" t="s">
        <v>1826</v>
      </c>
      <c r="B662" s="151" t="s">
        <v>1827</v>
      </c>
      <c r="C662" s="151">
        <v>5.0</v>
      </c>
      <c r="D662" s="151"/>
    </row>
    <row r="663" ht="14.0">
      <c r="A663" s="151" t="s">
        <v>1828</v>
      </c>
      <c r="B663" s="151" t="s">
        <v>1829</v>
      </c>
      <c r="C663" s="151">
        <v>5.0</v>
      </c>
      <c r="D663" s="151"/>
    </row>
    <row r="664" ht="14.0">
      <c r="A664" s="151" t="s">
        <v>1830</v>
      </c>
      <c r="B664" s="151" t="s">
        <v>1831</v>
      </c>
      <c r="C664" s="151">
        <v>5.0</v>
      </c>
      <c r="D664" s="151"/>
    </row>
    <row r="665" ht="14.0">
      <c r="A665" s="151" t="s">
        <v>1832</v>
      </c>
      <c r="B665" s="151" t="s">
        <v>1833</v>
      </c>
      <c r="C665" s="151">
        <v>5.0</v>
      </c>
      <c r="D665" s="151"/>
    </row>
    <row r="666" ht="14.0">
      <c r="A666" s="151" t="s">
        <v>1834</v>
      </c>
      <c r="B666" s="151" t="s">
        <v>1835</v>
      </c>
      <c r="C666" s="151">
        <v>5.0</v>
      </c>
      <c r="D666" s="151"/>
    </row>
    <row r="667" ht="14.0">
      <c r="A667" s="151" t="s">
        <v>1836</v>
      </c>
      <c r="B667" s="151" t="s">
        <v>1837</v>
      </c>
      <c r="C667" s="151">
        <v>5.0</v>
      </c>
      <c r="D667" s="151"/>
    </row>
    <row r="668" ht="14.0">
      <c r="A668" s="151" t="s">
        <v>1838</v>
      </c>
      <c r="B668" s="151" t="s">
        <v>1839</v>
      </c>
      <c r="C668" s="151">
        <v>5.0</v>
      </c>
      <c r="D668" s="151"/>
    </row>
    <row r="669" ht="14.0">
      <c r="A669" s="151" t="s">
        <v>1840</v>
      </c>
      <c r="B669" s="151" t="s">
        <v>1841</v>
      </c>
      <c r="C669" s="151">
        <v>5.0</v>
      </c>
      <c r="D669" s="151"/>
    </row>
    <row r="670" ht="14.0">
      <c r="A670" s="151" t="s">
        <v>1842</v>
      </c>
      <c r="B670" s="151" t="s">
        <v>1843</v>
      </c>
      <c r="C670" s="151">
        <v>5.0</v>
      </c>
      <c r="D670" s="151" t="s">
        <v>906</v>
      </c>
    </row>
    <row r="671" ht="14.0">
      <c r="A671" s="151" t="s">
        <v>1844</v>
      </c>
      <c r="B671" s="151" t="s">
        <v>1845</v>
      </c>
      <c r="C671" s="151">
        <v>5.0</v>
      </c>
      <c r="D671" s="151"/>
    </row>
    <row r="672" ht="14.0">
      <c r="A672" s="151" t="s">
        <v>1846</v>
      </c>
      <c r="B672" s="151" t="s">
        <v>1847</v>
      </c>
      <c r="C672" s="151">
        <v>5.0</v>
      </c>
      <c r="D672" s="151"/>
    </row>
    <row r="673" ht="14.0">
      <c r="A673" s="151" t="s">
        <v>1848</v>
      </c>
      <c r="B673" s="151" t="s">
        <v>1849</v>
      </c>
      <c r="C673" s="151">
        <v>5.0</v>
      </c>
      <c r="D673" s="151"/>
    </row>
    <row r="674" ht="14.0">
      <c r="A674" s="151" t="s">
        <v>1850</v>
      </c>
      <c r="B674" s="151" t="s">
        <v>1851</v>
      </c>
      <c r="C674" s="151">
        <v>5.0</v>
      </c>
      <c r="D674" s="151"/>
    </row>
    <row r="675" ht="14.0">
      <c r="A675" s="151" t="s">
        <v>1852</v>
      </c>
      <c r="B675" s="151" t="s">
        <v>1853</v>
      </c>
      <c r="C675" s="151">
        <v>5.0</v>
      </c>
      <c r="D675" s="151"/>
    </row>
    <row r="676" ht="14.0">
      <c r="A676" s="151" t="s">
        <v>1854</v>
      </c>
      <c r="B676" s="151" t="s">
        <v>1855</v>
      </c>
      <c r="C676" s="151">
        <v>5.0</v>
      </c>
      <c r="D676" s="151"/>
    </row>
    <row r="677" ht="14.0">
      <c r="A677" s="151" t="s">
        <v>1856</v>
      </c>
      <c r="B677" s="151" t="s">
        <v>1857</v>
      </c>
      <c r="C677" s="151"/>
      <c r="D677" s="151"/>
    </row>
    <row r="678" ht="14.0">
      <c r="A678" s="151" t="s">
        <v>1858</v>
      </c>
      <c r="B678" s="151">
        <v>45202.0</v>
      </c>
      <c r="C678" s="151"/>
      <c r="D678" s="151" t="s">
        <v>0</v>
      </c>
    </row>
    <row r="679" ht="14.0">
      <c r="A679" s="151" t="s">
        <v>1859</v>
      </c>
      <c r="B679" s="151">
        <v>45203.0</v>
      </c>
      <c r="C679" s="151"/>
      <c r="D679" s="151" t="s">
        <v>0</v>
      </c>
    </row>
    <row r="680" ht="14.0">
      <c r="A680" s="151" t="s">
        <v>1860</v>
      </c>
      <c r="B680" s="151">
        <v>45201.0</v>
      </c>
      <c r="C680" s="151"/>
      <c r="D680" s="151" t="s">
        <v>0</v>
      </c>
    </row>
    <row r="681" ht="14.0">
      <c r="A681" s="151" t="s">
        <v>1861</v>
      </c>
      <c r="B681" s="151" t="s">
        <v>1862</v>
      </c>
      <c r="C681" s="151">
        <v>136.0</v>
      </c>
      <c r="D681" s="151"/>
    </row>
    <row r="682" ht="14.0">
      <c r="A682" s="151" t="s">
        <v>205</v>
      </c>
      <c r="B682" s="151" t="s">
        <v>206</v>
      </c>
      <c r="C682" s="151"/>
      <c r="D682" s="151"/>
    </row>
    <row r="683" ht="14.0">
      <c r="A683" s="151" t="s">
        <v>1863</v>
      </c>
      <c r="B683" s="151" t="s">
        <v>1864</v>
      </c>
      <c r="C683" s="151"/>
      <c r="D683" s="151"/>
    </row>
    <row r="684" ht="14.0">
      <c r="A684" s="151" t="s">
        <v>1865</v>
      </c>
      <c r="B684" s="151" t="s">
        <v>1866</v>
      </c>
      <c r="C684" s="151">
        <v>60.0</v>
      </c>
      <c r="D684" s="151"/>
    </row>
    <row r="685" ht="14.0">
      <c r="A685" s="151" t="s">
        <v>1867</v>
      </c>
      <c r="B685" s="151">
        <v>34101.0</v>
      </c>
      <c r="C685" s="151"/>
      <c r="D685" s="151"/>
    </row>
    <row r="686" ht="14.0">
      <c r="A686" s="151" t="s">
        <v>1868</v>
      </c>
      <c r="B686" s="151" t="s">
        <v>1869</v>
      </c>
      <c r="C686" s="151"/>
      <c r="D686" s="151"/>
    </row>
    <row r="687" ht="14.0">
      <c r="A687" s="151" t="s">
        <v>1870</v>
      </c>
      <c r="B687" s="151" t="s">
        <v>1871</v>
      </c>
      <c r="C687" s="151"/>
      <c r="D687" s="151"/>
    </row>
    <row r="688" ht="14.0">
      <c r="A688" s="151" t="s">
        <v>1872</v>
      </c>
      <c r="B688" s="151" t="s">
        <v>1873</v>
      </c>
      <c r="C688" s="151"/>
      <c r="D688" s="151"/>
    </row>
    <row r="689" ht="14.0">
      <c r="A689" s="151" t="s">
        <v>1874</v>
      </c>
      <c r="B689" s="151" t="s">
        <v>1875</v>
      </c>
      <c r="C689" s="151"/>
      <c r="D689" s="151" t="s">
        <v>0</v>
      </c>
    </row>
    <row r="690" ht="14.0">
      <c r="A690" s="151" t="s">
        <v>1876</v>
      </c>
      <c r="B690" s="151" t="s">
        <v>1877</v>
      </c>
      <c r="C690" s="151"/>
      <c r="D690" s="151" t="s">
        <v>0</v>
      </c>
    </row>
    <row r="691" ht="14.0">
      <c r="A691" s="151" t="s">
        <v>1878</v>
      </c>
      <c r="B691" s="151" t="s">
        <v>1879</v>
      </c>
      <c r="C691" s="151"/>
      <c r="D691" s="151" t="s">
        <v>0</v>
      </c>
    </row>
    <row r="692" ht="14.0">
      <c r="A692" s="151" t="s">
        <v>1880</v>
      </c>
      <c r="B692" s="151" t="s">
        <v>1881</v>
      </c>
      <c r="C692" s="151"/>
      <c r="D692" s="151" t="s">
        <v>0</v>
      </c>
    </row>
    <row r="693" ht="14.0">
      <c r="A693" s="151" t="s">
        <v>664</v>
      </c>
      <c r="B693" s="151" t="s">
        <v>665</v>
      </c>
      <c r="C693" s="80">
        <v>1002.0</v>
      </c>
      <c r="D693" s="151" t="s">
        <v>0</v>
      </c>
    </row>
    <row r="694" ht="14.0">
      <c r="A694" s="151" t="s">
        <v>670</v>
      </c>
      <c r="B694" s="151" t="s">
        <v>671</v>
      </c>
      <c r="C694" s="80">
        <v>1002.0</v>
      </c>
      <c r="D694" s="151" t="s">
        <v>0</v>
      </c>
    </row>
    <row r="695" ht="14.0">
      <c r="A695" s="151" t="s">
        <v>676</v>
      </c>
      <c r="B695" s="151" t="s">
        <v>677</v>
      </c>
      <c r="C695" s="80">
        <v>1002.0</v>
      </c>
      <c r="D695" s="151" t="s">
        <v>0</v>
      </c>
    </row>
    <row r="696" ht="14.0">
      <c r="A696" s="151" t="s">
        <v>674</v>
      </c>
      <c r="B696" s="151" t="s">
        <v>675</v>
      </c>
      <c r="C696" s="80">
        <v>1002.0</v>
      </c>
      <c r="D696" s="151" t="s">
        <v>0</v>
      </c>
    </row>
    <row r="697" ht="14.0">
      <c r="A697" s="151" t="s">
        <v>666</v>
      </c>
      <c r="B697" s="151" t="s">
        <v>667</v>
      </c>
      <c r="C697" s="80">
        <v>1002.0</v>
      </c>
      <c r="D697" s="151" t="s">
        <v>0</v>
      </c>
    </row>
    <row r="698" ht="14.0">
      <c r="A698" s="151" t="s">
        <v>668</v>
      </c>
      <c r="B698" s="151" t="s">
        <v>669</v>
      </c>
      <c r="C698" s="80">
        <v>1002.0</v>
      </c>
      <c r="D698" s="151" t="s">
        <v>0</v>
      </c>
    </row>
    <row r="699" ht="14.0">
      <c r="A699" s="151" t="s">
        <v>660</v>
      </c>
      <c r="B699" s="151" t="s">
        <v>661</v>
      </c>
      <c r="C699" s="80">
        <v>1002.0</v>
      </c>
      <c r="D699" s="151" t="s">
        <v>0</v>
      </c>
    </row>
    <row r="700" ht="14.0">
      <c r="A700" s="151" t="s">
        <v>662</v>
      </c>
      <c r="B700" s="151" t="s">
        <v>663</v>
      </c>
      <c r="C700" s="80">
        <v>1002.0</v>
      </c>
      <c r="D700" s="151" t="s">
        <v>0</v>
      </c>
    </row>
    <row r="701" ht="14.0">
      <c r="A701" s="151" t="s">
        <v>672</v>
      </c>
      <c r="B701" s="151" t="s">
        <v>673</v>
      </c>
      <c r="C701" s="80">
        <v>1002.0</v>
      </c>
      <c r="D701" s="151" t="s">
        <v>0</v>
      </c>
    </row>
    <row r="702" ht="14.0">
      <c r="A702" s="151" t="s">
        <v>145</v>
      </c>
      <c r="B702" s="151" t="s">
        <v>146</v>
      </c>
      <c r="C702" s="80">
        <v>1000.0</v>
      </c>
      <c r="D702" s="151"/>
    </row>
    <row r="703" ht="14.0">
      <c r="A703" s="151" t="s">
        <v>143</v>
      </c>
      <c r="B703" s="151" t="s">
        <v>144</v>
      </c>
      <c r="C703" s="80">
        <v>1000.0</v>
      </c>
      <c r="D703" s="151"/>
    </row>
    <row r="704" ht="14.0">
      <c r="A704" s="151" t="s">
        <v>1882</v>
      </c>
      <c r="B704" s="151" t="s">
        <v>1883</v>
      </c>
      <c r="C704" s="151"/>
      <c r="D704" s="151" t="s">
        <v>0</v>
      </c>
    </row>
    <row r="705" ht="14.0">
      <c r="A705" s="151" t="s">
        <v>1884</v>
      </c>
      <c r="B705" s="151" t="s">
        <v>1885</v>
      </c>
      <c r="C705" s="151">
        <v>100.0</v>
      </c>
      <c r="D705" s="151" t="s">
        <v>0</v>
      </c>
    </row>
    <row r="706" ht="14.0">
      <c r="A706" s="151" t="s">
        <v>1886</v>
      </c>
      <c r="B706" s="151" t="s">
        <v>1887</v>
      </c>
      <c r="C706" s="151">
        <v>100.0</v>
      </c>
      <c r="D706" s="151" t="s">
        <v>0</v>
      </c>
    </row>
    <row r="707" ht="14.0">
      <c r="A707" s="151" t="s">
        <v>1888</v>
      </c>
      <c r="B707" s="151" t="s">
        <v>1889</v>
      </c>
      <c r="C707" s="151"/>
      <c r="D707" s="151" t="s">
        <v>0</v>
      </c>
    </row>
    <row r="708" ht="14.0">
      <c r="A708" s="151" t="s">
        <v>1890</v>
      </c>
      <c r="B708" s="151" t="s">
        <v>1891</v>
      </c>
      <c r="C708" s="151"/>
      <c r="D708" s="151" t="s">
        <v>0</v>
      </c>
    </row>
    <row r="709" ht="14.0">
      <c r="A709" s="151" t="s">
        <v>1892</v>
      </c>
      <c r="B709" s="151" t="s">
        <v>1893</v>
      </c>
      <c r="C709" s="151"/>
      <c r="D709" s="151" t="s">
        <v>0</v>
      </c>
    </row>
    <row r="710" ht="14.0">
      <c r="A710" s="151" t="s">
        <v>1894</v>
      </c>
      <c r="B710" s="151" t="s">
        <v>1895</v>
      </c>
      <c r="C710" s="151"/>
      <c r="D710" s="151" t="s">
        <v>0</v>
      </c>
    </row>
    <row r="711" ht="14.0">
      <c r="A711" s="151" t="s">
        <v>1896</v>
      </c>
      <c r="B711" s="151" t="s">
        <v>1897</v>
      </c>
      <c r="C711" s="151"/>
      <c r="D711" s="151" t="s">
        <v>0</v>
      </c>
    </row>
    <row r="712" ht="14.0">
      <c r="A712" s="151" t="s">
        <v>1898</v>
      </c>
      <c r="B712" s="151">
        <v>36804.0</v>
      </c>
      <c r="C712" s="151"/>
      <c r="D712" s="151" t="s">
        <v>0</v>
      </c>
    </row>
    <row r="713" ht="14.0">
      <c r="A713" s="151" t="s">
        <v>1899</v>
      </c>
      <c r="B713" s="151">
        <v>36805.0</v>
      </c>
      <c r="C713" s="151"/>
      <c r="D713" s="151" t="s">
        <v>0</v>
      </c>
    </row>
    <row r="714" ht="14.0">
      <c r="A714" s="151" t="s">
        <v>1900</v>
      </c>
      <c r="B714" s="151">
        <v>36801.0</v>
      </c>
      <c r="C714" s="151"/>
      <c r="D714" s="151" t="s">
        <v>0</v>
      </c>
    </row>
    <row r="715" ht="14.0">
      <c r="A715" s="151" t="s">
        <v>1901</v>
      </c>
      <c r="B715" s="151">
        <v>36803.0</v>
      </c>
      <c r="C715" s="151"/>
      <c r="D715" s="151" t="s">
        <v>0</v>
      </c>
    </row>
    <row r="716" ht="14.0">
      <c r="A716" s="151" t="s">
        <v>1902</v>
      </c>
      <c r="B716" s="151">
        <v>36802.0</v>
      </c>
      <c r="C716" s="151"/>
      <c r="D716" s="151" t="s">
        <v>0</v>
      </c>
    </row>
    <row r="717" ht="14.0">
      <c r="A717" s="151" t="s">
        <v>1903</v>
      </c>
      <c r="B717" s="151" t="s">
        <v>1904</v>
      </c>
      <c r="C717" s="151"/>
      <c r="D717" s="151" t="s">
        <v>0</v>
      </c>
    </row>
    <row r="718" ht="14.0">
      <c r="A718" s="151" t="s">
        <v>1905</v>
      </c>
      <c r="B718" s="151" t="s">
        <v>1906</v>
      </c>
      <c r="C718" s="151"/>
      <c r="D718" s="151" t="s">
        <v>0</v>
      </c>
    </row>
    <row r="719" ht="14.0">
      <c r="A719" s="151" t="s">
        <v>273</v>
      </c>
      <c r="B719" s="151" t="s">
        <v>274</v>
      </c>
      <c r="C719" s="80">
        <v>1000.0</v>
      </c>
      <c r="D719" s="151"/>
    </row>
    <row r="720" ht="14.0">
      <c r="A720" s="151" t="s">
        <v>279</v>
      </c>
      <c r="B720" s="151" t="s">
        <v>280</v>
      </c>
      <c r="C720" s="80">
        <v>1000.0</v>
      </c>
      <c r="D720" s="151" t="s">
        <v>0</v>
      </c>
    </row>
    <row r="721" ht="14.0">
      <c r="A721" s="151" t="s">
        <v>281</v>
      </c>
      <c r="B721" s="151" t="s">
        <v>282</v>
      </c>
      <c r="C721" s="80">
        <v>1000.0</v>
      </c>
      <c r="D721" s="151" t="s">
        <v>0</v>
      </c>
    </row>
    <row r="722" ht="14.0">
      <c r="A722" s="151" t="s">
        <v>1907</v>
      </c>
      <c r="B722" s="151" t="s">
        <v>1908</v>
      </c>
      <c r="C722" s="80">
        <v>1000.0</v>
      </c>
      <c r="D722" s="151" t="s">
        <v>0</v>
      </c>
    </row>
    <row r="723" ht="14.0">
      <c r="A723" s="151" t="s">
        <v>1909</v>
      </c>
      <c r="B723" s="151" t="s">
        <v>1910</v>
      </c>
      <c r="C723" s="80">
        <v>1000.0</v>
      </c>
      <c r="D723" s="151"/>
    </row>
    <row r="724" ht="14.0">
      <c r="A724" s="151" t="s">
        <v>1911</v>
      </c>
      <c r="B724" s="151" t="s">
        <v>1912</v>
      </c>
      <c r="C724" s="80">
        <v>1000.0</v>
      </c>
      <c r="D724" s="151" t="s">
        <v>0</v>
      </c>
    </row>
    <row r="725" ht="14.0">
      <c r="A725" s="151" t="s">
        <v>1913</v>
      </c>
      <c r="B725" s="151" t="s">
        <v>1914</v>
      </c>
      <c r="C725" s="80">
        <v>1000.0</v>
      </c>
      <c r="D725" s="151"/>
    </row>
    <row r="726" ht="14.0">
      <c r="A726" s="151" t="s">
        <v>277</v>
      </c>
      <c r="B726" s="151" t="s">
        <v>278</v>
      </c>
      <c r="C726" s="80">
        <v>1000.0</v>
      </c>
      <c r="D726" s="151"/>
    </row>
    <row r="727" ht="14.0">
      <c r="A727" s="151" t="s">
        <v>275</v>
      </c>
      <c r="B727" s="151" t="s">
        <v>276</v>
      </c>
      <c r="C727" s="80">
        <v>1000.0</v>
      </c>
      <c r="D727" s="151"/>
    </row>
    <row r="728" ht="14.0">
      <c r="A728" s="151" t="s">
        <v>1915</v>
      </c>
      <c r="B728" s="151" t="s">
        <v>1916</v>
      </c>
      <c r="C728" s="80">
        <v>1000.0</v>
      </c>
      <c r="D728" s="151" t="s">
        <v>0</v>
      </c>
    </row>
    <row r="729" ht="14.0">
      <c r="A729" s="151" t="s">
        <v>1917</v>
      </c>
      <c r="B729" s="151" t="s">
        <v>1918</v>
      </c>
      <c r="C729" s="151"/>
      <c r="D729" s="151"/>
    </row>
    <row r="730" ht="14.0">
      <c r="A730" s="151" t="s">
        <v>1919</v>
      </c>
      <c r="B730" s="151" t="s">
        <v>288</v>
      </c>
      <c r="C730" s="151"/>
      <c r="D730" s="151" t="s">
        <v>0</v>
      </c>
    </row>
    <row r="731" ht="14.0">
      <c r="A731" s="151" t="s">
        <v>349</v>
      </c>
      <c r="B731" s="151" t="s">
        <v>350</v>
      </c>
      <c r="C731" s="151">
        <v>500.0</v>
      </c>
      <c r="D731" s="151" t="s">
        <v>0</v>
      </c>
    </row>
    <row r="732" ht="14.0">
      <c r="A732" s="151" t="s">
        <v>351</v>
      </c>
      <c r="B732" s="151" t="s">
        <v>352</v>
      </c>
      <c r="C732" s="151">
        <v>500.0</v>
      </c>
      <c r="D732" s="151"/>
    </row>
    <row r="733" ht="14.0">
      <c r="A733" s="151" t="s">
        <v>353</v>
      </c>
      <c r="B733" s="151" t="s">
        <v>354</v>
      </c>
      <c r="C733" s="151">
        <v>500.0</v>
      </c>
      <c r="D733" s="151"/>
    </row>
    <row r="734" ht="14.0">
      <c r="A734" s="151" t="s">
        <v>357</v>
      </c>
      <c r="B734" s="151" t="s">
        <v>358</v>
      </c>
      <c r="C734" s="151">
        <v>500.0</v>
      </c>
      <c r="D734" s="151"/>
    </row>
    <row r="735" ht="14.0">
      <c r="A735" s="151" t="s">
        <v>355</v>
      </c>
      <c r="B735" s="151" t="s">
        <v>356</v>
      </c>
      <c r="C735" s="151">
        <v>500.0</v>
      </c>
      <c r="D735" s="151" t="s">
        <v>0</v>
      </c>
    </row>
    <row r="736" ht="14.0">
      <c r="A736" s="151" t="s">
        <v>1920</v>
      </c>
      <c r="B736" s="151" t="s">
        <v>368</v>
      </c>
      <c r="C736" s="151"/>
      <c r="D736" s="151" t="s">
        <v>906</v>
      </c>
    </row>
    <row r="737" ht="14.0">
      <c r="A737" s="151" t="s">
        <v>1921</v>
      </c>
      <c r="B737" s="151" t="s">
        <v>1922</v>
      </c>
      <c r="C737" s="151"/>
      <c r="D737" s="151"/>
    </row>
    <row r="738" ht="14.0">
      <c r="A738" s="151" t="s">
        <v>1923</v>
      </c>
      <c r="B738" s="151" t="s">
        <v>1924</v>
      </c>
      <c r="C738" s="151"/>
      <c r="D738" s="151"/>
    </row>
    <row r="739" ht="14.0">
      <c r="A739" s="151" t="s">
        <v>141</v>
      </c>
      <c r="B739" s="151" t="s">
        <v>142</v>
      </c>
      <c r="C739" s="80">
        <v>1008.0</v>
      </c>
      <c r="D739" s="151"/>
    </row>
    <row r="740" ht="14.0">
      <c r="A740" s="151" t="s">
        <v>139</v>
      </c>
      <c r="B740" s="151" t="s">
        <v>140</v>
      </c>
      <c r="C740" s="80">
        <v>1008.0</v>
      </c>
      <c r="D740" s="151"/>
    </row>
    <row r="741" ht="14.0">
      <c r="A741" s="151" t="s">
        <v>251</v>
      </c>
      <c r="B741" s="151" t="s">
        <v>252</v>
      </c>
      <c r="C741" s="80">
        <v>2016.0</v>
      </c>
      <c r="D741" s="151"/>
    </row>
    <row r="742" ht="14.0">
      <c r="A742" s="151" t="s">
        <v>257</v>
      </c>
      <c r="B742" s="151" t="s">
        <v>258</v>
      </c>
      <c r="C742" s="80">
        <v>1000.0</v>
      </c>
      <c r="D742" s="151"/>
    </row>
    <row r="743" ht="14.0">
      <c r="A743" s="151" t="s">
        <v>1925</v>
      </c>
      <c r="B743" s="151" t="s">
        <v>1926</v>
      </c>
      <c r="C743" s="80">
        <v>1008.0</v>
      </c>
      <c r="D743" s="151"/>
    </row>
    <row r="744" ht="14.0">
      <c r="A744" s="151" t="s">
        <v>231</v>
      </c>
      <c r="B744" s="151" t="s">
        <v>232</v>
      </c>
      <c r="C744" s="80">
        <v>1000.0</v>
      </c>
      <c r="D744" s="151"/>
    </row>
    <row r="745" ht="14.0">
      <c r="A745" s="151" t="s">
        <v>239</v>
      </c>
      <c r="B745" s="151" t="s">
        <v>240</v>
      </c>
      <c r="C745" s="80">
        <v>1008.0</v>
      </c>
      <c r="D745" s="151"/>
    </row>
    <row r="746" ht="14.0">
      <c r="A746" s="151" t="s">
        <v>1927</v>
      </c>
      <c r="B746" s="151" t="s">
        <v>1928</v>
      </c>
      <c r="C746" s="80">
        <v>1002.0</v>
      </c>
      <c r="D746" s="151"/>
    </row>
    <row r="747" ht="14.0">
      <c r="A747" s="151" t="s">
        <v>1929</v>
      </c>
      <c r="B747" s="151" t="s">
        <v>1930</v>
      </c>
      <c r="C747" s="80">
        <v>1000.0</v>
      </c>
      <c r="D747" s="151"/>
    </row>
    <row r="748" ht="14.0">
      <c r="A748" s="151" t="s">
        <v>265</v>
      </c>
      <c r="B748" s="151" t="s">
        <v>266</v>
      </c>
      <c r="C748" s="80">
        <v>2016.0</v>
      </c>
      <c r="D748" s="151"/>
    </row>
    <row r="749" ht="14.0">
      <c r="A749" s="151" t="s">
        <v>229</v>
      </c>
      <c r="B749" s="151" t="s">
        <v>230</v>
      </c>
      <c r="C749" s="80">
        <v>1000.0</v>
      </c>
      <c r="D749" s="151"/>
    </row>
    <row r="750" ht="14.0">
      <c r="A750" s="151" t="s">
        <v>233</v>
      </c>
      <c r="B750" s="151" t="s">
        <v>234</v>
      </c>
      <c r="C750" s="80">
        <v>2016.0</v>
      </c>
      <c r="D750" s="151"/>
    </row>
    <row r="751" ht="14.0">
      <c r="A751" s="151" t="s">
        <v>259</v>
      </c>
      <c r="B751" s="151" t="s">
        <v>260</v>
      </c>
      <c r="C751" s="80">
        <v>2016.0</v>
      </c>
      <c r="D751" s="151"/>
    </row>
    <row r="752" ht="14.0">
      <c r="A752" s="151" t="s">
        <v>263</v>
      </c>
      <c r="B752" s="151" t="s">
        <v>264</v>
      </c>
      <c r="C752" s="80">
        <v>2016.0</v>
      </c>
      <c r="D752" s="151"/>
    </row>
    <row r="753" ht="14.0">
      <c r="A753" s="151" t="s">
        <v>247</v>
      </c>
      <c r="B753" s="151" t="s">
        <v>248</v>
      </c>
      <c r="C753" s="80">
        <v>1000.0</v>
      </c>
      <c r="D753" s="151"/>
    </row>
    <row r="754" ht="14.0">
      <c r="A754" s="151" t="s">
        <v>261</v>
      </c>
      <c r="B754" s="151" t="s">
        <v>262</v>
      </c>
      <c r="C754" s="80">
        <v>1008.0</v>
      </c>
      <c r="D754" s="151"/>
    </row>
    <row r="755" ht="14.0">
      <c r="A755" s="151" t="s">
        <v>255</v>
      </c>
      <c r="B755" s="151" t="s">
        <v>256</v>
      </c>
      <c r="C755" s="80">
        <v>2016.0</v>
      </c>
      <c r="D755" s="151"/>
    </row>
    <row r="756" ht="14.0">
      <c r="A756" s="151" t="s">
        <v>253</v>
      </c>
      <c r="B756" s="151" t="s">
        <v>254</v>
      </c>
      <c r="C756" s="80">
        <v>2016.0</v>
      </c>
      <c r="D756" s="151"/>
    </row>
    <row r="757" ht="14.0">
      <c r="A757" s="151" t="s">
        <v>243</v>
      </c>
      <c r="B757" s="151" t="s">
        <v>244</v>
      </c>
      <c r="C757" s="80">
        <v>1008.0</v>
      </c>
      <c r="D757" s="151"/>
    </row>
    <row r="758" ht="14.0">
      <c r="A758" s="151" t="s">
        <v>245</v>
      </c>
      <c r="B758" s="151" t="s">
        <v>246</v>
      </c>
      <c r="C758" s="80">
        <v>2016.0</v>
      </c>
      <c r="D758" s="151" t="s">
        <v>906</v>
      </c>
    </row>
    <row r="759" ht="14.0">
      <c r="A759" s="151" t="s">
        <v>1931</v>
      </c>
      <c r="B759" s="151" t="s">
        <v>1932</v>
      </c>
      <c r="C759" s="80">
        <v>1008.0</v>
      </c>
      <c r="D759" s="151"/>
    </row>
    <row r="760" ht="14.0">
      <c r="A760" s="151" t="s">
        <v>237</v>
      </c>
      <c r="B760" s="151" t="s">
        <v>238</v>
      </c>
      <c r="C760" s="80">
        <v>2016.0</v>
      </c>
      <c r="D760" s="151"/>
    </row>
    <row r="761" ht="14.0">
      <c r="A761" s="151" t="s">
        <v>235</v>
      </c>
      <c r="B761" s="151" t="s">
        <v>236</v>
      </c>
      <c r="C761" s="80">
        <v>2016.0</v>
      </c>
      <c r="D761" s="151"/>
    </row>
    <row r="762" ht="14.0">
      <c r="A762" s="151" t="s">
        <v>1933</v>
      </c>
      <c r="B762" s="151" t="s">
        <v>1934</v>
      </c>
      <c r="C762" s="80">
        <v>1008.0</v>
      </c>
      <c r="D762" s="151"/>
    </row>
    <row r="763" ht="14.0">
      <c r="A763" s="151" t="s">
        <v>241</v>
      </c>
      <c r="B763" s="151" t="s">
        <v>242</v>
      </c>
      <c r="C763" s="80">
        <v>1008.0</v>
      </c>
      <c r="D763" s="151"/>
    </row>
    <row r="764" ht="14.0">
      <c r="A764" s="151" t="s">
        <v>267</v>
      </c>
      <c r="B764" s="151" t="s">
        <v>268</v>
      </c>
      <c r="C764" s="80">
        <v>2016.0</v>
      </c>
      <c r="D764" s="151"/>
    </row>
    <row r="765" ht="14.0">
      <c r="A765" s="151" t="s">
        <v>1935</v>
      </c>
      <c r="B765" s="151" t="s">
        <v>1936</v>
      </c>
      <c r="C765" s="151"/>
      <c r="D765" s="151" t="s">
        <v>0</v>
      </c>
    </row>
    <row r="766" ht="14.0">
      <c r="A766" s="151" t="s">
        <v>1937</v>
      </c>
      <c r="B766" s="151" t="s">
        <v>1938</v>
      </c>
      <c r="C766" s="80">
        <v>1000.0</v>
      </c>
      <c r="D766" s="151"/>
    </row>
    <row r="767" ht="14.0">
      <c r="A767" s="151" t="s">
        <v>249</v>
      </c>
      <c r="B767" s="151" t="s">
        <v>250</v>
      </c>
      <c r="C767" s="80">
        <v>2016.0</v>
      </c>
      <c r="D767" s="151"/>
    </row>
    <row r="768" ht="14.0">
      <c r="A768" s="151" t="s">
        <v>1939</v>
      </c>
      <c r="B768" s="151" t="s">
        <v>1940</v>
      </c>
      <c r="C768" s="151"/>
      <c r="D768" s="151" t="s">
        <v>0</v>
      </c>
    </row>
    <row r="769" ht="14.0">
      <c r="A769" s="151" t="s">
        <v>1941</v>
      </c>
      <c r="B769" s="151" t="s">
        <v>1942</v>
      </c>
      <c r="C769" s="151"/>
      <c r="D769" s="151" t="s">
        <v>0</v>
      </c>
    </row>
    <row r="770" ht="14.0">
      <c r="A770" s="151" t="s">
        <v>1943</v>
      </c>
      <c r="B770" s="151" t="s">
        <v>1944</v>
      </c>
      <c r="C770" s="151"/>
      <c r="D770" s="151" t="s">
        <v>0</v>
      </c>
    </row>
    <row r="771" ht="14.0">
      <c r="A771" s="151" t="s">
        <v>1945</v>
      </c>
      <c r="B771" s="151" t="s">
        <v>1946</v>
      </c>
      <c r="C771" s="151"/>
      <c r="D771" s="151" t="s">
        <v>0</v>
      </c>
    </row>
    <row r="772" ht="14.0">
      <c r="A772" s="151" t="s">
        <v>1947</v>
      </c>
      <c r="B772" s="151" t="s">
        <v>1948</v>
      </c>
      <c r="C772" s="151">
        <v>0.0</v>
      </c>
      <c r="D772" s="151"/>
    </row>
    <row r="773" ht="14.0">
      <c r="A773" s="151" t="s">
        <v>1949</v>
      </c>
      <c r="B773" s="151" t="s">
        <v>1950</v>
      </c>
      <c r="C773" s="151">
        <v>0.0</v>
      </c>
      <c r="D773" s="151"/>
    </row>
    <row r="774" ht="14.0">
      <c r="A774" s="151" t="s">
        <v>1951</v>
      </c>
      <c r="B774" s="151" t="s">
        <v>1952</v>
      </c>
      <c r="C774" s="151">
        <v>0.0</v>
      </c>
      <c r="D774" s="151"/>
    </row>
    <row r="775" ht="14.0">
      <c r="A775" s="151" t="s">
        <v>1953</v>
      </c>
      <c r="B775" s="151" t="s">
        <v>1954</v>
      </c>
      <c r="C775" s="151"/>
      <c r="D775" s="151"/>
    </row>
    <row r="776" ht="14.0">
      <c r="A776" s="151" t="s">
        <v>1955</v>
      </c>
      <c r="B776" s="151" t="s">
        <v>1956</v>
      </c>
      <c r="C776" s="151"/>
      <c r="D776" s="151"/>
    </row>
    <row r="777" ht="14.0">
      <c r="A777" s="151" t="s">
        <v>1957</v>
      </c>
      <c r="B777" s="151" t="s">
        <v>1958</v>
      </c>
      <c r="C777" s="151">
        <v>501.0</v>
      </c>
      <c r="D777" s="151"/>
    </row>
    <row r="778" ht="14.0">
      <c r="A778" s="151" t="s">
        <v>460</v>
      </c>
      <c r="B778" s="151" t="s">
        <v>461</v>
      </c>
      <c r="C778" s="151">
        <v>501.0</v>
      </c>
      <c r="D778" s="151"/>
    </row>
    <row r="779" ht="14.0">
      <c r="A779" s="151" t="s">
        <v>470</v>
      </c>
      <c r="B779" s="151" t="s">
        <v>471</v>
      </c>
      <c r="C779" s="151">
        <v>501.0</v>
      </c>
      <c r="D779" s="151"/>
    </row>
    <row r="780" ht="14.0">
      <c r="A780" s="151" t="s">
        <v>1959</v>
      </c>
      <c r="B780" s="151" t="s">
        <v>1960</v>
      </c>
      <c r="C780" s="151">
        <v>501.0</v>
      </c>
      <c r="D780" s="151"/>
    </row>
    <row r="781" ht="14.0">
      <c r="A781" s="151" t="s">
        <v>466</v>
      </c>
      <c r="B781" s="151" t="s">
        <v>467</v>
      </c>
      <c r="C781" s="151">
        <v>501.0</v>
      </c>
      <c r="D781" s="151"/>
    </row>
    <row r="782" ht="14.0">
      <c r="A782" s="151" t="s">
        <v>1961</v>
      </c>
      <c r="B782" s="151" t="s">
        <v>1962</v>
      </c>
      <c r="C782" s="151">
        <v>501.0</v>
      </c>
      <c r="D782" s="151"/>
    </row>
    <row r="783" ht="14.0">
      <c r="A783" s="151" t="s">
        <v>468</v>
      </c>
      <c r="B783" s="151" t="s">
        <v>469</v>
      </c>
      <c r="C783" s="151">
        <v>501.0</v>
      </c>
      <c r="D783" s="151"/>
    </row>
    <row r="784" ht="14.0">
      <c r="A784" s="151" t="s">
        <v>1963</v>
      </c>
      <c r="B784" s="151" t="s">
        <v>1964</v>
      </c>
      <c r="C784" s="151">
        <v>501.0</v>
      </c>
      <c r="D784" s="151"/>
    </row>
    <row r="785" ht="14.0">
      <c r="A785" s="151" t="s">
        <v>464</v>
      </c>
      <c r="B785" s="151" t="s">
        <v>465</v>
      </c>
      <c r="C785" s="151">
        <v>501.0</v>
      </c>
      <c r="D785" s="151"/>
    </row>
    <row r="786" ht="14.0">
      <c r="A786" s="151" t="s">
        <v>1965</v>
      </c>
      <c r="B786" s="151" t="s">
        <v>1966</v>
      </c>
      <c r="C786" s="151">
        <v>501.0</v>
      </c>
      <c r="D786" s="151"/>
    </row>
    <row r="787" ht="14.0">
      <c r="A787" s="151" t="s">
        <v>458</v>
      </c>
      <c r="B787" s="151" t="s">
        <v>459</v>
      </c>
      <c r="C787" s="151">
        <v>501.0</v>
      </c>
      <c r="D787" s="151"/>
    </row>
    <row r="788" ht="14.0">
      <c r="A788" s="151" t="s">
        <v>472</v>
      </c>
      <c r="B788" s="151" t="s">
        <v>473</v>
      </c>
      <c r="C788" s="151">
        <v>501.0</v>
      </c>
      <c r="D788" s="151"/>
    </row>
    <row r="789" ht="14.0">
      <c r="A789" s="151" t="s">
        <v>462</v>
      </c>
      <c r="B789" s="151" t="s">
        <v>463</v>
      </c>
      <c r="C789" s="151">
        <v>501.0</v>
      </c>
      <c r="D789" s="151"/>
    </row>
    <row r="790" ht="14.0">
      <c r="A790" s="151" t="s">
        <v>1967</v>
      </c>
      <c r="B790" s="151">
        <v>71501.0</v>
      </c>
      <c r="C790" s="151"/>
      <c r="D790" s="151"/>
    </row>
    <row r="791" ht="14.0">
      <c r="A791" s="151" t="s">
        <v>1968</v>
      </c>
      <c r="B791" s="151">
        <v>71201.0</v>
      </c>
      <c r="C791" s="151"/>
      <c r="D791" s="151"/>
    </row>
    <row r="792" ht="14.0">
      <c r="A792" s="151" t="s">
        <v>1969</v>
      </c>
      <c r="B792" s="151" t="s">
        <v>1970</v>
      </c>
      <c r="C792" s="151"/>
      <c r="D792" s="151" t="s">
        <v>0</v>
      </c>
    </row>
    <row r="793" ht="14.0">
      <c r="A793" s="151" t="s">
        <v>408</v>
      </c>
      <c r="B793" s="151" t="s">
        <v>409</v>
      </c>
      <c r="C793" s="151">
        <v>504.0</v>
      </c>
      <c r="D793" s="151"/>
    </row>
    <row r="794" ht="14.0">
      <c r="A794" s="151" t="s">
        <v>402</v>
      </c>
      <c r="B794" s="151" t="s">
        <v>403</v>
      </c>
      <c r="C794" s="151">
        <v>504.0</v>
      </c>
      <c r="D794" s="151" t="s">
        <v>906</v>
      </c>
    </row>
    <row r="795" ht="14.0">
      <c r="A795" s="151" t="s">
        <v>410</v>
      </c>
      <c r="B795" s="151" t="s">
        <v>411</v>
      </c>
      <c r="C795" s="151">
        <v>504.0</v>
      </c>
      <c r="D795" s="151"/>
    </row>
    <row r="796" ht="14.0">
      <c r="A796" s="151" t="s">
        <v>436</v>
      </c>
      <c r="B796" s="151" t="s">
        <v>437</v>
      </c>
      <c r="C796" s="151">
        <v>528.0</v>
      </c>
      <c r="D796" s="151"/>
    </row>
    <row r="797" ht="14.0">
      <c r="A797" s="151" t="s">
        <v>442</v>
      </c>
      <c r="B797" s="151" t="s">
        <v>443</v>
      </c>
      <c r="C797" s="151">
        <v>504.0</v>
      </c>
      <c r="D797" s="151"/>
    </row>
    <row r="798" ht="14.0">
      <c r="A798" s="151" t="s">
        <v>406</v>
      </c>
      <c r="B798" s="151" t="s">
        <v>407</v>
      </c>
      <c r="C798" s="151">
        <v>504.0</v>
      </c>
      <c r="D798" s="151"/>
    </row>
    <row r="799" ht="14.0">
      <c r="A799" s="151" t="s">
        <v>404</v>
      </c>
      <c r="B799" s="151" t="s">
        <v>405</v>
      </c>
      <c r="C799" s="151">
        <v>504.0</v>
      </c>
      <c r="D799" s="151"/>
    </row>
    <row r="800" ht="14.0">
      <c r="A800" s="151" t="s">
        <v>444</v>
      </c>
      <c r="B800" s="151" t="s">
        <v>445</v>
      </c>
      <c r="C800" s="151">
        <v>504.0</v>
      </c>
      <c r="D800" s="151"/>
    </row>
    <row r="801" ht="14.0">
      <c r="A801" s="151" t="s">
        <v>714</v>
      </c>
      <c r="B801" s="151" t="s">
        <v>715</v>
      </c>
      <c r="C801" s="151">
        <v>200.0</v>
      </c>
      <c r="D801" s="151"/>
    </row>
    <row r="802" ht="14.0">
      <c r="A802" s="151" t="s">
        <v>1971</v>
      </c>
      <c r="B802" s="151" t="s">
        <v>1972</v>
      </c>
      <c r="C802" s="151"/>
      <c r="D802" s="151" t="s">
        <v>0</v>
      </c>
    </row>
    <row r="803" ht="14.0">
      <c r="A803" s="151" t="s">
        <v>1973</v>
      </c>
      <c r="B803" s="151" t="s">
        <v>1974</v>
      </c>
      <c r="C803" s="151"/>
      <c r="D803" s="151" t="s">
        <v>0</v>
      </c>
    </row>
    <row r="804" ht="14.0">
      <c r="A804" s="151" t="s">
        <v>1975</v>
      </c>
      <c r="B804" s="151" t="s">
        <v>1976</v>
      </c>
      <c r="C804" s="151"/>
      <c r="D804" s="151" t="s">
        <v>0</v>
      </c>
    </row>
    <row r="805" ht="14.0">
      <c r="A805" s="151" t="s">
        <v>208</v>
      </c>
      <c r="B805" s="151" t="s">
        <v>209</v>
      </c>
      <c r="C805" s="151">
        <v>500.0</v>
      </c>
      <c r="D805" s="151" t="s">
        <v>0</v>
      </c>
    </row>
    <row r="806" ht="14.0">
      <c r="A806" s="151" t="s">
        <v>210</v>
      </c>
      <c r="B806" s="151" t="s">
        <v>211</v>
      </c>
      <c r="C806" s="151">
        <v>500.0</v>
      </c>
      <c r="D806" s="151"/>
    </row>
    <row r="807" ht="14.0">
      <c r="A807" s="151" t="s">
        <v>212</v>
      </c>
      <c r="B807" s="151" t="s">
        <v>213</v>
      </c>
      <c r="C807" s="151">
        <v>500.0</v>
      </c>
      <c r="D807" s="151"/>
    </row>
    <row r="808" ht="14.0">
      <c r="A808" s="151" t="s">
        <v>214</v>
      </c>
      <c r="B808" s="151" t="s">
        <v>215</v>
      </c>
      <c r="C808" s="151">
        <v>500.0</v>
      </c>
      <c r="D808" s="151" t="s">
        <v>906</v>
      </c>
    </row>
    <row r="809" ht="14.0">
      <c r="A809" s="151" t="s">
        <v>218</v>
      </c>
      <c r="B809" s="151" t="s">
        <v>219</v>
      </c>
      <c r="C809" s="151">
        <v>500.0</v>
      </c>
      <c r="D809" s="151" t="s">
        <v>0</v>
      </c>
    </row>
    <row r="810" ht="14.0">
      <c r="A810" s="151" t="s">
        <v>216</v>
      </c>
      <c r="B810" s="151" t="s">
        <v>217</v>
      </c>
      <c r="C810" s="151">
        <v>500.0</v>
      </c>
      <c r="D810" s="151"/>
    </row>
    <row r="811" ht="14.0">
      <c r="A811" s="151" t="s">
        <v>320</v>
      </c>
      <c r="B811" s="151" t="s">
        <v>321</v>
      </c>
      <c r="C811" s="80">
        <v>1002.0</v>
      </c>
      <c r="D811" s="151"/>
    </row>
    <row r="812" ht="14.0">
      <c r="A812" s="151" t="s">
        <v>316</v>
      </c>
      <c r="B812" s="151" t="s">
        <v>317</v>
      </c>
      <c r="C812" s="80">
        <v>1002.0</v>
      </c>
      <c r="D812" s="151"/>
    </row>
    <row r="813" ht="14.0">
      <c r="A813" s="151" t="s">
        <v>1977</v>
      </c>
      <c r="B813" s="151" t="s">
        <v>1978</v>
      </c>
      <c r="C813" s="80">
        <v>1002.0</v>
      </c>
      <c r="D813" s="151" t="s">
        <v>0</v>
      </c>
    </row>
    <row r="814" ht="14.0">
      <c r="A814" s="151" t="s">
        <v>290</v>
      </c>
      <c r="B814" s="151" t="s">
        <v>291</v>
      </c>
      <c r="C814" s="80">
        <v>1002.0</v>
      </c>
      <c r="D814" s="151"/>
    </row>
    <row r="815" ht="14.0">
      <c r="A815" s="151" t="s">
        <v>310</v>
      </c>
      <c r="B815" s="151" t="s">
        <v>311</v>
      </c>
      <c r="C815" s="80">
        <v>1002.0</v>
      </c>
      <c r="D815" s="151" t="s">
        <v>906</v>
      </c>
    </row>
    <row r="816" ht="14.0">
      <c r="A816" s="151" t="s">
        <v>292</v>
      </c>
      <c r="B816" s="151" t="s">
        <v>293</v>
      </c>
      <c r="C816" s="80">
        <v>1002.0</v>
      </c>
      <c r="D816" s="151"/>
    </row>
    <row r="817" ht="14.0">
      <c r="A817" s="151" t="s">
        <v>294</v>
      </c>
      <c r="B817" s="151" t="s">
        <v>295</v>
      </c>
      <c r="C817" s="80">
        <v>1002.0</v>
      </c>
      <c r="D817" s="151"/>
    </row>
    <row r="818" ht="14.0">
      <c r="A818" s="151" t="s">
        <v>296</v>
      </c>
      <c r="B818" s="151" t="s">
        <v>297</v>
      </c>
      <c r="C818" s="80">
        <v>1002.0</v>
      </c>
      <c r="D818" s="151"/>
    </row>
    <row r="819" ht="14.0">
      <c r="A819" s="151" t="s">
        <v>314</v>
      </c>
      <c r="B819" s="151" t="s">
        <v>315</v>
      </c>
      <c r="C819" s="80">
        <v>1002.0</v>
      </c>
      <c r="D819" s="151" t="s">
        <v>906</v>
      </c>
    </row>
    <row r="820" ht="14.0">
      <c r="A820" s="151" t="s">
        <v>1979</v>
      </c>
      <c r="B820" s="151" t="s">
        <v>1980</v>
      </c>
      <c r="C820" s="80">
        <v>1002.0</v>
      </c>
      <c r="D820" s="151" t="s">
        <v>0</v>
      </c>
    </row>
    <row r="821" ht="14.0">
      <c r="A821" s="151" t="s">
        <v>326</v>
      </c>
      <c r="B821" s="151" t="s">
        <v>327</v>
      </c>
      <c r="C821" s="80">
        <v>1002.0</v>
      </c>
      <c r="D821" s="151"/>
    </row>
    <row r="822" ht="14.0">
      <c r="A822" s="151" t="s">
        <v>1981</v>
      </c>
      <c r="B822" s="151" t="s">
        <v>1982</v>
      </c>
      <c r="C822" s="80">
        <v>1002.0</v>
      </c>
      <c r="D822" s="151" t="s">
        <v>0</v>
      </c>
    </row>
    <row r="823" ht="14.0">
      <c r="A823" s="151" t="s">
        <v>1983</v>
      </c>
      <c r="B823" s="151" t="s">
        <v>1984</v>
      </c>
      <c r="C823" s="80">
        <v>1002.0</v>
      </c>
      <c r="D823" s="151" t="s">
        <v>0</v>
      </c>
    </row>
    <row r="824" ht="14.0">
      <c r="A824" s="151" t="s">
        <v>1985</v>
      </c>
      <c r="B824" s="151" t="s">
        <v>1986</v>
      </c>
      <c r="C824" s="80">
        <v>1002.0</v>
      </c>
      <c r="D824" s="151" t="s">
        <v>0</v>
      </c>
    </row>
    <row r="825" ht="14.0">
      <c r="A825" s="151" t="s">
        <v>328</v>
      </c>
      <c r="B825" s="151" t="s">
        <v>329</v>
      </c>
      <c r="C825" s="80">
        <v>1002.0</v>
      </c>
      <c r="D825" s="151"/>
    </row>
    <row r="826" ht="14.0">
      <c r="A826" s="151" t="s">
        <v>330</v>
      </c>
      <c r="B826" s="151" t="s">
        <v>331</v>
      </c>
      <c r="C826" s="80">
        <v>1002.0</v>
      </c>
      <c r="D826" s="151"/>
    </row>
    <row r="827" ht="14.0">
      <c r="A827" s="151" t="s">
        <v>1987</v>
      </c>
      <c r="B827" s="151" t="s">
        <v>1988</v>
      </c>
      <c r="C827" s="80">
        <v>1002.0</v>
      </c>
      <c r="D827" s="151" t="s">
        <v>0</v>
      </c>
    </row>
    <row r="828" ht="14.0">
      <c r="A828" s="151" t="s">
        <v>300</v>
      </c>
      <c r="B828" s="151" t="s">
        <v>301</v>
      </c>
      <c r="C828" s="80">
        <v>1002.0</v>
      </c>
      <c r="D828" s="151"/>
    </row>
    <row r="829" ht="14.0">
      <c r="A829" s="151" t="s">
        <v>1989</v>
      </c>
      <c r="B829" s="151" t="s">
        <v>1990</v>
      </c>
      <c r="C829" s="80">
        <v>1002.0</v>
      </c>
      <c r="D829" s="151" t="s">
        <v>0</v>
      </c>
    </row>
    <row r="830" ht="14.0">
      <c r="A830" s="151" t="s">
        <v>1991</v>
      </c>
      <c r="B830" s="151" t="s">
        <v>1992</v>
      </c>
      <c r="C830" s="80">
        <v>1002.0</v>
      </c>
      <c r="D830" s="151"/>
    </row>
    <row r="831" ht="14.0">
      <c r="A831" s="151" t="s">
        <v>1993</v>
      </c>
      <c r="B831" s="151" t="s">
        <v>1994</v>
      </c>
      <c r="C831" s="80">
        <v>1002.0</v>
      </c>
      <c r="D831" s="151"/>
    </row>
    <row r="832" ht="14.0">
      <c r="A832" s="151" t="s">
        <v>1995</v>
      </c>
      <c r="B832" s="151" t="s">
        <v>1996</v>
      </c>
      <c r="C832" s="80">
        <v>1002.0</v>
      </c>
      <c r="D832" s="151"/>
    </row>
    <row r="833" ht="14.0">
      <c r="A833" s="151" t="s">
        <v>302</v>
      </c>
      <c r="B833" s="151" t="s">
        <v>303</v>
      </c>
      <c r="C833" s="80">
        <v>1002.0</v>
      </c>
      <c r="D833" s="151"/>
    </row>
    <row r="834" ht="14.0">
      <c r="A834" s="151" t="s">
        <v>1997</v>
      </c>
      <c r="B834" s="151" t="s">
        <v>1998</v>
      </c>
      <c r="C834" s="80">
        <v>1002.0</v>
      </c>
      <c r="D834" s="151"/>
    </row>
    <row r="835" ht="14.0">
      <c r="A835" s="151" t="s">
        <v>322</v>
      </c>
      <c r="B835" s="151" t="s">
        <v>323</v>
      </c>
      <c r="C835" s="80">
        <v>1002.0</v>
      </c>
      <c r="D835" s="151"/>
    </row>
    <row r="836" ht="14.0">
      <c r="A836" s="151" t="s">
        <v>304</v>
      </c>
      <c r="B836" s="151" t="s">
        <v>305</v>
      </c>
      <c r="C836" s="80">
        <v>1002.0</v>
      </c>
      <c r="D836" s="151"/>
    </row>
    <row r="837" ht="14.0">
      <c r="A837" s="151" t="s">
        <v>298</v>
      </c>
      <c r="B837" s="151" t="s">
        <v>299</v>
      </c>
      <c r="C837" s="80">
        <v>1002.0</v>
      </c>
      <c r="D837" s="151"/>
    </row>
    <row r="838" ht="14.0">
      <c r="A838" s="151" t="s">
        <v>308</v>
      </c>
      <c r="B838" s="151" t="s">
        <v>309</v>
      </c>
      <c r="C838" s="80">
        <v>1002.0</v>
      </c>
      <c r="D838" s="151"/>
    </row>
    <row r="839" ht="14.0">
      <c r="A839" s="151" t="s">
        <v>312</v>
      </c>
      <c r="B839" s="151" t="s">
        <v>313</v>
      </c>
      <c r="C839" s="80">
        <v>1002.0</v>
      </c>
      <c r="D839" s="151"/>
    </row>
    <row r="840" ht="14.0">
      <c r="A840" s="151" t="s">
        <v>306</v>
      </c>
      <c r="B840" s="151" t="s">
        <v>307</v>
      </c>
      <c r="C840" s="80">
        <v>1002.0</v>
      </c>
      <c r="D840" s="151"/>
    </row>
    <row r="841" ht="14.0">
      <c r="A841" s="151" t="s">
        <v>318</v>
      </c>
      <c r="B841" s="151" t="s">
        <v>319</v>
      </c>
      <c r="C841" s="80">
        <v>1002.0</v>
      </c>
      <c r="D841" s="151"/>
    </row>
    <row r="842" ht="14.0">
      <c r="A842" s="151" t="s">
        <v>324</v>
      </c>
      <c r="B842" s="151" t="s">
        <v>325</v>
      </c>
      <c r="C842" s="80">
        <v>1002.0</v>
      </c>
      <c r="D842" s="151"/>
    </row>
    <row r="843" ht="14.0">
      <c r="A843" s="151" t="s">
        <v>340</v>
      </c>
      <c r="B843" s="151" t="s">
        <v>341</v>
      </c>
      <c r="C843" s="151"/>
      <c r="D843" s="151" t="s">
        <v>906</v>
      </c>
    </row>
    <row r="844" ht="14.0">
      <c r="A844" s="151" t="s">
        <v>342</v>
      </c>
      <c r="B844" s="151" t="s">
        <v>343</v>
      </c>
      <c r="C844" s="151">
        <v>100.0</v>
      </c>
      <c r="D844" s="151"/>
    </row>
    <row r="845" ht="14.0">
      <c r="A845" s="151" t="s">
        <v>1999</v>
      </c>
      <c r="B845" s="151" t="s">
        <v>2000</v>
      </c>
      <c r="C845" s="151"/>
      <c r="D845" s="151" t="s">
        <v>0</v>
      </c>
    </row>
    <row r="846" ht="14.0">
      <c r="A846" s="151" t="s">
        <v>2001</v>
      </c>
      <c r="B846" s="151" t="s">
        <v>2002</v>
      </c>
      <c r="C846" s="151"/>
      <c r="D846" s="151" t="s">
        <v>0</v>
      </c>
    </row>
    <row r="847" ht="14.0">
      <c r="A847" s="151" t="s">
        <v>2003</v>
      </c>
      <c r="B847" s="151" t="s">
        <v>2004</v>
      </c>
      <c r="C847" s="80">
        <v>1002.0</v>
      </c>
      <c r="D847" s="151" t="s">
        <v>0</v>
      </c>
    </row>
    <row r="848" ht="14.0">
      <c r="A848" s="151" t="s">
        <v>2005</v>
      </c>
      <c r="B848" s="151" t="s">
        <v>2006</v>
      </c>
      <c r="C848" s="80">
        <v>1002.0</v>
      </c>
      <c r="D848" s="151" t="s">
        <v>0</v>
      </c>
    </row>
    <row r="849" ht="14.0">
      <c r="A849" s="151" t="s">
        <v>2007</v>
      </c>
      <c r="B849" s="151" t="s">
        <v>2008</v>
      </c>
      <c r="C849" s="151"/>
      <c r="D849" s="151" t="s">
        <v>0</v>
      </c>
    </row>
    <row r="850" ht="14.0">
      <c r="A850" s="151" t="s">
        <v>2009</v>
      </c>
      <c r="B850" s="151" t="s">
        <v>2010</v>
      </c>
      <c r="C850" s="80">
        <v>1002.0</v>
      </c>
      <c r="D850" s="151" t="s">
        <v>0</v>
      </c>
    </row>
    <row r="851" ht="14.0">
      <c r="A851" s="151" t="s">
        <v>2011</v>
      </c>
      <c r="B851" s="151" t="s">
        <v>2012</v>
      </c>
      <c r="C851" s="151">
        <v>500.0</v>
      </c>
      <c r="D851" s="151" t="s">
        <v>0</v>
      </c>
    </row>
    <row r="852" ht="14.0">
      <c r="A852" s="151" t="s">
        <v>2013</v>
      </c>
      <c r="B852" s="151" t="s">
        <v>2014</v>
      </c>
      <c r="C852" s="151"/>
      <c r="D852" s="151" t="s">
        <v>0</v>
      </c>
    </row>
    <row r="853" ht="14.0">
      <c r="A853" s="151" t="s">
        <v>2015</v>
      </c>
      <c r="B853" s="151" t="s">
        <v>2016</v>
      </c>
      <c r="C853" s="151"/>
      <c r="D853" s="151" t="s">
        <v>0</v>
      </c>
    </row>
    <row r="854" ht="14.0">
      <c r="A854" s="151" t="s">
        <v>2017</v>
      </c>
      <c r="B854" s="151" t="s">
        <v>2018</v>
      </c>
      <c r="C854" s="151">
        <v>500.0</v>
      </c>
      <c r="D854" s="151" t="s">
        <v>0</v>
      </c>
    </row>
    <row r="855" ht="14.0">
      <c r="A855" s="151" t="s">
        <v>2019</v>
      </c>
      <c r="B855" s="151" t="s">
        <v>2020</v>
      </c>
      <c r="C855" s="151">
        <v>500.0</v>
      </c>
      <c r="D855" s="151" t="s">
        <v>0</v>
      </c>
    </row>
    <row r="856" ht="14.0">
      <c r="A856" s="151" t="s">
        <v>374</v>
      </c>
      <c r="B856" s="151" t="s">
        <v>375</v>
      </c>
      <c r="C856" s="151"/>
      <c r="D856" s="151"/>
    </row>
    <row r="857" ht="14.0">
      <c r="A857" s="151" t="s">
        <v>385</v>
      </c>
      <c r="B857" s="151" t="s">
        <v>386</v>
      </c>
      <c r="C857" s="80">
        <v>1002.0</v>
      </c>
      <c r="D857" s="151"/>
    </row>
    <row r="858" ht="14.0">
      <c r="A858" s="151" t="s">
        <v>377</v>
      </c>
      <c r="B858" s="151" t="s">
        <v>378</v>
      </c>
      <c r="C858" s="80">
        <v>1002.0</v>
      </c>
      <c r="D858" s="151" t="s">
        <v>0</v>
      </c>
    </row>
    <row r="859" ht="14.0">
      <c r="A859" s="151" t="s">
        <v>379</v>
      </c>
      <c r="B859" s="151" t="s">
        <v>380</v>
      </c>
      <c r="C859" s="80">
        <v>1002.0</v>
      </c>
      <c r="D859" s="151" t="s">
        <v>0</v>
      </c>
    </row>
    <row r="860" ht="14.0">
      <c r="A860" s="151" t="s">
        <v>383</v>
      </c>
      <c r="B860" s="151" t="s">
        <v>384</v>
      </c>
      <c r="C860" s="80">
        <v>1002.0</v>
      </c>
      <c r="D860" s="151"/>
    </row>
    <row r="861" ht="14.0">
      <c r="A861" s="151" t="s">
        <v>381</v>
      </c>
      <c r="B861" s="151" t="s">
        <v>382</v>
      </c>
      <c r="C861" s="80">
        <v>1002.0</v>
      </c>
      <c r="D861" s="151" t="s">
        <v>0</v>
      </c>
    </row>
    <row r="862" ht="14.0">
      <c r="A862" s="151" t="s">
        <v>2021</v>
      </c>
      <c r="B862" s="151" t="s">
        <v>2022</v>
      </c>
      <c r="C862" s="151"/>
      <c r="D862" s="151" t="s">
        <v>0</v>
      </c>
    </row>
    <row r="863" ht="14.0">
      <c r="A863" s="151" t="s">
        <v>387</v>
      </c>
      <c r="B863" s="151" t="s">
        <v>388</v>
      </c>
      <c r="C863" s="80">
        <v>1002.0</v>
      </c>
      <c r="D863" s="151" t="s">
        <v>0</v>
      </c>
    </row>
    <row r="864" ht="14.0">
      <c r="A864" s="151" t="s">
        <v>2023</v>
      </c>
      <c r="B864" s="151" t="s">
        <v>2024</v>
      </c>
      <c r="C864" s="151"/>
      <c r="D864" s="151" t="s">
        <v>0</v>
      </c>
    </row>
    <row r="865" ht="14.0">
      <c r="A865" s="151" t="s">
        <v>399</v>
      </c>
      <c r="B865" s="151" t="s">
        <v>400</v>
      </c>
      <c r="C865" s="151"/>
      <c r="D865" s="151" t="s">
        <v>906</v>
      </c>
    </row>
    <row r="866" ht="14.0">
      <c r="A866" s="151" t="s">
        <v>2025</v>
      </c>
      <c r="B866" s="151" t="s">
        <v>2026</v>
      </c>
      <c r="C866" s="151"/>
      <c r="D866" s="151"/>
    </row>
    <row r="867" ht="14.0">
      <c r="A867" s="151" t="s">
        <v>2027</v>
      </c>
      <c r="B867" s="151" t="s">
        <v>2028</v>
      </c>
      <c r="C867" s="151"/>
      <c r="D867" s="151" t="s">
        <v>0</v>
      </c>
    </row>
    <row r="868" ht="14.0">
      <c r="A868" s="151" t="s">
        <v>2029</v>
      </c>
      <c r="B868" s="151" t="s">
        <v>2030</v>
      </c>
      <c r="C868" s="151"/>
      <c r="D868" s="151" t="s">
        <v>0</v>
      </c>
    </row>
    <row r="869" ht="14.0">
      <c r="A869" s="151" t="s">
        <v>2031</v>
      </c>
      <c r="B869" s="151" t="s">
        <v>2032</v>
      </c>
      <c r="C869" s="151"/>
      <c r="D869" s="151" t="s">
        <v>0</v>
      </c>
    </row>
    <row r="870" ht="14.0">
      <c r="A870" s="151" t="s">
        <v>2033</v>
      </c>
      <c r="B870" s="151" t="s">
        <v>2034</v>
      </c>
      <c r="C870" s="151"/>
      <c r="D870" s="151" t="s">
        <v>0</v>
      </c>
    </row>
    <row r="871" ht="14.0">
      <c r="A871" s="151" t="s">
        <v>2035</v>
      </c>
      <c r="B871" s="151" t="s">
        <v>2036</v>
      </c>
      <c r="C871" s="151"/>
      <c r="D871" s="151" t="s">
        <v>0</v>
      </c>
    </row>
    <row r="872" ht="14.0">
      <c r="A872" s="151" t="s">
        <v>2037</v>
      </c>
      <c r="B872" s="151" t="s">
        <v>2038</v>
      </c>
      <c r="C872" s="151"/>
      <c r="D872" s="151" t="s">
        <v>0</v>
      </c>
    </row>
    <row r="873" ht="14.0">
      <c r="A873" s="151" t="s">
        <v>2039</v>
      </c>
      <c r="B873" s="151" t="s">
        <v>2040</v>
      </c>
      <c r="C873" s="151"/>
      <c r="D873" s="151" t="s">
        <v>0</v>
      </c>
    </row>
    <row r="874" ht="14.0">
      <c r="A874" s="151" t="s">
        <v>2041</v>
      </c>
      <c r="B874" s="151" t="s">
        <v>2042</v>
      </c>
      <c r="C874" s="151"/>
      <c r="D874" s="151" t="s">
        <v>0</v>
      </c>
    </row>
    <row r="875" ht="14.0">
      <c r="A875" s="151" t="s">
        <v>2043</v>
      </c>
      <c r="B875" s="151" t="s">
        <v>2044</v>
      </c>
      <c r="C875" s="151"/>
      <c r="D875" s="151" t="s">
        <v>0</v>
      </c>
    </row>
    <row r="876" ht="14.0">
      <c r="A876" s="151" t="s">
        <v>2045</v>
      </c>
      <c r="B876" s="151" t="s">
        <v>2046</v>
      </c>
      <c r="C876" s="151"/>
      <c r="D876" s="151" t="s">
        <v>0</v>
      </c>
    </row>
    <row r="877" ht="14.0">
      <c r="A877" s="151" t="s">
        <v>2047</v>
      </c>
      <c r="B877" s="151" t="s">
        <v>2048</v>
      </c>
      <c r="C877" s="151"/>
      <c r="D877" s="151" t="s">
        <v>0</v>
      </c>
    </row>
    <row r="878" ht="14.0">
      <c r="A878" s="151" t="s">
        <v>2049</v>
      </c>
      <c r="B878" s="151" t="s">
        <v>2049</v>
      </c>
      <c r="C878" s="151"/>
      <c r="D878" s="151" t="s">
        <v>0</v>
      </c>
    </row>
    <row r="879" ht="14.0">
      <c r="A879" s="151" t="s">
        <v>2050</v>
      </c>
      <c r="B879" s="151" t="s">
        <v>2051</v>
      </c>
      <c r="C879" s="80">
        <v>1800.0</v>
      </c>
      <c r="D879" s="151"/>
    </row>
    <row r="880" ht="14.0">
      <c r="A880" s="151" t="s">
        <v>2052</v>
      </c>
      <c r="B880" s="151" t="s">
        <v>2053</v>
      </c>
      <c r="C880" s="151"/>
      <c r="D880" s="151" t="s">
        <v>0</v>
      </c>
    </row>
    <row r="881" ht="14.0">
      <c r="A881" s="151" t="s">
        <v>2054</v>
      </c>
      <c r="B881" s="151" t="s">
        <v>2055</v>
      </c>
      <c r="C881" s="151"/>
      <c r="D881" s="151" t="s">
        <v>0</v>
      </c>
    </row>
    <row r="882" ht="14.0">
      <c r="A882" s="151" t="s">
        <v>2056</v>
      </c>
      <c r="B882" s="151" t="s">
        <v>2057</v>
      </c>
      <c r="C882" s="151"/>
      <c r="D882" s="151" t="s">
        <v>0</v>
      </c>
    </row>
    <row r="883" ht="14.0">
      <c r="A883" s="151" t="s">
        <v>2058</v>
      </c>
      <c r="B883" s="151" t="s">
        <v>2059</v>
      </c>
      <c r="C883" s="151"/>
      <c r="D883" s="151" t="s">
        <v>0</v>
      </c>
    </row>
    <row r="884" ht="14.0">
      <c r="A884" s="151" t="s">
        <v>2060</v>
      </c>
      <c r="B884" s="151" t="s">
        <v>2061</v>
      </c>
      <c r="C884" s="151"/>
      <c r="D884" s="151" t="s">
        <v>0</v>
      </c>
    </row>
    <row r="885" ht="14.0">
      <c r="A885" s="151" t="s">
        <v>2062</v>
      </c>
      <c r="B885" s="151" t="s">
        <v>2063</v>
      </c>
      <c r="C885" s="151"/>
      <c r="D885" s="151" t="s">
        <v>0</v>
      </c>
    </row>
    <row r="886" ht="14.0">
      <c r="A886" s="151" t="s">
        <v>2064</v>
      </c>
      <c r="B886" s="151" t="s">
        <v>2065</v>
      </c>
      <c r="C886" s="151"/>
      <c r="D886" s="151" t="s">
        <v>0</v>
      </c>
    </row>
    <row r="887" ht="14.0">
      <c r="A887" s="151" t="s">
        <v>2066</v>
      </c>
      <c r="B887" s="151" t="s">
        <v>2067</v>
      </c>
      <c r="C887" s="151"/>
      <c r="D887" s="151" t="s">
        <v>0</v>
      </c>
    </row>
    <row r="888" ht="14.0">
      <c r="A888" s="151" t="s">
        <v>2068</v>
      </c>
      <c r="B888" s="151" t="s">
        <v>2069</v>
      </c>
      <c r="C888" s="151"/>
      <c r="D888" s="151" t="s">
        <v>906</v>
      </c>
    </row>
    <row r="889" ht="14.0">
      <c r="A889" s="151" t="s">
        <v>451</v>
      </c>
      <c r="B889" s="151" t="s">
        <v>452</v>
      </c>
      <c r="C889" s="80">
        <v>1002.0</v>
      </c>
      <c r="D889" s="151"/>
    </row>
    <row r="890" ht="14.0">
      <c r="A890" s="151" t="s">
        <v>2070</v>
      </c>
      <c r="B890" s="151" t="s">
        <v>2071</v>
      </c>
      <c r="C890" s="80">
        <v>3000.0</v>
      </c>
      <c r="D890" s="151"/>
    </row>
    <row r="891" ht="14.0">
      <c r="A891" s="151" t="s">
        <v>2072</v>
      </c>
      <c r="B891" s="151" t="s">
        <v>2073</v>
      </c>
      <c r="C891" s="80">
        <v>3000.0</v>
      </c>
      <c r="D891" s="151"/>
    </row>
    <row r="892" ht="14.0">
      <c r="A892" s="151" t="s">
        <v>2074</v>
      </c>
      <c r="B892" s="151" t="s">
        <v>2075</v>
      </c>
      <c r="C892" s="80">
        <v>3000.0</v>
      </c>
      <c r="D892" s="151"/>
    </row>
    <row r="893" ht="14.0">
      <c r="A893" s="151" t="s">
        <v>2076</v>
      </c>
      <c r="B893" s="151" t="s">
        <v>2077</v>
      </c>
      <c r="C893" s="80">
        <v>3000.0</v>
      </c>
      <c r="D893" s="151"/>
    </row>
    <row r="894" ht="14.0">
      <c r="A894" s="151" t="s">
        <v>2078</v>
      </c>
      <c r="B894" s="151" t="s">
        <v>2079</v>
      </c>
      <c r="C894" s="151"/>
      <c r="D894" s="151" t="s">
        <v>0</v>
      </c>
    </row>
    <row r="895" ht="14.0">
      <c r="A895" s="151" t="s">
        <v>2080</v>
      </c>
      <c r="B895" s="151" t="s">
        <v>2081</v>
      </c>
      <c r="C895" s="151"/>
      <c r="D895" s="151" t="s">
        <v>0</v>
      </c>
    </row>
    <row r="896" ht="14.0">
      <c r="A896" s="151" t="s">
        <v>2082</v>
      </c>
      <c r="B896" s="151" t="s">
        <v>2083</v>
      </c>
      <c r="C896" s="151"/>
      <c r="D896" s="151" t="s">
        <v>0</v>
      </c>
    </row>
    <row r="897" ht="14.0">
      <c r="A897" s="151" t="s">
        <v>2084</v>
      </c>
      <c r="B897" s="151" t="s">
        <v>2085</v>
      </c>
      <c r="C897" s="151"/>
      <c r="D897" s="151" t="s">
        <v>0</v>
      </c>
    </row>
    <row r="898" ht="14.0">
      <c r="A898" s="151" t="s">
        <v>2086</v>
      </c>
      <c r="B898" s="151" t="s">
        <v>2087</v>
      </c>
      <c r="C898" s="151"/>
      <c r="D898" s="151"/>
    </row>
    <row r="899" ht="14.0">
      <c r="A899" s="151" t="s">
        <v>2088</v>
      </c>
      <c r="B899" s="151" t="s">
        <v>2089</v>
      </c>
      <c r="C899" s="151"/>
      <c r="D899" s="151"/>
    </row>
    <row r="900" ht="14.0">
      <c r="A900" s="151" t="s">
        <v>2090</v>
      </c>
      <c r="B900" s="151" t="s">
        <v>2091</v>
      </c>
      <c r="C900" s="151">
        <v>125.0</v>
      </c>
      <c r="D900" s="151"/>
    </row>
    <row r="901" ht="14.0">
      <c r="A901" s="151" t="s">
        <v>2092</v>
      </c>
      <c r="B901" s="151" t="s">
        <v>2093</v>
      </c>
      <c r="C901" s="151">
        <v>76.0</v>
      </c>
      <c r="D901" s="151"/>
    </row>
    <row r="902" ht="14.0">
      <c r="A902" s="151" t="s">
        <v>2094</v>
      </c>
      <c r="B902" s="151" t="s">
        <v>2095</v>
      </c>
      <c r="C902" s="151">
        <v>436.0</v>
      </c>
      <c r="D902" s="151"/>
    </row>
    <row r="903" ht="14.0">
      <c r="A903" s="151" t="s">
        <v>2096</v>
      </c>
      <c r="B903" s="151" t="s">
        <v>2097</v>
      </c>
      <c r="C903" s="151">
        <v>292.0</v>
      </c>
      <c r="D903" s="151"/>
    </row>
    <row r="904" ht="14.0">
      <c r="A904" s="151" t="s">
        <v>2098</v>
      </c>
      <c r="B904" s="151" t="s">
        <v>2099</v>
      </c>
      <c r="C904" s="151">
        <v>271.0</v>
      </c>
      <c r="D904" s="151"/>
    </row>
    <row r="905" ht="14.0">
      <c r="A905" s="151" t="s">
        <v>2100</v>
      </c>
      <c r="B905" s="151" t="s">
        <v>2101</v>
      </c>
      <c r="C905" s="151"/>
      <c r="D905" s="151"/>
    </row>
    <row r="906" ht="14.0">
      <c r="A906" s="151" t="s">
        <v>2102</v>
      </c>
      <c r="B906" s="151" t="s">
        <v>2103</v>
      </c>
      <c r="C906" s="151"/>
      <c r="D906" s="151"/>
    </row>
    <row r="907" ht="14.0">
      <c r="A907" s="151" t="s">
        <v>2104</v>
      </c>
      <c r="B907" s="151" t="s">
        <v>2105</v>
      </c>
      <c r="C907" s="151">
        <v>122.0</v>
      </c>
      <c r="D907" s="151"/>
    </row>
    <row r="908" ht="14.0">
      <c r="A908" s="151" t="s">
        <v>2106</v>
      </c>
      <c r="B908" s="151" t="s">
        <v>2107</v>
      </c>
      <c r="C908" s="151"/>
      <c r="D908" s="151"/>
    </row>
    <row r="909" ht="14.0">
      <c r="A909" s="151" t="s">
        <v>2108</v>
      </c>
      <c r="B909" s="151" t="s">
        <v>2109</v>
      </c>
      <c r="C909" s="151"/>
      <c r="D909" s="151"/>
    </row>
    <row r="910" ht="14.0">
      <c r="A910" s="151" t="s">
        <v>2110</v>
      </c>
      <c r="B910" s="151" t="s">
        <v>2111</v>
      </c>
      <c r="C910" s="151"/>
      <c r="D910" s="151"/>
    </row>
    <row r="911" ht="14.0">
      <c r="A911" s="151" t="s">
        <v>2112</v>
      </c>
      <c r="B911" s="151" t="s">
        <v>2113</v>
      </c>
      <c r="C911" s="151"/>
      <c r="D911" s="151"/>
    </row>
    <row r="912" ht="14.0">
      <c r="A912" s="151" t="s">
        <v>2114</v>
      </c>
      <c r="B912" s="151" t="s">
        <v>2115</v>
      </c>
      <c r="C912" s="151"/>
      <c r="D912" s="151"/>
    </row>
    <row r="913" ht="14.0">
      <c r="A913" s="151" t="s">
        <v>2116</v>
      </c>
      <c r="B913" s="151" t="s">
        <v>2117</v>
      </c>
      <c r="C913" s="151"/>
      <c r="D913" s="151"/>
    </row>
    <row r="914" ht="14.0">
      <c r="A914" s="151" t="s">
        <v>2118</v>
      </c>
      <c r="B914" s="151" t="s">
        <v>2119</v>
      </c>
      <c r="C914" s="151"/>
      <c r="D914" s="151"/>
    </row>
    <row r="915" ht="14.0">
      <c r="A915" s="151" t="s">
        <v>2120</v>
      </c>
      <c r="B915" s="151" t="s">
        <v>2121</v>
      </c>
      <c r="C915" s="151"/>
      <c r="D915" s="151"/>
    </row>
    <row r="916" ht="14.0">
      <c r="A916" s="151" t="s">
        <v>2122</v>
      </c>
      <c r="B916" s="151" t="s">
        <v>2123</v>
      </c>
      <c r="C916" s="151"/>
      <c r="D916" s="151"/>
    </row>
    <row r="917" ht="14.0">
      <c r="A917" s="151" t="s">
        <v>2124</v>
      </c>
      <c r="B917" s="151" t="s">
        <v>2125</v>
      </c>
      <c r="C917" s="151"/>
      <c r="D917" s="151"/>
    </row>
    <row r="918" ht="14.0">
      <c r="A918" s="151" t="s">
        <v>2126</v>
      </c>
      <c r="B918" s="151" t="s">
        <v>2127</v>
      </c>
      <c r="C918" s="151"/>
      <c r="D918" s="151"/>
    </row>
    <row r="919" ht="14.0">
      <c r="A919" s="151" t="s">
        <v>2128</v>
      </c>
      <c r="B919" s="151" t="s">
        <v>2129</v>
      </c>
      <c r="C919" s="151"/>
      <c r="D919" s="151" t="s">
        <v>0</v>
      </c>
    </row>
    <row r="920" ht="14.0">
      <c r="A920" s="151" t="s">
        <v>2130</v>
      </c>
      <c r="B920" s="151" t="s">
        <v>2131</v>
      </c>
      <c r="C920" s="151">
        <v>600.0</v>
      </c>
      <c r="D920" s="151" t="s">
        <v>0</v>
      </c>
    </row>
    <row r="921" ht="14.0">
      <c r="A921" s="151" t="s">
        <v>2132</v>
      </c>
      <c r="B921" s="151" t="s">
        <v>2133</v>
      </c>
      <c r="C921" s="151">
        <v>600.0</v>
      </c>
      <c r="D921" s="151" t="s">
        <v>0</v>
      </c>
    </row>
    <row r="922" ht="14.0">
      <c r="A922" s="151" t="s">
        <v>2134</v>
      </c>
      <c r="B922" s="151" t="s">
        <v>2135</v>
      </c>
      <c r="C922" s="151"/>
      <c r="D922" s="151" t="s">
        <v>0</v>
      </c>
    </row>
    <row r="923" ht="14.0">
      <c r="A923" s="151" t="s">
        <v>2136</v>
      </c>
      <c r="B923" s="151" t="s">
        <v>2137</v>
      </c>
      <c r="C923" s="151"/>
      <c r="D923" s="151" t="s">
        <v>0</v>
      </c>
    </row>
    <row r="924" ht="14.0">
      <c r="A924" s="151" t="s">
        <v>2138</v>
      </c>
      <c r="B924" s="151" t="s">
        <v>2139</v>
      </c>
      <c r="C924" s="151"/>
      <c r="D924" s="151"/>
    </row>
    <row r="925" ht="14.0">
      <c r="A925" s="151" t="s">
        <v>2140</v>
      </c>
      <c r="B925" s="151" t="s">
        <v>2141</v>
      </c>
      <c r="C925" s="151">
        <v>308.0</v>
      </c>
      <c r="D925" s="151"/>
    </row>
    <row r="926" ht="14.0">
      <c r="A926" s="151" t="s">
        <v>2142</v>
      </c>
      <c r="B926" s="151" t="s">
        <v>2143</v>
      </c>
      <c r="C926" s="151"/>
      <c r="D926" s="151" t="s">
        <v>0</v>
      </c>
    </row>
    <row r="927" ht="14.0">
      <c r="A927" s="151" t="s">
        <v>2144</v>
      </c>
      <c r="B927" s="151" t="s">
        <v>2145</v>
      </c>
      <c r="C927" s="151"/>
      <c r="D927" s="151"/>
    </row>
    <row r="928" ht="14.0">
      <c r="A928" s="151" t="s">
        <v>2146</v>
      </c>
      <c r="B928" s="151" t="s">
        <v>58</v>
      </c>
      <c r="C928" s="80">
        <v>1002.0</v>
      </c>
      <c r="D928" s="151"/>
    </row>
    <row r="929" ht="14.0">
      <c r="A929" s="151" t="s">
        <v>51</v>
      </c>
      <c r="B929" s="151" t="s">
        <v>52</v>
      </c>
      <c r="C929" s="80">
        <v>1002.0</v>
      </c>
      <c r="D929" s="151"/>
    </row>
    <row r="930" ht="14.0">
      <c r="A930" s="151" t="s">
        <v>55</v>
      </c>
      <c r="B930" s="151" t="s">
        <v>56</v>
      </c>
      <c r="C930" s="80">
        <v>1002.0</v>
      </c>
      <c r="D930" s="151"/>
    </row>
    <row r="931" ht="14.0">
      <c r="A931" s="151" t="s">
        <v>49</v>
      </c>
      <c r="B931" s="151" t="s">
        <v>50</v>
      </c>
      <c r="C931" s="80">
        <v>1002.0</v>
      </c>
      <c r="D931" s="151"/>
    </row>
    <row r="932" ht="14.0">
      <c r="A932" s="151" t="s">
        <v>53</v>
      </c>
      <c r="B932" s="151" t="s">
        <v>54</v>
      </c>
      <c r="C932" s="80">
        <v>1002.0</v>
      </c>
      <c r="D932" s="151"/>
    </row>
    <row r="933" ht="14.0">
      <c r="A933" s="151" t="s">
        <v>47</v>
      </c>
      <c r="B933" s="151" t="s">
        <v>48</v>
      </c>
      <c r="C933" s="80">
        <v>1002.0</v>
      </c>
      <c r="D933" s="151"/>
    </row>
    <row r="934" ht="14.0">
      <c r="A934" s="151" t="s">
        <v>2147</v>
      </c>
      <c r="B934" s="151" t="s">
        <v>2148</v>
      </c>
      <c r="C934" s="151"/>
      <c r="D934" s="151"/>
    </row>
    <row r="935" ht="14.0">
      <c r="A935" s="151" t="s">
        <v>61</v>
      </c>
      <c r="B935" s="151" t="s">
        <v>62</v>
      </c>
      <c r="C935" s="151"/>
      <c r="D935" s="151" t="s">
        <v>0</v>
      </c>
    </row>
    <row r="936" ht="14.0">
      <c r="A936" s="151" t="s">
        <v>59</v>
      </c>
      <c r="B936" s="151" t="s">
        <v>60</v>
      </c>
      <c r="C936" s="151"/>
      <c r="D936" s="151" t="s">
        <v>0</v>
      </c>
    </row>
    <row r="937" ht="14.0">
      <c r="A937" s="151" t="s">
        <v>2149</v>
      </c>
      <c r="B937" s="151" t="s">
        <v>2150</v>
      </c>
      <c r="C937" s="80">
        <v>1008.0</v>
      </c>
      <c r="D937" s="151"/>
    </row>
    <row r="938" ht="14.0">
      <c r="A938" s="151" t="s">
        <v>2151</v>
      </c>
      <c r="B938" s="151" t="s">
        <v>2152</v>
      </c>
      <c r="C938" s="80">
        <v>1008.0</v>
      </c>
      <c r="D938" s="151"/>
    </row>
    <row r="939" ht="14.0">
      <c r="A939" s="151" t="s">
        <v>2153</v>
      </c>
      <c r="B939" s="151" t="s">
        <v>2154</v>
      </c>
      <c r="C939" s="80">
        <v>1512.0</v>
      </c>
      <c r="D939" s="151"/>
    </row>
    <row r="940" ht="14.0">
      <c r="A940" s="151" t="s">
        <v>2155</v>
      </c>
      <c r="B940" s="151" t="s">
        <v>2156</v>
      </c>
      <c r="C940" s="80">
        <v>1008.0</v>
      </c>
      <c r="D940" s="151" t="s">
        <v>906</v>
      </c>
    </row>
    <row r="941" ht="14.0">
      <c r="A941" s="151" t="s">
        <v>2157</v>
      </c>
      <c r="B941" s="151" t="s">
        <v>2158</v>
      </c>
      <c r="C941" s="80">
        <v>1008.0</v>
      </c>
      <c r="D941" s="151"/>
    </row>
    <row r="942" ht="14.0">
      <c r="A942" s="151" t="s">
        <v>2159</v>
      </c>
      <c r="B942" s="151" t="s">
        <v>2160</v>
      </c>
      <c r="C942" s="80">
        <v>1008.0</v>
      </c>
      <c r="D942" s="151"/>
    </row>
    <row r="943" ht="14.0">
      <c r="A943" s="151" t="s">
        <v>2161</v>
      </c>
      <c r="B943" s="151" t="s">
        <v>2162</v>
      </c>
      <c r="C943" s="80">
        <v>1008.0</v>
      </c>
      <c r="D943" s="151" t="s">
        <v>906</v>
      </c>
    </row>
    <row r="944" ht="14.0">
      <c r="A944" s="151" t="s">
        <v>2163</v>
      </c>
      <c r="B944" s="151" t="s">
        <v>2164</v>
      </c>
      <c r="C944" s="80">
        <v>1008.0</v>
      </c>
      <c r="D944" s="151"/>
    </row>
    <row r="945" ht="14.0">
      <c r="A945" s="151" t="s">
        <v>2165</v>
      </c>
      <c r="B945" s="151" t="s">
        <v>2166</v>
      </c>
      <c r="C945" s="80">
        <v>1008.0</v>
      </c>
      <c r="D945" s="151"/>
    </row>
    <row r="946" ht="14.0">
      <c r="A946" s="151" t="s">
        <v>2167</v>
      </c>
      <c r="B946" s="151" t="s">
        <v>2168</v>
      </c>
      <c r="C946" s="80">
        <v>1512.0</v>
      </c>
      <c r="D946" s="151"/>
    </row>
    <row r="947" ht="14.0">
      <c r="A947" s="151" t="s">
        <v>2169</v>
      </c>
      <c r="B947" s="151" t="s">
        <v>2170</v>
      </c>
      <c r="C947" s="80">
        <v>1008.0</v>
      </c>
      <c r="D947" s="151"/>
    </row>
    <row r="948" ht="14.0">
      <c r="A948" s="151" t="s">
        <v>2171</v>
      </c>
      <c r="B948" s="151" t="s">
        <v>2172</v>
      </c>
      <c r="C948" s="80">
        <v>1008.0</v>
      </c>
      <c r="D948" s="151"/>
    </row>
    <row r="949" ht="14.0">
      <c r="A949" s="151" t="s">
        <v>2173</v>
      </c>
      <c r="B949" s="151" t="s">
        <v>2174</v>
      </c>
      <c r="C949" s="80">
        <v>1008.0</v>
      </c>
      <c r="D949" s="151"/>
    </row>
    <row r="950" ht="14.0">
      <c r="A950" s="151" t="s">
        <v>2175</v>
      </c>
      <c r="B950" s="151" t="s">
        <v>2176</v>
      </c>
      <c r="C950" s="80">
        <v>1008.0</v>
      </c>
      <c r="D950" s="151"/>
    </row>
    <row r="951" ht="14.0">
      <c r="A951" s="151" t="s">
        <v>2177</v>
      </c>
      <c r="B951" s="151" t="s">
        <v>2178</v>
      </c>
      <c r="C951" s="80">
        <v>1008.0</v>
      </c>
      <c r="D951" s="151" t="s">
        <v>906</v>
      </c>
    </row>
    <row r="952" ht="14.0">
      <c r="A952" s="151" t="s">
        <v>2179</v>
      </c>
      <c r="B952" s="151" t="s">
        <v>2180</v>
      </c>
      <c r="C952" s="80">
        <v>2016.0</v>
      </c>
      <c r="D952" s="151"/>
    </row>
    <row r="953" ht="14.0">
      <c r="A953" s="151" t="s">
        <v>2181</v>
      </c>
      <c r="B953" s="151" t="s">
        <v>2182</v>
      </c>
      <c r="C953" s="80">
        <v>1008.0</v>
      </c>
      <c r="D953" s="151"/>
    </row>
    <row r="954" ht="14.0">
      <c r="A954" s="151" t="s">
        <v>2183</v>
      </c>
      <c r="B954" s="151" t="s">
        <v>2184</v>
      </c>
      <c r="C954" s="151"/>
      <c r="D954" s="151"/>
    </row>
    <row r="955" ht="14.0">
      <c r="A955" s="151" t="s">
        <v>2185</v>
      </c>
      <c r="B955" s="151" t="s">
        <v>2186</v>
      </c>
      <c r="C955" s="151"/>
      <c r="D955" s="151"/>
    </row>
    <row r="956" ht="14.0">
      <c r="A956" s="151" t="s">
        <v>2187</v>
      </c>
      <c r="B956" s="151" t="s">
        <v>2188</v>
      </c>
      <c r="C956" s="80">
        <v>1000.0</v>
      </c>
      <c r="D956" s="151"/>
    </row>
    <row r="957" ht="14.0">
      <c r="A957" s="151" t="s">
        <v>2189</v>
      </c>
      <c r="B957" s="151" t="s">
        <v>2190</v>
      </c>
      <c r="C957" s="80">
        <v>1000.0</v>
      </c>
      <c r="D957" s="151"/>
    </row>
    <row r="958" ht="14.0">
      <c r="A958" s="151" t="s">
        <v>2191</v>
      </c>
      <c r="B958" s="151" t="s">
        <v>2192</v>
      </c>
      <c r="C958" s="80">
        <v>1000.0</v>
      </c>
      <c r="D958" s="151"/>
    </row>
    <row r="959" ht="14.0">
      <c r="A959" s="151" t="s">
        <v>2193</v>
      </c>
      <c r="B959" s="151" t="s">
        <v>2194</v>
      </c>
      <c r="C959" s="80">
        <v>1000.0</v>
      </c>
      <c r="D959" s="151"/>
    </row>
    <row r="960" ht="14.0">
      <c r="A960" s="151" t="s">
        <v>2195</v>
      </c>
      <c r="B960" s="151" t="s">
        <v>2196</v>
      </c>
      <c r="C960" s="80">
        <v>1000.0</v>
      </c>
      <c r="D960" s="151"/>
    </row>
    <row r="961" ht="14.0">
      <c r="A961" s="151" t="s">
        <v>2197</v>
      </c>
      <c r="B961" s="151" t="s">
        <v>2198</v>
      </c>
      <c r="C961" s="80">
        <v>1000.0</v>
      </c>
      <c r="D961" s="151"/>
    </row>
    <row r="962" ht="14.0">
      <c r="A962" s="151" t="s">
        <v>2199</v>
      </c>
      <c r="B962" s="151" t="s">
        <v>2200</v>
      </c>
      <c r="C962" s="80">
        <v>1000.0</v>
      </c>
      <c r="D962" s="151"/>
    </row>
    <row r="963" ht="14.0">
      <c r="A963" s="151" t="s">
        <v>2201</v>
      </c>
      <c r="B963" s="151" t="s">
        <v>2202</v>
      </c>
      <c r="C963" s="151"/>
      <c r="D963" s="151" t="s">
        <v>0</v>
      </c>
    </row>
    <row r="964" ht="14.0">
      <c r="A964" s="151" t="s">
        <v>2203</v>
      </c>
      <c r="B964" s="151" t="s">
        <v>2204</v>
      </c>
      <c r="C964" s="80">
        <v>1000.0</v>
      </c>
      <c r="D964" s="151"/>
    </row>
    <row r="965" ht="14.0">
      <c r="A965" s="151" t="s">
        <v>2205</v>
      </c>
      <c r="B965" s="151" t="s">
        <v>2206</v>
      </c>
      <c r="C965" s="80">
        <v>1000.0</v>
      </c>
      <c r="D965" s="151"/>
    </row>
    <row r="966" ht="14.0">
      <c r="A966" s="151" t="s">
        <v>2207</v>
      </c>
      <c r="B966" s="151" t="s">
        <v>2208</v>
      </c>
      <c r="C966" s="80">
        <v>1000.0</v>
      </c>
      <c r="D966" s="151"/>
    </row>
    <row r="967" ht="14.0">
      <c r="A967" s="151" t="s">
        <v>2209</v>
      </c>
      <c r="B967" s="151" t="s">
        <v>2210</v>
      </c>
      <c r="C967" s="80">
        <v>1000.0</v>
      </c>
      <c r="D967" s="151"/>
    </row>
    <row r="968" ht="14.0">
      <c r="A968" s="151" t="s">
        <v>2211</v>
      </c>
      <c r="B968" s="151" t="s">
        <v>2212</v>
      </c>
      <c r="C968" s="80">
        <v>1000.0</v>
      </c>
      <c r="D968" s="151"/>
    </row>
    <row r="969" ht="14.0">
      <c r="A969" s="151" t="s">
        <v>2213</v>
      </c>
      <c r="B969" s="151" t="s">
        <v>2214</v>
      </c>
      <c r="C969" s="80">
        <v>1000.0</v>
      </c>
      <c r="D969" s="151"/>
    </row>
    <row r="970" ht="14.0">
      <c r="A970" s="151" t="s">
        <v>2215</v>
      </c>
      <c r="B970" s="151" t="s">
        <v>2216</v>
      </c>
      <c r="C970" s="80">
        <v>1000.0</v>
      </c>
      <c r="D970" s="151"/>
    </row>
    <row r="971" ht="14.0">
      <c r="A971" s="151" t="s">
        <v>2217</v>
      </c>
      <c r="B971" s="151" t="s">
        <v>2218</v>
      </c>
      <c r="C971" s="151"/>
      <c r="D971" s="151" t="s">
        <v>0</v>
      </c>
    </row>
    <row r="972" ht="14.0">
      <c r="A972" s="151" t="s">
        <v>2219</v>
      </c>
      <c r="B972" s="151" t="s">
        <v>2220</v>
      </c>
      <c r="C972" s="80">
        <v>1000.0</v>
      </c>
      <c r="D972" s="151"/>
    </row>
    <row r="973" ht="14.0">
      <c r="A973" s="151" t="s">
        <v>2221</v>
      </c>
      <c r="B973" s="151" t="s">
        <v>2222</v>
      </c>
      <c r="C973" s="80">
        <v>1000.0</v>
      </c>
      <c r="D973" s="151"/>
    </row>
    <row r="974" ht="14.0">
      <c r="A974" s="151" t="s">
        <v>2223</v>
      </c>
      <c r="B974" s="151" t="s">
        <v>2224</v>
      </c>
      <c r="C974" s="80">
        <v>1000.0</v>
      </c>
      <c r="D974" s="151"/>
    </row>
    <row r="975" ht="14.0">
      <c r="A975" s="151" t="s">
        <v>2225</v>
      </c>
      <c r="B975" s="151" t="s">
        <v>2226</v>
      </c>
      <c r="C975" s="80">
        <v>1000.0</v>
      </c>
      <c r="D975" s="151"/>
    </row>
    <row r="976" ht="14.0">
      <c r="A976" s="151" t="s">
        <v>2227</v>
      </c>
      <c r="B976" s="151" t="s">
        <v>2228</v>
      </c>
      <c r="C976" s="80">
        <v>1000.0</v>
      </c>
      <c r="D976" s="151"/>
    </row>
    <row r="977" ht="14.0">
      <c r="A977" s="151" t="s">
        <v>2229</v>
      </c>
      <c r="B977" s="151" t="s">
        <v>2230</v>
      </c>
      <c r="C977" s="80">
        <v>1000.0</v>
      </c>
      <c r="D977" s="151"/>
    </row>
    <row r="978" ht="14.0">
      <c r="A978" s="151" t="s">
        <v>2231</v>
      </c>
      <c r="B978" s="151" t="s">
        <v>2232</v>
      </c>
      <c r="C978" s="80">
        <v>1000.0</v>
      </c>
      <c r="D978" s="151"/>
    </row>
    <row r="979" ht="14.0">
      <c r="A979" s="151" t="s">
        <v>2233</v>
      </c>
      <c r="B979" s="151" t="s">
        <v>2234</v>
      </c>
      <c r="C979" s="151"/>
      <c r="D979" s="151" t="s">
        <v>0</v>
      </c>
    </row>
    <row r="980" ht="14.0">
      <c r="A980" s="151" t="s">
        <v>2235</v>
      </c>
      <c r="B980" s="151" t="s">
        <v>2236</v>
      </c>
      <c r="C980" s="151"/>
      <c r="D980" s="151"/>
    </row>
    <row r="981" ht="14.0">
      <c r="A981" s="151" t="s">
        <v>2237</v>
      </c>
      <c r="B981" s="151" t="s">
        <v>2238</v>
      </c>
      <c r="C981" s="151"/>
      <c r="D981" s="151" t="s">
        <v>0</v>
      </c>
    </row>
    <row r="982" ht="14.0">
      <c r="A982" s="151" t="s">
        <v>2239</v>
      </c>
      <c r="B982" s="151" t="s">
        <v>2240</v>
      </c>
      <c r="C982" s="151"/>
      <c r="D982" s="151" t="s">
        <v>0</v>
      </c>
    </row>
    <row r="983" ht="14.0">
      <c r="A983" s="151" t="s">
        <v>2241</v>
      </c>
      <c r="B983" s="151" t="s">
        <v>2242</v>
      </c>
      <c r="C983" s="151"/>
      <c r="D983" s="151"/>
    </row>
    <row r="984" ht="14.0">
      <c r="A984" s="151" t="s">
        <v>2243</v>
      </c>
      <c r="B984" s="151" t="s">
        <v>2244</v>
      </c>
      <c r="C984" s="151"/>
      <c r="D984" s="151" t="s">
        <v>0</v>
      </c>
    </row>
    <row r="985" ht="14.0">
      <c r="A985" s="151" t="s">
        <v>2245</v>
      </c>
      <c r="B985" s="151" t="s">
        <v>2246</v>
      </c>
      <c r="C985" s="151"/>
      <c r="D985" s="151"/>
    </row>
    <row r="986" ht="14.0">
      <c r="A986" s="151" t="s">
        <v>2247</v>
      </c>
      <c r="B986" s="151" t="s">
        <v>2248</v>
      </c>
      <c r="C986" s="151"/>
      <c r="D986" s="151" t="s">
        <v>0</v>
      </c>
    </row>
    <row r="987" ht="14.0">
      <c r="A987" s="151" t="s">
        <v>2249</v>
      </c>
      <c r="B987" s="151" t="s">
        <v>2250</v>
      </c>
      <c r="C987" s="151"/>
      <c r="D987" s="151"/>
    </row>
    <row r="988" ht="14.0">
      <c r="A988" s="151" t="s">
        <v>2251</v>
      </c>
      <c r="B988" s="151" t="s">
        <v>2252</v>
      </c>
      <c r="C988" s="151"/>
      <c r="D988" s="151" t="s">
        <v>0</v>
      </c>
    </row>
    <row r="989" ht="14.0">
      <c r="A989" s="151" t="s">
        <v>2253</v>
      </c>
      <c r="B989" s="151" t="s">
        <v>2254</v>
      </c>
      <c r="C989" s="151"/>
      <c r="D989" s="151" t="s">
        <v>0</v>
      </c>
    </row>
    <row r="990" ht="14.0">
      <c r="A990" s="151" t="s">
        <v>2255</v>
      </c>
      <c r="B990" s="151" t="s">
        <v>2256</v>
      </c>
      <c r="C990" s="151"/>
      <c r="D990" s="151"/>
    </row>
    <row r="991" ht="14.0">
      <c r="A991" s="151" t="s">
        <v>2257</v>
      </c>
      <c r="B991" s="151" t="s">
        <v>2258</v>
      </c>
      <c r="C991" s="151"/>
      <c r="D991" s="151"/>
    </row>
    <row r="992" ht="14.0">
      <c r="A992" s="151" t="s">
        <v>2259</v>
      </c>
      <c r="B992" s="151" t="s">
        <v>2260</v>
      </c>
      <c r="C992" s="151"/>
      <c r="D992" s="151" t="s">
        <v>0</v>
      </c>
    </row>
    <row r="993" ht="14.0">
      <c r="A993" s="151" t="s">
        <v>2261</v>
      </c>
      <c r="B993" s="151" t="s">
        <v>2262</v>
      </c>
      <c r="C993" s="151"/>
      <c r="D993" s="151" t="s">
        <v>0</v>
      </c>
    </row>
    <row r="994" ht="14.0">
      <c r="A994" s="151" t="s">
        <v>2263</v>
      </c>
      <c r="B994" s="151" t="s">
        <v>2264</v>
      </c>
      <c r="C994" s="151"/>
      <c r="D994" s="151" t="s">
        <v>0</v>
      </c>
    </row>
    <row r="995" ht="14.0">
      <c r="A995" s="151" t="s">
        <v>2265</v>
      </c>
      <c r="B995" s="151" t="s">
        <v>2266</v>
      </c>
      <c r="C995" s="151"/>
      <c r="D995" s="151" t="s">
        <v>0</v>
      </c>
    </row>
    <row r="996" ht="14.0">
      <c r="A996" s="151" t="s">
        <v>2267</v>
      </c>
      <c r="B996" s="151" t="s">
        <v>2268</v>
      </c>
      <c r="C996" s="151"/>
      <c r="D996" s="151" t="s">
        <v>0</v>
      </c>
    </row>
    <row r="997" ht="14.0">
      <c r="A997" s="151" t="s">
        <v>2269</v>
      </c>
      <c r="B997" s="151" t="s">
        <v>2270</v>
      </c>
      <c r="C997" s="151"/>
      <c r="D997" s="151" t="s">
        <v>0</v>
      </c>
    </row>
    <row r="998" ht="14.0">
      <c r="A998" s="151" t="s">
        <v>2271</v>
      </c>
      <c r="B998" s="151" t="s">
        <v>2272</v>
      </c>
      <c r="C998" s="80">
        <v>1000.0</v>
      </c>
      <c r="D998" s="151" t="s">
        <v>0</v>
      </c>
    </row>
    <row r="999" ht="14.0">
      <c r="A999" s="151" t="s">
        <v>2273</v>
      </c>
      <c r="B999" s="151" t="s">
        <v>2274</v>
      </c>
      <c r="C999" s="80">
        <v>1000.0</v>
      </c>
      <c r="D999" s="151" t="s">
        <v>0</v>
      </c>
    </row>
    <row r="1000" ht="14.0">
      <c r="A1000" s="151" t="s">
        <v>2275</v>
      </c>
      <c r="B1000" s="151" t="s">
        <v>2276</v>
      </c>
      <c r="C1000" s="151"/>
      <c r="D1000" s="151" t="s">
        <v>0</v>
      </c>
    </row>
    <row r="1001" ht="14.0">
      <c r="A1001" s="151" t="s">
        <v>2277</v>
      </c>
      <c r="B1001" s="151" t="s">
        <v>2278</v>
      </c>
      <c r="C1001" s="80">
        <v>1000.0</v>
      </c>
      <c r="D1001" s="151" t="s">
        <v>0</v>
      </c>
    </row>
    <row r="1002" ht="14.0">
      <c r="A1002" s="151" t="s">
        <v>2279</v>
      </c>
      <c r="B1002" s="151" t="s">
        <v>2280</v>
      </c>
      <c r="C1002" s="151"/>
      <c r="D1002" s="151" t="s">
        <v>0</v>
      </c>
    </row>
    <row r="1003" ht="14.0">
      <c r="A1003" s="151" t="s">
        <v>2281</v>
      </c>
      <c r="B1003" s="151" t="s">
        <v>2282</v>
      </c>
      <c r="C1003" s="151">
        <v>500.0</v>
      </c>
      <c r="D1003" s="151" t="s">
        <v>0</v>
      </c>
    </row>
    <row r="1004" ht="14.0">
      <c r="A1004" s="151" t="s">
        <v>2283</v>
      </c>
      <c r="B1004" s="151" t="s">
        <v>2284</v>
      </c>
      <c r="C1004" s="151">
        <v>500.0</v>
      </c>
      <c r="D1004" s="151" t="s">
        <v>0</v>
      </c>
    </row>
    <row r="1005" ht="14.0">
      <c r="A1005" s="151" t="s">
        <v>510</v>
      </c>
      <c r="B1005" s="151" t="s">
        <v>511</v>
      </c>
      <c r="C1005" s="151">
        <v>500.0</v>
      </c>
      <c r="D1005" s="151" t="s">
        <v>0</v>
      </c>
    </row>
    <row r="1006" ht="14.0">
      <c r="A1006" s="151" t="s">
        <v>512</v>
      </c>
      <c r="B1006" s="151" t="s">
        <v>513</v>
      </c>
      <c r="C1006" s="151">
        <v>500.0</v>
      </c>
      <c r="D1006" s="151" t="s">
        <v>0</v>
      </c>
    </row>
    <row r="1007" ht="14.0">
      <c r="A1007" s="151" t="s">
        <v>507</v>
      </c>
      <c r="B1007" s="151" t="s">
        <v>508</v>
      </c>
      <c r="C1007" s="151">
        <v>500.0</v>
      </c>
      <c r="D1007" s="151" t="s">
        <v>0</v>
      </c>
    </row>
    <row r="1008" ht="14.0">
      <c r="A1008" s="151" t="s">
        <v>516</v>
      </c>
      <c r="B1008" s="151" t="s">
        <v>517</v>
      </c>
      <c r="C1008" s="151">
        <v>500.0</v>
      </c>
      <c r="D1008" s="151" t="s">
        <v>0</v>
      </c>
    </row>
    <row r="1009" ht="14.0">
      <c r="A1009" s="151" t="s">
        <v>514</v>
      </c>
      <c r="B1009" s="151" t="s">
        <v>515</v>
      </c>
      <c r="C1009" s="151">
        <v>500.0</v>
      </c>
      <c r="D1009" s="151" t="s">
        <v>0</v>
      </c>
    </row>
    <row r="1010" ht="14.0">
      <c r="A1010" s="151" t="s">
        <v>2285</v>
      </c>
      <c r="B1010" s="151" t="s">
        <v>2286</v>
      </c>
      <c r="C1010" s="151"/>
      <c r="D1010" s="151"/>
    </row>
    <row r="1011" ht="14.0">
      <c r="A1011" s="151" t="s">
        <v>518</v>
      </c>
      <c r="B1011" s="151" t="s">
        <v>519</v>
      </c>
      <c r="C1011" s="151"/>
      <c r="D1011" s="151"/>
    </row>
    <row r="1012" ht="14.0">
      <c r="A1012" s="151" t="s">
        <v>2287</v>
      </c>
      <c r="B1012" s="151" t="s">
        <v>2288</v>
      </c>
      <c r="C1012" s="151"/>
      <c r="D1012" s="151"/>
    </row>
    <row r="1013" ht="14.0">
      <c r="A1013" s="151" t="s">
        <v>2289</v>
      </c>
      <c r="B1013" s="151" t="s">
        <v>2290</v>
      </c>
      <c r="C1013" s="151"/>
      <c r="D1013" s="151"/>
    </row>
    <row r="1014" ht="14.0">
      <c r="A1014" s="151" t="s">
        <v>2291</v>
      </c>
      <c r="B1014" s="151" t="s">
        <v>2292</v>
      </c>
      <c r="C1014" s="151"/>
      <c r="D1014" s="151" t="s">
        <v>0</v>
      </c>
    </row>
    <row r="1015" ht="14.0">
      <c r="A1015" s="151" t="s">
        <v>2293</v>
      </c>
      <c r="B1015" s="151" t="s">
        <v>2294</v>
      </c>
      <c r="C1015" s="151"/>
      <c r="D1015" s="151" t="s">
        <v>0</v>
      </c>
    </row>
    <row r="1016" ht="14.0">
      <c r="A1016" s="151" t="s">
        <v>2295</v>
      </c>
      <c r="B1016" s="151" t="s">
        <v>2296</v>
      </c>
      <c r="C1016" s="151"/>
      <c r="D1016" s="151" t="s">
        <v>0</v>
      </c>
    </row>
    <row r="1017" ht="14.0">
      <c r="A1017" s="151" t="s">
        <v>616</v>
      </c>
      <c r="B1017" s="151" t="s">
        <v>617</v>
      </c>
      <c r="C1017" s="151">
        <v>500.0</v>
      </c>
      <c r="D1017" s="151"/>
    </row>
    <row r="1018" ht="14.0">
      <c r="A1018" s="151" t="s">
        <v>2297</v>
      </c>
      <c r="B1018" s="151" t="s">
        <v>2298</v>
      </c>
      <c r="C1018" s="151"/>
      <c r="D1018" s="151" t="s">
        <v>0</v>
      </c>
    </row>
    <row r="1019" ht="14.0">
      <c r="A1019" s="151" t="s">
        <v>614</v>
      </c>
      <c r="B1019" s="151" t="s">
        <v>615</v>
      </c>
      <c r="C1019" s="151">
        <v>500.0</v>
      </c>
      <c r="D1019" s="151"/>
    </row>
    <row r="1020" ht="14.0">
      <c r="A1020" s="151" t="s">
        <v>620</v>
      </c>
      <c r="B1020" s="151" t="s">
        <v>621</v>
      </c>
      <c r="C1020" s="151"/>
      <c r="D1020" s="151"/>
    </row>
    <row r="1021" ht="14.0">
      <c r="A1021" s="151" t="s">
        <v>2299</v>
      </c>
      <c r="B1021" s="151" t="s">
        <v>2300</v>
      </c>
      <c r="C1021" s="151"/>
      <c r="D1021" s="151"/>
    </row>
    <row r="1022" ht="14.0">
      <c r="A1022" s="151" t="s">
        <v>2301</v>
      </c>
      <c r="B1022" s="151" t="s">
        <v>2302</v>
      </c>
      <c r="C1022" s="151"/>
      <c r="D1022" s="151"/>
    </row>
    <row r="1023" ht="14.0">
      <c r="A1023" s="151" t="s">
        <v>2303</v>
      </c>
      <c r="B1023" s="151" t="s">
        <v>2303</v>
      </c>
      <c r="C1023" s="151"/>
      <c r="D1023" s="151" t="s">
        <v>0</v>
      </c>
    </row>
    <row r="1024" ht="14.0">
      <c r="A1024" s="151" t="s">
        <v>2304</v>
      </c>
      <c r="B1024" s="151" t="s">
        <v>2304</v>
      </c>
      <c r="C1024" s="151"/>
      <c r="D1024" s="151" t="s">
        <v>0</v>
      </c>
    </row>
    <row r="1025" ht="14.0">
      <c r="A1025" s="151" t="s">
        <v>2305</v>
      </c>
      <c r="B1025" s="151" t="s">
        <v>2306</v>
      </c>
      <c r="C1025" s="151"/>
      <c r="D1025" s="151"/>
    </row>
    <row r="1026" ht="14.0">
      <c r="A1026" s="151" t="s">
        <v>2307</v>
      </c>
      <c r="B1026" s="151" t="s">
        <v>2308</v>
      </c>
      <c r="C1026" s="151"/>
      <c r="D1026" s="151"/>
    </row>
    <row r="1027" ht="14.0">
      <c r="A1027" s="151" t="s">
        <v>42</v>
      </c>
      <c r="B1027" s="151" t="s">
        <v>43</v>
      </c>
      <c r="C1027" s="80">
        <v>1002.0</v>
      </c>
      <c r="D1027" s="151"/>
    </row>
    <row r="1028" ht="14.0">
      <c r="A1028" s="151" t="s">
        <v>36</v>
      </c>
      <c r="B1028" s="151" t="s">
        <v>37</v>
      </c>
      <c r="C1028" s="80">
        <v>1002.0</v>
      </c>
      <c r="D1028" s="151"/>
    </row>
    <row r="1029" ht="14.0">
      <c r="A1029" s="151" t="s">
        <v>40</v>
      </c>
      <c r="B1029" s="151" t="s">
        <v>41</v>
      </c>
      <c r="C1029" s="80">
        <v>1002.0</v>
      </c>
      <c r="D1029" s="151"/>
    </row>
    <row r="1030" ht="14.0">
      <c r="A1030" s="151" t="s">
        <v>34</v>
      </c>
      <c r="B1030" s="151" t="s">
        <v>35</v>
      </c>
      <c r="C1030" s="80">
        <v>1002.0</v>
      </c>
      <c r="D1030" s="151"/>
    </row>
    <row r="1031" ht="14.0">
      <c r="A1031" s="151" t="s">
        <v>38</v>
      </c>
      <c r="B1031" s="151" t="s">
        <v>39</v>
      </c>
      <c r="C1031" s="80">
        <v>1002.0</v>
      </c>
      <c r="D1031" s="151"/>
    </row>
    <row r="1032" ht="14.0">
      <c r="A1032" s="151" t="s">
        <v>32</v>
      </c>
      <c r="B1032" s="151" t="s">
        <v>33</v>
      </c>
      <c r="C1032" s="80">
        <v>1002.0</v>
      </c>
      <c r="D1032" s="151"/>
    </row>
    <row r="1033" ht="14.0">
      <c r="A1033" s="151" t="s">
        <v>44</v>
      </c>
      <c r="B1033" s="151" t="s">
        <v>45</v>
      </c>
      <c r="C1033" s="151"/>
      <c r="D1033" s="151"/>
    </row>
    <row r="1034" ht="14.0">
      <c r="A1034" s="151" t="s">
        <v>2309</v>
      </c>
      <c r="B1034" s="151" t="s">
        <v>2310</v>
      </c>
      <c r="C1034" s="151">
        <v>512.0</v>
      </c>
      <c r="D1034" s="151" t="s">
        <v>0</v>
      </c>
    </row>
    <row r="1035" ht="14.0">
      <c r="A1035" s="151" t="s">
        <v>2311</v>
      </c>
      <c r="B1035" s="151" t="s">
        <v>2312</v>
      </c>
      <c r="C1035" s="151">
        <v>512.0</v>
      </c>
      <c r="D1035" s="151" t="s">
        <v>0</v>
      </c>
    </row>
    <row r="1036" ht="14.0">
      <c r="A1036" s="151" t="s">
        <v>2313</v>
      </c>
      <c r="B1036" s="151" t="s">
        <v>2314</v>
      </c>
      <c r="C1036" s="151">
        <v>512.0</v>
      </c>
      <c r="D1036" s="151" t="s">
        <v>0</v>
      </c>
    </row>
    <row r="1037" ht="14.0">
      <c r="A1037" s="151" t="s">
        <v>2315</v>
      </c>
      <c r="B1037" s="151" t="s">
        <v>2316</v>
      </c>
      <c r="C1037" s="151">
        <v>512.0</v>
      </c>
      <c r="D1037" s="151" t="s">
        <v>0</v>
      </c>
    </row>
    <row r="1038" ht="14.0">
      <c r="A1038" s="151" t="s">
        <v>2317</v>
      </c>
      <c r="B1038" s="151" t="s">
        <v>2318</v>
      </c>
      <c r="C1038" s="151">
        <v>512.0</v>
      </c>
      <c r="D1038" s="151" t="s">
        <v>0</v>
      </c>
    </row>
    <row r="1039" ht="14.0">
      <c r="A1039" s="151" t="s">
        <v>2319</v>
      </c>
      <c r="B1039" s="151" t="s">
        <v>2320</v>
      </c>
      <c r="C1039" s="151"/>
      <c r="D1039" s="151" t="s">
        <v>0</v>
      </c>
    </row>
    <row r="1040" ht="14.0">
      <c r="A1040" s="151" t="s">
        <v>2321</v>
      </c>
      <c r="B1040" s="151" t="s">
        <v>2322</v>
      </c>
      <c r="C1040" s="151">
        <v>512.0</v>
      </c>
      <c r="D1040" s="151" t="s">
        <v>0</v>
      </c>
    </row>
    <row r="1041" ht="14.0">
      <c r="A1041" s="151" t="s">
        <v>2323</v>
      </c>
      <c r="B1041" s="151" t="s">
        <v>2324</v>
      </c>
      <c r="C1041" s="151">
        <v>504.0</v>
      </c>
      <c r="D1041" s="151" t="s">
        <v>0</v>
      </c>
    </row>
    <row r="1042" ht="14.0">
      <c r="A1042" s="151" t="s">
        <v>2325</v>
      </c>
      <c r="B1042" s="151" t="s">
        <v>2326</v>
      </c>
      <c r="C1042" s="80">
        <v>1002.0</v>
      </c>
      <c r="D1042" s="151" t="s">
        <v>0</v>
      </c>
    </row>
    <row r="1043" ht="14.0">
      <c r="A1043" s="151" t="s">
        <v>2327</v>
      </c>
      <c r="B1043" s="151" t="s">
        <v>2328</v>
      </c>
      <c r="C1043" s="151">
        <v>504.0</v>
      </c>
      <c r="D1043" s="151" t="s">
        <v>0</v>
      </c>
    </row>
    <row r="1044" ht="14.0">
      <c r="A1044" s="151" t="s">
        <v>2329</v>
      </c>
      <c r="B1044" s="151" t="s">
        <v>2330</v>
      </c>
      <c r="C1044" s="80">
        <v>1008.0</v>
      </c>
      <c r="D1044" s="151" t="s">
        <v>0</v>
      </c>
    </row>
    <row r="1045" ht="14.0">
      <c r="A1045" s="151" t="s">
        <v>2331</v>
      </c>
      <c r="B1045" s="151" t="s">
        <v>2332</v>
      </c>
      <c r="C1045" s="80">
        <v>1002.0</v>
      </c>
      <c r="D1045" s="151" t="s">
        <v>0</v>
      </c>
    </row>
    <row r="1046" ht="14.0">
      <c r="A1046" s="151" t="s">
        <v>2333</v>
      </c>
      <c r="B1046" s="151" t="s">
        <v>2334</v>
      </c>
      <c r="C1046" s="151">
        <v>504.0</v>
      </c>
      <c r="D1046" s="151" t="s">
        <v>0</v>
      </c>
    </row>
    <row r="1047" ht="14.0">
      <c r="A1047" s="151" t="s">
        <v>2335</v>
      </c>
      <c r="B1047" s="151" t="s">
        <v>2336</v>
      </c>
      <c r="C1047" s="80">
        <v>1002.0</v>
      </c>
      <c r="D1047" s="151" t="s">
        <v>0</v>
      </c>
    </row>
    <row r="1048" ht="14.0">
      <c r="A1048" s="151" t="s">
        <v>2337</v>
      </c>
      <c r="B1048" s="151" t="s">
        <v>2338</v>
      </c>
      <c r="C1048" s="151"/>
      <c r="D1048" s="151" t="s">
        <v>0</v>
      </c>
    </row>
    <row r="1049" ht="14.0">
      <c r="A1049" s="151" t="s">
        <v>2339</v>
      </c>
      <c r="B1049" s="151" t="s">
        <v>2340</v>
      </c>
      <c r="C1049" s="151">
        <v>10.0</v>
      </c>
      <c r="D1049" s="151" t="s">
        <v>0</v>
      </c>
    </row>
    <row r="1050" ht="14.0">
      <c r="A1050" s="151" t="s">
        <v>2341</v>
      </c>
      <c r="B1050" s="151" t="s">
        <v>2342</v>
      </c>
      <c r="C1050" s="151"/>
      <c r="D1050" s="151" t="s">
        <v>0</v>
      </c>
    </row>
    <row r="1051" ht="14.0">
      <c r="A1051" s="151" t="s">
        <v>2343</v>
      </c>
      <c r="B1051" s="151" t="s">
        <v>2344</v>
      </c>
      <c r="C1051" s="151"/>
      <c r="D1051" s="151" t="s">
        <v>0</v>
      </c>
    </row>
    <row r="1052" ht="14.0">
      <c r="A1052" s="151" t="s">
        <v>2345</v>
      </c>
      <c r="B1052" s="151">
        <v>40402.0</v>
      </c>
      <c r="C1052" s="151"/>
      <c r="D1052" s="151"/>
    </row>
    <row r="1053" ht="14.0">
      <c r="A1053" s="151" t="s">
        <v>2346</v>
      </c>
      <c r="B1053" s="151">
        <v>40403.0</v>
      </c>
      <c r="C1053" s="151"/>
      <c r="D1053" s="151"/>
    </row>
    <row r="1054" ht="14.0">
      <c r="A1054" s="151" t="s">
        <v>2347</v>
      </c>
      <c r="B1054" s="151">
        <v>40404.0</v>
      </c>
      <c r="C1054" s="151"/>
      <c r="D1054" s="151"/>
    </row>
    <row r="1055" ht="14.0">
      <c r="A1055" s="151" t="s">
        <v>2348</v>
      </c>
      <c r="B1055" s="151">
        <v>40407.0</v>
      </c>
      <c r="C1055" s="151"/>
      <c r="D1055" s="151"/>
    </row>
    <row r="1056" ht="14.0">
      <c r="A1056" s="151" t="s">
        <v>2349</v>
      </c>
      <c r="B1056" s="151">
        <v>40408.0</v>
      </c>
      <c r="C1056" s="151"/>
      <c r="D1056" s="151"/>
    </row>
    <row r="1057" ht="14.0">
      <c r="A1057" s="151" t="s">
        <v>2350</v>
      </c>
      <c r="B1057" s="151">
        <v>40409.0</v>
      </c>
      <c r="C1057" s="151"/>
      <c r="D1057" s="151"/>
    </row>
    <row r="1058" ht="14.0">
      <c r="A1058" s="151" t="s">
        <v>2351</v>
      </c>
      <c r="B1058" s="151" t="s">
        <v>2352</v>
      </c>
      <c r="C1058" s="80">
        <v>1008.0</v>
      </c>
      <c r="D1058" s="151" t="s">
        <v>0</v>
      </c>
    </row>
    <row r="1059" ht="14.0">
      <c r="A1059" s="151" t="s">
        <v>2353</v>
      </c>
      <c r="B1059" s="151" t="s">
        <v>2354</v>
      </c>
      <c r="C1059" s="151"/>
      <c r="D1059" s="151" t="s">
        <v>0</v>
      </c>
    </row>
    <row r="1060" ht="14.0">
      <c r="A1060" s="151" t="s">
        <v>2355</v>
      </c>
      <c r="B1060" s="151" t="s">
        <v>2356</v>
      </c>
      <c r="C1060" s="151"/>
      <c r="D1060" s="151" t="s">
        <v>0</v>
      </c>
    </row>
    <row r="1061" ht="14.0">
      <c r="A1061" s="151" t="s">
        <v>2357</v>
      </c>
      <c r="B1061" s="151" t="s">
        <v>2358</v>
      </c>
      <c r="C1061" s="80">
        <v>1008.0</v>
      </c>
      <c r="D1061" s="151" t="s">
        <v>0</v>
      </c>
    </row>
    <row r="1062" ht="14.0">
      <c r="A1062" s="151" t="s">
        <v>2359</v>
      </c>
      <c r="B1062" s="151" t="s">
        <v>2360</v>
      </c>
      <c r="C1062" s="151"/>
      <c r="D1062" s="151" t="s">
        <v>0</v>
      </c>
    </row>
    <row r="1063" ht="14.0">
      <c r="A1063" s="151" t="s">
        <v>2361</v>
      </c>
      <c r="B1063" s="151" t="s">
        <v>2362</v>
      </c>
      <c r="C1063" s="80">
        <v>1008.0</v>
      </c>
      <c r="D1063" s="151" t="s">
        <v>0</v>
      </c>
    </row>
    <row r="1064" ht="14.0">
      <c r="A1064" s="151" t="s">
        <v>2363</v>
      </c>
      <c r="B1064" s="151" t="s">
        <v>2364</v>
      </c>
      <c r="C1064" s="80">
        <v>1008.0</v>
      </c>
      <c r="D1064" s="151" t="s">
        <v>0</v>
      </c>
    </row>
    <row r="1065" ht="14.0">
      <c r="A1065" s="151" t="s">
        <v>2365</v>
      </c>
      <c r="B1065" s="151" t="s">
        <v>2366</v>
      </c>
      <c r="C1065" s="80">
        <v>1008.0</v>
      </c>
      <c r="D1065" s="151" t="s">
        <v>0</v>
      </c>
    </row>
    <row r="1066" ht="14.0">
      <c r="A1066" s="151" t="s">
        <v>2367</v>
      </c>
      <c r="B1066" s="151" t="s">
        <v>2368</v>
      </c>
      <c r="C1066" s="80">
        <v>1008.0</v>
      </c>
      <c r="D1066" s="151" t="s">
        <v>0</v>
      </c>
    </row>
    <row r="1067" ht="14.0">
      <c r="A1067" s="151" t="s">
        <v>2369</v>
      </c>
      <c r="B1067" s="151" t="s">
        <v>2370</v>
      </c>
      <c r="C1067" s="151"/>
      <c r="D1067" s="151" t="s">
        <v>0</v>
      </c>
    </row>
    <row r="1068" ht="14.0">
      <c r="A1068" s="151" t="s">
        <v>2371</v>
      </c>
      <c r="B1068" s="151" t="s">
        <v>2372</v>
      </c>
      <c r="C1068" s="80">
        <v>1008.0</v>
      </c>
      <c r="D1068" s="151" t="s">
        <v>0</v>
      </c>
    </row>
    <row r="1069" ht="14.0">
      <c r="A1069" s="151" t="s">
        <v>2373</v>
      </c>
      <c r="B1069" s="151" t="s">
        <v>2374</v>
      </c>
      <c r="C1069" s="151"/>
      <c r="D1069" s="151" t="s">
        <v>0</v>
      </c>
    </row>
    <row r="1070" ht="14.0">
      <c r="A1070" s="151" t="s">
        <v>2375</v>
      </c>
      <c r="B1070" s="151" t="s">
        <v>2376</v>
      </c>
      <c r="C1070" s="151"/>
      <c r="D1070" s="151" t="s">
        <v>0</v>
      </c>
    </row>
    <row r="1071" ht="14.0">
      <c r="A1071" s="151" t="s">
        <v>2377</v>
      </c>
      <c r="B1071" s="151" t="s">
        <v>2378</v>
      </c>
      <c r="C1071" s="80">
        <v>1008.0</v>
      </c>
      <c r="D1071" s="151" t="s">
        <v>0</v>
      </c>
    </row>
    <row r="1072" ht="14.0">
      <c r="A1072" s="151" t="s">
        <v>2379</v>
      </c>
      <c r="B1072" s="151" t="s">
        <v>2380</v>
      </c>
      <c r="C1072" s="151"/>
      <c r="D1072" s="151" t="s">
        <v>0</v>
      </c>
    </row>
    <row r="1073" ht="14.0">
      <c r="A1073" s="151" t="s">
        <v>2381</v>
      </c>
      <c r="B1073" s="151" t="s">
        <v>2382</v>
      </c>
      <c r="C1073" s="80">
        <v>1008.0</v>
      </c>
      <c r="D1073" s="151" t="s">
        <v>0</v>
      </c>
    </row>
    <row r="1074" ht="14.0">
      <c r="A1074" s="151" t="s">
        <v>2383</v>
      </c>
      <c r="B1074" s="151" t="s">
        <v>2384</v>
      </c>
      <c r="C1074" s="80">
        <v>1008.0</v>
      </c>
      <c r="D1074" s="151"/>
    </row>
    <row r="1075" ht="14.0">
      <c r="A1075" s="151" t="s">
        <v>2385</v>
      </c>
      <c r="B1075" s="151" t="s">
        <v>2386</v>
      </c>
      <c r="C1075" s="151">
        <v>504.0</v>
      </c>
      <c r="D1075" s="151"/>
    </row>
    <row r="1076" ht="14.0">
      <c r="A1076" s="151" t="s">
        <v>2387</v>
      </c>
      <c r="B1076" s="151" t="s">
        <v>2388</v>
      </c>
      <c r="C1076" s="151">
        <v>504.0</v>
      </c>
      <c r="D1076" s="151"/>
    </row>
    <row r="1077" ht="14.0">
      <c r="A1077" s="151" t="s">
        <v>2389</v>
      </c>
      <c r="B1077" s="151" t="s">
        <v>2390</v>
      </c>
      <c r="C1077" s="151">
        <v>504.0</v>
      </c>
      <c r="D1077" s="151"/>
    </row>
    <row r="1078" ht="14.0">
      <c r="A1078" s="151" t="s">
        <v>2391</v>
      </c>
      <c r="B1078" s="151" t="s">
        <v>2392</v>
      </c>
      <c r="C1078" s="151">
        <v>504.0</v>
      </c>
      <c r="D1078" s="151"/>
    </row>
    <row r="1079" ht="14.0">
      <c r="A1079" s="151" t="s">
        <v>2393</v>
      </c>
      <c r="B1079" s="151" t="s">
        <v>2394</v>
      </c>
      <c r="C1079" s="151">
        <v>504.0</v>
      </c>
      <c r="D1079" s="151"/>
    </row>
    <row r="1080" ht="14.0">
      <c r="A1080" s="151" t="s">
        <v>2395</v>
      </c>
      <c r="B1080" s="151" t="s">
        <v>2396</v>
      </c>
      <c r="C1080" s="151">
        <v>504.0</v>
      </c>
      <c r="D1080" s="151"/>
    </row>
    <row r="1081" ht="14.0">
      <c r="A1081" s="151" t="s">
        <v>2397</v>
      </c>
      <c r="B1081" s="151" t="s">
        <v>2398</v>
      </c>
      <c r="C1081" s="151">
        <v>504.0</v>
      </c>
      <c r="D1081" s="151"/>
    </row>
    <row r="1082" ht="14.0">
      <c r="A1082" s="151" t="s">
        <v>2399</v>
      </c>
      <c r="B1082" s="151" t="s">
        <v>2400</v>
      </c>
      <c r="C1082" s="151"/>
      <c r="D1082" s="151" t="s">
        <v>0</v>
      </c>
    </row>
    <row r="1083" ht="14.0">
      <c r="A1083" s="151" t="s">
        <v>2401</v>
      </c>
      <c r="B1083" s="151" t="s">
        <v>2402</v>
      </c>
      <c r="C1083" s="151"/>
      <c r="D1083" s="151" t="s">
        <v>0</v>
      </c>
    </row>
    <row r="1084" ht="14.0">
      <c r="A1084" s="151" t="s">
        <v>2403</v>
      </c>
      <c r="B1084" s="151" t="s">
        <v>2404</v>
      </c>
      <c r="C1084" s="151"/>
      <c r="D1084" s="151" t="s">
        <v>0</v>
      </c>
    </row>
    <row r="1085" ht="14.0">
      <c r="A1085" s="151" t="s">
        <v>2405</v>
      </c>
      <c r="B1085" s="151" t="s">
        <v>2406</v>
      </c>
      <c r="C1085" s="151"/>
      <c r="D1085" s="151" t="s">
        <v>0</v>
      </c>
    </row>
    <row r="1086" ht="14.0">
      <c r="A1086" s="151" t="s">
        <v>2407</v>
      </c>
      <c r="B1086" s="151" t="s">
        <v>2408</v>
      </c>
      <c r="C1086" s="151"/>
      <c r="D1086" s="151" t="s">
        <v>0</v>
      </c>
    </row>
    <row r="1087" ht="14.0">
      <c r="A1087" s="151" t="s">
        <v>2409</v>
      </c>
      <c r="B1087" s="151" t="s">
        <v>2410</v>
      </c>
      <c r="C1087" s="151">
        <v>500.0</v>
      </c>
      <c r="D1087" s="151" t="s">
        <v>0</v>
      </c>
    </row>
    <row r="1088" ht="14.0">
      <c r="A1088" s="151" t="s">
        <v>2411</v>
      </c>
      <c r="B1088" s="151" t="s">
        <v>2412</v>
      </c>
      <c r="C1088" s="151">
        <v>500.0</v>
      </c>
      <c r="D1088" s="151" t="s">
        <v>0</v>
      </c>
    </row>
    <row r="1089" ht="14.0">
      <c r="A1089" s="151" t="s">
        <v>2413</v>
      </c>
      <c r="B1089" s="151" t="s">
        <v>2414</v>
      </c>
      <c r="C1089" s="151">
        <v>500.0</v>
      </c>
      <c r="D1089" s="151" t="s">
        <v>0</v>
      </c>
    </row>
    <row r="1090" ht="14.0">
      <c r="A1090" s="151" t="s">
        <v>2415</v>
      </c>
      <c r="B1090" s="151" t="s">
        <v>2416</v>
      </c>
      <c r="C1090" s="151">
        <v>500.0</v>
      </c>
      <c r="D1090" s="151" t="s">
        <v>0</v>
      </c>
    </row>
    <row r="1091" ht="14.0">
      <c r="A1091" s="151" t="s">
        <v>2417</v>
      </c>
      <c r="B1091" s="151" t="s">
        <v>2418</v>
      </c>
      <c r="C1091" s="151">
        <v>500.0</v>
      </c>
      <c r="D1091" s="151" t="s">
        <v>0</v>
      </c>
    </row>
    <row r="1092" ht="14.0">
      <c r="A1092" s="151" t="s">
        <v>2419</v>
      </c>
      <c r="B1092" s="151" t="s">
        <v>2420</v>
      </c>
      <c r="C1092" s="151">
        <v>500.0</v>
      </c>
      <c r="D1092" s="151" t="s">
        <v>0</v>
      </c>
    </row>
    <row r="1093" ht="14.0">
      <c r="A1093" s="151" t="s">
        <v>2421</v>
      </c>
      <c r="B1093" s="151" t="s">
        <v>2422</v>
      </c>
      <c r="C1093" s="151"/>
      <c r="D1093" s="151" t="s">
        <v>0</v>
      </c>
    </row>
    <row r="1094" ht="14.0">
      <c r="A1094" s="151" t="s">
        <v>2423</v>
      </c>
      <c r="B1094" s="151" t="s">
        <v>2424</v>
      </c>
      <c r="C1094" s="151"/>
      <c r="D1094" s="151" t="s">
        <v>0</v>
      </c>
    </row>
    <row r="1095" ht="14.0">
      <c r="A1095" s="151" t="s">
        <v>2425</v>
      </c>
      <c r="B1095" s="151" t="s">
        <v>2426</v>
      </c>
      <c r="C1095" s="151"/>
      <c r="D1095" s="151" t="s">
        <v>0</v>
      </c>
    </row>
    <row r="1096" ht="14.0">
      <c r="A1096" s="151" t="s">
        <v>2427</v>
      </c>
      <c r="B1096" s="151" t="s">
        <v>2428</v>
      </c>
      <c r="C1096" s="151"/>
      <c r="D1096" s="151" t="s">
        <v>0</v>
      </c>
    </row>
    <row r="1097" ht="14.0">
      <c r="A1097" s="151" t="s">
        <v>2429</v>
      </c>
      <c r="B1097" s="151" t="s">
        <v>2430</v>
      </c>
      <c r="C1097" s="151"/>
      <c r="D1097" s="151" t="s">
        <v>0</v>
      </c>
    </row>
    <row r="1098" ht="14.0">
      <c r="A1098" s="151" t="s">
        <v>2431</v>
      </c>
      <c r="B1098" s="151" t="s">
        <v>2432</v>
      </c>
      <c r="C1098" s="151"/>
      <c r="D1098" s="151" t="s">
        <v>0</v>
      </c>
    </row>
    <row r="1099" ht="14.0">
      <c r="A1099" s="151" t="s">
        <v>2433</v>
      </c>
      <c r="B1099" s="151" t="s">
        <v>2434</v>
      </c>
      <c r="C1099" s="151"/>
      <c r="D1099" s="151" t="s">
        <v>0</v>
      </c>
    </row>
    <row r="1100" ht="14.0">
      <c r="A1100" s="151" t="s">
        <v>2435</v>
      </c>
      <c r="B1100" s="151" t="s">
        <v>2436</v>
      </c>
      <c r="C1100" s="151">
        <v>480.0</v>
      </c>
      <c r="D1100" s="151"/>
    </row>
    <row r="1101" ht="14.0">
      <c r="A1101" s="151" t="s">
        <v>2437</v>
      </c>
      <c r="B1101" s="151" t="s">
        <v>2438</v>
      </c>
      <c r="C1101" s="151">
        <v>480.0</v>
      </c>
      <c r="D1101" s="151"/>
    </row>
    <row r="1102" ht="14.0">
      <c r="A1102" s="151" t="s">
        <v>2439</v>
      </c>
      <c r="B1102" s="151" t="s">
        <v>2440</v>
      </c>
      <c r="C1102" s="151">
        <v>480.0</v>
      </c>
      <c r="D1102" s="151"/>
    </row>
    <row r="1103" ht="14.0">
      <c r="A1103" s="151" t="s">
        <v>2441</v>
      </c>
      <c r="B1103" s="151" t="s">
        <v>2442</v>
      </c>
      <c r="C1103" s="151">
        <v>480.0</v>
      </c>
      <c r="D1103" s="151"/>
    </row>
    <row r="1104" ht="14.0">
      <c r="A1104" s="151" t="s">
        <v>2443</v>
      </c>
      <c r="B1104" s="151" t="s">
        <v>2444</v>
      </c>
      <c r="C1104" s="80">
        <v>1620.0</v>
      </c>
      <c r="D1104" s="151"/>
    </row>
    <row r="1105" ht="14.0">
      <c r="A1105" s="151" t="s">
        <v>2445</v>
      </c>
      <c r="B1105" s="151" t="s">
        <v>2446</v>
      </c>
      <c r="C1105" s="151">
        <v>660.0</v>
      </c>
      <c r="D1105" s="151"/>
    </row>
    <row r="1106" ht="14.0">
      <c r="A1106" s="151" t="s">
        <v>2447</v>
      </c>
      <c r="B1106" s="151" t="s">
        <v>2448</v>
      </c>
      <c r="C1106" s="80">
        <v>1080.0</v>
      </c>
      <c r="D1106" s="151"/>
    </row>
    <row r="1107" ht="14.0">
      <c r="A1107" s="151" t="s">
        <v>2449</v>
      </c>
      <c r="B1107" s="151" t="s">
        <v>2450</v>
      </c>
      <c r="C1107" s="151">
        <v>480.0</v>
      </c>
      <c r="D1107" s="151"/>
    </row>
    <row r="1108" ht="14.0">
      <c r="A1108" s="151" t="s">
        <v>2451</v>
      </c>
      <c r="B1108" s="151" t="s">
        <v>2452</v>
      </c>
      <c r="C1108" s="151"/>
      <c r="D1108" s="151"/>
    </row>
    <row r="1109" ht="14.0">
      <c r="A1109" s="151" t="s">
        <v>2453</v>
      </c>
      <c r="B1109" s="151" t="s">
        <v>2454</v>
      </c>
      <c r="C1109" s="151">
        <v>120.0</v>
      </c>
      <c r="D1109" s="151"/>
    </row>
    <row r="1110" ht="14.0">
      <c r="A1110" s="151" t="s">
        <v>2455</v>
      </c>
      <c r="B1110" s="151" t="s">
        <v>2456</v>
      </c>
      <c r="C1110" s="151"/>
      <c r="D1110" s="151" t="s">
        <v>0</v>
      </c>
    </row>
    <row r="1111" ht="14.0">
      <c r="A1111" s="151" t="s">
        <v>2457</v>
      </c>
      <c r="B1111" s="151" t="s">
        <v>2458</v>
      </c>
      <c r="C1111" s="151"/>
      <c r="D1111" s="151" t="s">
        <v>0</v>
      </c>
    </row>
    <row r="1112" ht="14.0">
      <c r="A1112" s="151" t="s">
        <v>2459</v>
      </c>
      <c r="B1112" s="151" t="s">
        <v>2460</v>
      </c>
      <c r="C1112" s="151"/>
      <c r="D1112" s="151" t="s">
        <v>0</v>
      </c>
    </row>
    <row r="1113" ht="14.0">
      <c r="A1113" s="151" t="s">
        <v>2461</v>
      </c>
      <c r="B1113" s="151" t="s">
        <v>2462</v>
      </c>
      <c r="C1113" s="151"/>
      <c r="D1113" s="151" t="s">
        <v>0</v>
      </c>
    </row>
    <row r="1114" ht="14.0">
      <c r="A1114" s="151" t="s">
        <v>2463</v>
      </c>
      <c r="B1114" s="151" t="s">
        <v>2464</v>
      </c>
      <c r="C1114" s="151"/>
      <c r="D1114" s="151" t="s">
        <v>0</v>
      </c>
    </row>
    <row r="1115" ht="14.0">
      <c r="A1115" s="151" t="s">
        <v>2465</v>
      </c>
      <c r="B1115" s="151" t="s">
        <v>2466</v>
      </c>
      <c r="C1115" s="151"/>
      <c r="D1115" s="151" t="s">
        <v>0</v>
      </c>
    </row>
    <row r="1116" ht="14.0">
      <c r="A1116" s="151" t="s">
        <v>2467</v>
      </c>
      <c r="B1116" s="151" t="s">
        <v>2468</v>
      </c>
      <c r="C1116" s="151">
        <v>120.0</v>
      </c>
      <c r="D1116" s="151"/>
    </row>
    <row r="1117" ht="14.0">
      <c r="A1117" s="151" t="s">
        <v>2469</v>
      </c>
      <c r="B1117" s="151" t="s">
        <v>2470</v>
      </c>
      <c r="C1117" s="151"/>
      <c r="D1117" s="151" t="s">
        <v>0</v>
      </c>
    </row>
    <row r="1118" ht="14.0">
      <c r="A1118" s="151" t="s">
        <v>2471</v>
      </c>
      <c r="B1118" s="151" t="s">
        <v>2472</v>
      </c>
      <c r="C1118" s="151"/>
      <c r="D1118" s="151" t="s">
        <v>0</v>
      </c>
    </row>
    <row r="1119" ht="14.0">
      <c r="A1119" s="151" t="s">
        <v>2473</v>
      </c>
      <c r="B1119" s="151" t="s">
        <v>2474</v>
      </c>
      <c r="C1119" s="151"/>
      <c r="D1119" s="151" t="s">
        <v>0</v>
      </c>
    </row>
    <row r="1120" ht="14.0">
      <c r="A1120" s="151" t="s">
        <v>2475</v>
      </c>
      <c r="B1120" s="151" t="s">
        <v>2476</v>
      </c>
      <c r="C1120" s="151">
        <v>120.0</v>
      </c>
      <c r="D1120" s="151"/>
    </row>
    <row r="1121" ht="14.0">
      <c r="A1121" s="151" t="s">
        <v>2477</v>
      </c>
      <c r="B1121" s="151" t="s">
        <v>2478</v>
      </c>
      <c r="C1121" s="151">
        <v>120.0</v>
      </c>
      <c r="D1121" s="151"/>
    </row>
    <row r="1122" ht="14.0">
      <c r="A1122" s="151" t="s">
        <v>2479</v>
      </c>
      <c r="B1122" s="151" t="s">
        <v>2480</v>
      </c>
      <c r="C1122" s="151">
        <v>120.0</v>
      </c>
      <c r="D1122" s="151"/>
    </row>
    <row r="1123" ht="14.0">
      <c r="A1123" s="151" t="s">
        <v>2481</v>
      </c>
      <c r="B1123" s="151" t="s">
        <v>2482</v>
      </c>
      <c r="C1123" s="151">
        <v>120.0</v>
      </c>
      <c r="D1123" s="151"/>
    </row>
    <row r="1124" ht="14.0">
      <c r="A1124" s="151" t="s">
        <v>2483</v>
      </c>
      <c r="B1124" s="151" t="s">
        <v>2484</v>
      </c>
      <c r="C1124" s="151">
        <v>500.0</v>
      </c>
      <c r="D1124" s="151" t="s">
        <v>0</v>
      </c>
    </row>
    <row r="1125" ht="14.0">
      <c r="A1125" s="151" t="s">
        <v>2485</v>
      </c>
      <c r="B1125" s="151" t="s">
        <v>2486</v>
      </c>
      <c r="C1125" s="151">
        <v>500.0</v>
      </c>
      <c r="D1125" s="151" t="s">
        <v>0</v>
      </c>
    </row>
    <row r="1126" ht="14.0">
      <c r="A1126" s="151" t="s">
        <v>2487</v>
      </c>
      <c r="B1126" s="151" t="s">
        <v>2488</v>
      </c>
      <c r="C1126" s="151">
        <v>500.0</v>
      </c>
      <c r="D1126" s="151" t="s">
        <v>0</v>
      </c>
    </row>
    <row r="1127" ht="14.0">
      <c r="A1127" s="151" t="s">
        <v>2489</v>
      </c>
      <c r="B1127" s="151" t="s">
        <v>2490</v>
      </c>
      <c r="C1127" s="151">
        <v>500.0</v>
      </c>
      <c r="D1127" s="151"/>
    </row>
    <row r="1128" ht="14.0">
      <c r="A1128" s="151" t="s">
        <v>2491</v>
      </c>
      <c r="B1128" s="151" t="s">
        <v>2492</v>
      </c>
      <c r="C1128" s="151">
        <v>500.0</v>
      </c>
      <c r="D1128" s="151"/>
    </row>
    <row r="1129" ht="14.0">
      <c r="A1129" s="151" t="s">
        <v>687</v>
      </c>
      <c r="B1129" s="151" t="s">
        <v>688</v>
      </c>
      <c r="C1129" s="151">
        <v>500.0</v>
      </c>
      <c r="D1129" s="151"/>
    </row>
    <row r="1130" ht="14.0">
      <c r="A1130" s="151" t="s">
        <v>683</v>
      </c>
      <c r="B1130" s="151" t="s">
        <v>684</v>
      </c>
      <c r="C1130" s="151">
        <v>500.0</v>
      </c>
      <c r="D1130" s="151"/>
    </row>
    <row r="1131" ht="14.0">
      <c r="A1131" s="151" t="s">
        <v>685</v>
      </c>
      <c r="B1131" s="151" t="s">
        <v>686</v>
      </c>
      <c r="C1131" s="151">
        <v>500.0</v>
      </c>
      <c r="D1131" s="151"/>
    </row>
    <row r="1132" ht="14.0">
      <c r="A1132" s="151" t="s">
        <v>2493</v>
      </c>
      <c r="B1132" s="151" t="s">
        <v>2494</v>
      </c>
      <c r="C1132" s="151">
        <v>500.0</v>
      </c>
      <c r="D1132" s="151"/>
    </row>
    <row r="1133" ht="14.0">
      <c r="A1133" s="151" t="s">
        <v>2495</v>
      </c>
      <c r="B1133" s="151" t="s">
        <v>2496</v>
      </c>
      <c r="C1133" s="151">
        <v>500.0</v>
      </c>
      <c r="D1133" s="151"/>
    </row>
    <row r="1134" ht="14.0">
      <c r="A1134" s="151" t="s">
        <v>2497</v>
      </c>
      <c r="B1134" s="151" t="s">
        <v>2498</v>
      </c>
      <c r="C1134" s="151">
        <v>500.0</v>
      </c>
      <c r="D1134" s="151"/>
    </row>
    <row r="1135" ht="14.0">
      <c r="A1135" s="151" t="s">
        <v>2499</v>
      </c>
      <c r="B1135" s="151" t="s">
        <v>2500</v>
      </c>
      <c r="C1135" s="151">
        <v>500.0</v>
      </c>
      <c r="D1135" s="151"/>
    </row>
    <row r="1136" ht="14.0">
      <c r="A1136" s="151" t="s">
        <v>2501</v>
      </c>
      <c r="B1136" s="151">
        <v>35801.0</v>
      </c>
      <c r="C1136" s="151"/>
      <c r="D1136" s="151"/>
    </row>
    <row r="1137" ht="14.0">
      <c r="A1137" s="151" t="s">
        <v>2502</v>
      </c>
      <c r="B1137" s="151">
        <v>35804.0</v>
      </c>
      <c r="C1137" s="151"/>
      <c r="D1137" s="151"/>
    </row>
    <row r="1138" ht="14.0">
      <c r="A1138" s="151" t="s">
        <v>2503</v>
      </c>
      <c r="B1138" s="151">
        <v>35805.0</v>
      </c>
      <c r="C1138" s="151"/>
      <c r="D1138" s="151"/>
    </row>
    <row r="1139" ht="14.0">
      <c r="A1139" s="151" t="s">
        <v>2504</v>
      </c>
      <c r="B1139" s="151" t="s">
        <v>2505</v>
      </c>
      <c r="C1139" s="151"/>
      <c r="D1139" s="151"/>
    </row>
    <row r="1140" ht="14.0">
      <c r="A1140" s="151" t="s">
        <v>2506</v>
      </c>
      <c r="B1140" s="151" t="s">
        <v>2507</v>
      </c>
      <c r="C1140" s="151"/>
      <c r="D1140" s="151"/>
    </row>
    <row r="1141" ht="14.0">
      <c r="A1141" s="151" t="s">
        <v>2508</v>
      </c>
      <c r="B1141" s="151" t="s">
        <v>2509</v>
      </c>
      <c r="C1141" s="151">
        <v>500.0</v>
      </c>
      <c r="D1141" s="151" t="s">
        <v>0</v>
      </c>
    </row>
    <row r="1142" ht="14.0">
      <c r="A1142" s="151" t="s">
        <v>2510</v>
      </c>
      <c r="B1142" s="151" t="s">
        <v>2511</v>
      </c>
      <c r="C1142" s="151">
        <v>500.0</v>
      </c>
      <c r="D1142" s="151" t="s">
        <v>0</v>
      </c>
    </row>
    <row r="1143" ht="14.0">
      <c r="A1143" s="151" t="s">
        <v>2512</v>
      </c>
      <c r="B1143" s="151" t="s">
        <v>2513</v>
      </c>
      <c r="C1143" s="151">
        <v>500.0</v>
      </c>
      <c r="D1143" s="151" t="s">
        <v>0</v>
      </c>
    </row>
    <row r="1144" ht="14.0">
      <c r="A1144" s="151" t="s">
        <v>2514</v>
      </c>
      <c r="B1144" s="151" t="s">
        <v>2515</v>
      </c>
      <c r="C1144" s="151">
        <v>500.0</v>
      </c>
      <c r="D1144" s="151" t="s">
        <v>0</v>
      </c>
    </row>
    <row r="1145" ht="14.0">
      <c r="A1145" s="151" t="s">
        <v>2516</v>
      </c>
      <c r="B1145" s="151" t="s">
        <v>2517</v>
      </c>
      <c r="C1145" s="151">
        <v>500.0</v>
      </c>
      <c r="D1145" s="151" t="s">
        <v>0</v>
      </c>
    </row>
    <row r="1146" ht="14.0">
      <c r="A1146" s="151" t="s">
        <v>2518</v>
      </c>
      <c r="B1146" s="151" t="s">
        <v>2519</v>
      </c>
      <c r="C1146" s="151">
        <v>504.0</v>
      </c>
      <c r="D1146" s="151"/>
    </row>
    <row r="1147" ht="14.0">
      <c r="A1147" s="151" t="s">
        <v>716</v>
      </c>
      <c r="B1147" s="151" t="s">
        <v>717</v>
      </c>
      <c r="C1147" s="151">
        <v>504.0</v>
      </c>
      <c r="D1147" s="151"/>
    </row>
    <row r="1148" ht="14.0">
      <c r="A1148" s="151" t="s">
        <v>2520</v>
      </c>
      <c r="B1148" s="151" t="s">
        <v>2521</v>
      </c>
      <c r="C1148" s="151">
        <v>501.0</v>
      </c>
      <c r="D1148" s="151"/>
    </row>
    <row r="1149" ht="14.0">
      <c r="A1149" s="151" t="s">
        <v>738</v>
      </c>
      <c r="B1149" s="151" t="s">
        <v>739</v>
      </c>
      <c r="C1149" s="151">
        <v>501.0</v>
      </c>
      <c r="D1149" s="151"/>
    </row>
    <row r="1150" ht="14.0">
      <c r="A1150" s="151" t="s">
        <v>700</v>
      </c>
      <c r="B1150" s="151" t="s">
        <v>701</v>
      </c>
      <c r="C1150" s="151">
        <v>501.0</v>
      </c>
      <c r="D1150" s="151"/>
    </row>
    <row r="1151" ht="14.0">
      <c r="A1151" s="151" t="s">
        <v>702</v>
      </c>
      <c r="B1151" s="151" t="s">
        <v>703</v>
      </c>
      <c r="C1151" s="151">
        <v>501.0</v>
      </c>
      <c r="D1151" s="151"/>
    </row>
    <row r="1152" ht="14.0">
      <c r="A1152" s="151" t="s">
        <v>720</v>
      </c>
      <c r="B1152" s="151" t="s">
        <v>721</v>
      </c>
      <c r="C1152" s="151">
        <v>500.0</v>
      </c>
      <c r="D1152" s="151"/>
    </row>
    <row r="1153" ht="14.0">
      <c r="A1153" s="151" t="s">
        <v>718</v>
      </c>
      <c r="B1153" s="151" t="s">
        <v>719</v>
      </c>
      <c r="C1153" s="151">
        <v>500.0</v>
      </c>
      <c r="D1153" s="151"/>
    </row>
    <row r="1154" ht="14.0">
      <c r="A1154" s="151" t="s">
        <v>722</v>
      </c>
      <c r="B1154" s="151" t="s">
        <v>723</v>
      </c>
      <c r="C1154" s="151">
        <v>500.0</v>
      </c>
      <c r="D1154" s="151"/>
    </row>
    <row r="1155" ht="14.0">
      <c r="A1155" s="151" t="s">
        <v>726</v>
      </c>
      <c r="B1155" s="151" t="s">
        <v>727</v>
      </c>
      <c r="C1155" s="151">
        <v>500.0</v>
      </c>
      <c r="D1155" s="151"/>
    </row>
    <row r="1156" ht="14.0">
      <c r="A1156" s="151" t="s">
        <v>732</v>
      </c>
      <c r="B1156" s="151" t="s">
        <v>733</v>
      </c>
      <c r="C1156" s="151">
        <v>500.0</v>
      </c>
      <c r="D1156" s="151"/>
    </row>
    <row r="1157" ht="14.0">
      <c r="A1157" s="151" t="s">
        <v>2522</v>
      </c>
      <c r="B1157" s="151" t="s">
        <v>2523</v>
      </c>
      <c r="C1157" s="151"/>
      <c r="D1157" s="151" t="s">
        <v>0</v>
      </c>
    </row>
    <row r="1158" ht="14.0">
      <c r="A1158" s="151" t="s">
        <v>734</v>
      </c>
      <c r="B1158" s="151" t="s">
        <v>735</v>
      </c>
      <c r="C1158" s="151">
        <v>500.0</v>
      </c>
      <c r="D1158" s="151"/>
    </row>
    <row r="1159" ht="14.0">
      <c r="A1159" s="151" t="s">
        <v>728</v>
      </c>
      <c r="B1159" s="151" t="s">
        <v>729</v>
      </c>
      <c r="C1159" s="151">
        <v>500.0</v>
      </c>
      <c r="D1159" s="151"/>
    </row>
    <row r="1160" ht="14.0">
      <c r="A1160" s="151" t="s">
        <v>730</v>
      </c>
      <c r="B1160" s="151" t="s">
        <v>731</v>
      </c>
      <c r="C1160" s="151">
        <v>500.0</v>
      </c>
      <c r="D1160" s="151"/>
    </row>
    <row r="1161" ht="14.0">
      <c r="A1161" s="151" t="s">
        <v>2524</v>
      </c>
      <c r="B1161" s="151" t="s">
        <v>2525</v>
      </c>
      <c r="C1161" s="151"/>
      <c r="D1161" s="151" t="s">
        <v>0</v>
      </c>
    </row>
    <row r="1162" ht="14.0">
      <c r="A1162" s="151" t="s">
        <v>708</v>
      </c>
      <c r="B1162" s="151" t="s">
        <v>709</v>
      </c>
      <c r="C1162" s="151"/>
      <c r="D1162" s="151"/>
    </row>
    <row r="1163" ht="14.0">
      <c r="A1163" s="151" t="s">
        <v>2526</v>
      </c>
      <c r="B1163" s="151" t="s">
        <v>2527</v>
      </c>
      <c r="C1163" s="151"/>
      <c r="D1163" s="151" t="s">
        <v>0</v>
      </c>
    </row>
    <row r="1164" ht="14.0">
      <c r="A1164" s="151" t="s">
        <v>710</v>
      </c>
      <c r="B1164" s="151" t="s">
        <v>711</v>
      </c>
      <c r="C1164" s="151"/>
      <c r="D1164" s="151"/>
    </row>
    <row r="1165" ht="14.0">
      <c r="A1165" s="151" t="s">
        <v>2528</v>
      </c>
      <c r="B1165" s="151" t="s">
        <v>2529</v>
      </c>
      <c r="C1165" s="151"/>
      <c r="D1165" s="151" t="s">
        <v>0</v>
      </c>
    </row>
    <row r="1166" ht="14.0">
      <c r="A1166" s="151" t="s">
        <v>712</v>
      </c>
      <c r="B1166" s="151" t="s">
        <v>713</v>
      </c>
      <c r="C1166" s="151"/>
      <c r="D1166" s="151" t="s">
        <v>0</v>
      </c>
    </row>
    <row r="1167" ht="14.0">
      <c r="A1167" s="151" t="s">
        <v>724</v>
      </c>
      <c r="B1167" s="151" t="s">
        <v>725</v>
      </c>
      <c r="C1167" s="151"/>
      <c r="D1167" s="151"/>
    </row>
    <row r="1168" ht="14.0">
      <c r="A1168" s="151" t="s">
        <v>2530</v>
      </c>
      <c r="B1168" s="151" t="s">
        <v>2531</v>
      </c>
      <c r="C1168" s="151"/>
      <c r="D1168" s="151" t="s">
        <v>0</v>
      </c>
    </row>
    <row r="1169" ht="14.0">
      <c r="A1169" s="151" t="s">
        <v>2532</v>
      </c>
      <c r="B1169" s="151" t="s">
        <v>2533</v>
      </c>
      <c r="C1169" s="151"/>
      <c r="D1169" s="151" t="s">
        <v>0</v>
      </c>
    </row>
    <row r="1170" ht="14.0">
      <c r="A1170" s="151" t="s">
        <v>2534</v>
      </c>
      <c r="B1170" s="151" t="s">
        <v>2535</v>
      </c>
      <c r="C1170" s="151"/>
      <c r="D1170" s="151" t="s">
        <v>0</v>
      </c>
    </row>
    <row r="1171" ht="14.0">
      <c r="A1171" s="151" t="s">
        <v>2536</v>
      </c>
      <c r="B1171" s="151" t="s">
        <v>2537</v>
      </c>
      <c r="C1171" s="151"/>
      <c r="D1171" s="151" t="s">
        <v>0</v>
      </c>
    </row>
    <row r="1172" ht="14.0">
      <c r="A1172" s="151" t="s">
        <v>2538</v>
      </c>
      <c r="B1172" s="151" t="s">
        <v>2539</v>
      </c>
      <c r="C1172" s="151"/>
      <c r="D1172" s="151" t="s">
        <v>0</v>
      </c>
    </row>
    <row r="1173" ht="14.0">
      <c r="A1173" s="151" t="s">
        <v>2540</v>
      </c>
      <c r="B1173" s="151" t="s">
        <v>2541</v>
      </c>
      <c r="C1173" s="151"/>
      <c r="D1173" s="151" t="s">
        <v>0</v>
      </c>
    </row>
    <row r="1174" ht="14.0">
      <c r="A1174" s="151" t="s">
        <v>2542</v>
      </c>
      <c r="B1174" s="151" t="s">
        <v>2543</v>
      </c>
      <c r="C1174" s="151"/>
      <c r="D1174" s="151" t="s">
        <v>0</v>
      </c>
    </row>
    <row r="1175" ht="14.0">
      <c r="A1175" s="151" t="s">
        <v>2544</v>
      </c>
      <c r="B1175" s="151" t="s">
        <v>2545</v>
      </c>
      <c r="C1175" s="151"/>
      <c r="D1175" s="151" t="s">
        <v>0</v>
      </c>
    </row>
    <row r="1176" ht="14.0">
      <c r="A1176" s="151" t="s">
        <v>2546</v>
      </c>
      <c r="B1176" s="151" t="s">
        <v>2547</v>
      </c>
      <c r="C1176" s="151"/>
      <c r="D1176" s="151" t="s">
        <v>0</v>
      </c>
    </row>
    <row r="1177" ht="14.0">
      <c r="A1177" s="151" t="s">
        <v>2548</v>
      </c>
      <c r="B1177" s="151" t="s">
        <v>2549</v>
      </c>
      <c r="C1177" s="151"/>
      <c r="D1177" s="151" t="s">
        <v>0</v>
      </c>
    </row>
    <row r="1178" ht="14.0">
      <c r="A1178" s="151" t="s">
        <v>2550</v>
      </c>
      <c r="B1178" s="151" t="s">
        <v>2551</v>
      </c>
      <c r="C1178" s="151"/>
      <c r="D1178" s="151" t="s">
        <v>0</v>
      </c>
    </row>
    <row r="1179" ht="14.0">
      <c r="A1179" s="151" t="s">
        <v>2552</v>
      </c>
      <c r="B1179" s="151" t="s">
        <v>2553</v>
      </c>
      <c r="C1179" s="151"/>
      <c r="D1179" s="151" t="s">
        <v>0</v>
      </c>
    </row>
    <row r="1180" ht="14.0">
      <c r="A1180" s="151" t="s">
        <v>2554</v>
      </c>
      <c r="B1180" s="151" t="s">
        <v>2555</v>
      </c>
      <c r="C1180" s="151"/>
      <c r="D1180" s="151" t="s">
        <v>0</v>
      </c>
    </row>
    <row r="1181" ht="14.0">
      <c r="A1181" s="151" t="s">
        <v>2556</v>
      </c>
      <c r="B1181" s="151" t="s">
        <v>2557</v>
      </c>
      <c r="C1181" s="151"/>
      <c r="D1181" s="151" t="s">
        <v>0</v>
      </c>
    </row>
    <row r="1182" ht="14.0">
      <c r="A1182" s="151" t="s">
        <v>2558</v>
      </c>
      <c r="B1182" s="151" t="s">
        <v>2559</v>
      </c>
      <c r="C1182" s="151"/>
      <c r="D1182" s="151" t="s">
        <v>0</v>
      </c>
    </row>
    <row r="1183" ht="14.0">
      <c r="A1183" s="151" t="s">
        <v>2560</v>
      </c>
      <c r="B1183" s="151" t="s">
        <v>2561</v>
      </c>
      <c r="C1183" s="151"/>
      <c r="D1183" s="151" t="s">
        <v>0</v>
      </c>
    </row>
    <row r="1184" ht="14.0">
      <c r="A1184" s="151" t="s">
        <v>2562</v>
      </c>
      <c r="B1184" s="151" t="s">
        <v>2563</v>
      </c>
      <c r="C1184" s="151"/>
      <c r="D1184" s="151" t="s">
        <v>0</v>
      </c>
    </row>
    <row r="1185" ht="14.0">
      <c r="A1185" s="151" t="s">
        <v>2564</v>
      </c>
      <c r="B1185" s="151" t="s">
        <v>2565</v>
      </c>
      <c r="C1185" s="151"/>
      <c r="D1185" s="151" t="s">
        <v>0</v>
      </c>
    </row>
    <row r="1186" ht="14.0">
      <c r="A1186" s="151" t="s">
        <v>2566</v>
      </c>
      <c r="B1186" s="151" t="s">
        <v>2567</v>
      </c>
      <c r="C1186" s="151"/>
      <c r="D1186" s="151" t="s">
        <v>0</v>
      </c>
    </row>
    <row r="1187" ht="14.0">
      <c r="A1187" s="151" t="s">
        <v>2568</v>
      </c>
      <c r="B1187" s="151" t="s">
        <v>2569</v>
      </c>
      <c r="C1187" s="151">
        <v>500.0</v>
      </c>
      <c r="D1187" s="151"/>
    </row>
    <row r="1188" ht="14.0">
      <c r="A1188" s="151" t="s">
        <v>2570</v>
      </c>
      <c r="B1188" s="151" t="s">
        <v>2571</v>
      </c>
      <c r="C1188" s="151">
        <v>500.0</v>
      </c>
      <c r="D1188" s="151"/>
    </row>
    <row r="1189" ht="14.0">
      <c r="A1189" s="151" t="s">
        <v>2572</v>
      </c>
      <c r="B1189" s="151" t="s">
        <v>2573</v>
      </c>
      <c r="C1189" s="151">
        <v>500.0</v>
      </c>
      <c r="D1189" s="151" t="s">
        <v>0</v>
      </c>
    </row>
    <row r="1190" ht="14.0">
      <c r="A1190" s="151" t="s">
        <v>2574</v>
      </c>
      <c r="B1190" s="151" t="s">
        <v>2575</v>
      </c>
      <c r="C1190" s="151">
        <v>500.0</v>
      </c>
      <c r="D1190" s="151" t="s">
        <v>0</v>
      </c>
    </row>
    <row r="1191" ht="14.0">
      <c r="A1191" s="151" t="s">
        <v>2576</v>
      </c>
      <c r="B1191" s="151" t="s">
        <v>2577</v>
      </c>
      <c r="C1191" s="151">
        <v>500.0</v>
      </c>
      <c r="D1191" s="151" t="s">
        <v>0</v>
      </c>
    </row>
    <row r="1192" ht="14.0">
      <c r="A1192" s="151" t="s">
        <v>2578</v>
      </c>
      <c r="B1192" s="151" t="s">
        <v>2579</v>
      </c>
      <c r="C1192" s="151">
        <v>500.0</v>
      </c>
      <c r="D1192" s="151"/>
    </row>
    <row r="1193" ht="14.0">
      <c r="A1193" s="151" t="s">
        <v>2580</v>
      </c>
      <c r="B1193" s="151" t="s">
        <v>2581</v>
      </c>
      <c r="C1193" s="151">
        <v>500.0</v>
      </c>
      <c r="D1193" s="151" t="s">
        <v>0</v>
      </c>
    </row>
    <row r="1194" ht="14.0">
      <c r="A1194" s="151" t="s">
        <v>2582</v>
      </c>
      <c r="B1194" s="151" t="s">
        <v>2583</v>
      </c>
      <c r="C1194" s="151">
        <v>500.0</v>
      </c>
      <c r="D1194" s="151"/>
    </row>
    <row r="1195" ht="14.0">
      <c r="A1195" s="151" t="s">
        <v>2584</v>
      </c>
      <c r="B1195" s="151" t="s">
        <v>2585</v>
      </c>
      <c r="C1195" s="151">
        <v>500.0</v>
      </c>
      <c r="D1195" s="151"/>
    </row>
    <row r="1196" ht="14.0">
      <c r="A1196" s="151" t="s">
        <v>2586</v>
      </c>
      <c r="B1196" s="151" t="s">
        <v>2587</v>
      </c>
      <c r="C1196" s="151">
        <v>500.0</v>
      </c>
      <c r="D1196" s="151"/>
    </row>
    <row r="1197" ht="14.0">
      <c r="A1197" s="151" t="s">
        <v>2588</v>
      </c>
      <c r="B1197" s="151" t="s">
        <v>2589</v>
      </c>
      <c r="C1197" s="151">
        <v>500.0</v>
      </c>
      <c r="D1197" s="151" t="s">
        <v>0</v>
      </c>
    </row>
    <row r="1198" ht="14.0">
      <c r="A1198" s="151" t="s">
        <v>2590</v>
      </c>
      <c r="B1198" s="151" t="s">
        <v>2591</v>
      </c>
      <c r="C1198" s="151">
        <v>500.0</v>
      </c>
      <c r="D1198" s="151"/>
    </row>
    <row r="1199" ht="14.0">
      <c r="A1199" s="151" t="s">
        <v>2592</v>
      </c>
      <c r="B1199" s="151" t="s">
        <v>2593</v>
      </c>
      <c r="C1199" s="151">
        <v>500.0</v>
      </c>
      <c r="D1199" s="151"/>
    </row>
    <row r="1200" ht="14.0">
      <c r="A1200" s="151" t="s">
        <v>2594</v>
      </c>
      <c r="B1200" s="151" t="s">
        <v>2595</v>
      </c>
      <c r="C1200" s="151">
        <v>500.0</v>
      </c>
      <c r="D1200" s="151"/>
    </row>
    <row r="1201" ht="14.0">
      <c r="A1201" s="151" t="s">
        <v>2596</v>
      </c>
      <c r="B1201" s="151" t="s">
        <v>2597</v>
      </c>
      <c r="C1201" s="151">
        <v>500.0</v>
      </c>
      <c r="D1201" s="151"/>
    </row>
    <row r="1202" ht="14.0">
      <c r="A1202" s="151" t="s">
        <v>2598</v>
      </c>
      <c r="B1202" s="151" t="s">
        <v>2599</v>
      </c>
      <c r="C1202" s="151">
        <v>500.0</v>
      </c>
      <c r="D1202" s="151"/>
    </row>
    <row r="1203" ht="14.0">
      <c r="A1203" s="151" t="s">
        <v>2600</v>
      </c>
      <c r="B1203" s="151" t="s">
        <v>2601</v>
      </c>
      <c r="C1203" s="151">
        <v>500.0</v>
      </c>
      <c r="D1203" s="151"/>
    </row>
    <row r="1204" ht="14.0">
      <c r="A1204" s="151" t="s">
        <v>2602</v>
      </c>
      <c r="B1204" s="151" t="s">
        <v>2603</v>
      </c>
      <c r="C1204" s="151"/>
      <c r="D1204" s="151"/>
    </row>
    <row r="1205" ht="14.0">
      <c r="A1205" s="151" t="s">
        <v>2604</v>
      </c>
      <c r="B1205" s="151" t="s">
        <v>2605</v>
      </c>
      <c r="C1205" s="151"/>
      <c r="D1205" s="151"/>
    </row>
    <row r="1206" ht="14.0">
      <c r="A1206" s="151" t="s">
        <v>2606</v>
      </c>
      <c r="B1206" s="151" t="s">
        <v>2607</v>
      </c>
      <c r="C1206" s="80">
        <v>1002.0</v>
      </c>
      <c r="D1206" s="151" t="s">
        <v>0</v>
      </c>
    </row>
    <row r="1207" ht="14.0">
      <c r="A1207" s="151" t="s">
        <v>2608</v>
      </c>
      <c r="B1207" s="151" t="s">
        <v>2609</v>
      </c>
      <c r="C1207" s="151"/>
      <c r="D1207" s="151" t="s">
        <v>0</v>
      </c>
    </row>
    <row r="1208" ht="14.0">
      <c r="A1208" s="151" t="s">
        <v>2610</v>
      </c>
      <c r="B1208" s="151" t="s">
        <v>2611</v>
      </c>
      <c r="C1208" s="80">
        <v>1002.0</v>
      </c>
      <c r="D1208" s="151" t="s">
        <v>0</v>
      </c>
    </row>
    <row r="1209" ht="14.0">
      <c r="A1209" s="151" t="s">
        <v>2612</v>
      </c>
      <c r="B1209" s="151" t="s">
        <v>2613</v>
      </c>
      <c r="C1209" s="80">
        <v>1002.0</v>
      </c>
      <c r="D1209" s="151" t="s">
        <v>0</v>
      </c>
    </row>
    <row r="1210" ht="14.0">
      <c r="A1210" s="151" t="s">
        <v>2614</v>
      </c>
      <c r="B1210" s="151" t="s">
        <v>2615</v>
      </c>
      <c r="C1210" s="80">
        <v>1002.0</v>
      </c>
      <c r="D1210" s="151" t="s">
        <v>0</v>
      </c>
    </row>
    <row r="1211" ht="14.0">
      <c r="A1211" s="151" t="s">
        <v>2616</v>
      </c>
      <c r="B1211" s="151" t="s">
        <v>2617</v>
      </c>
      <c r="C1211" s="80">
        <v>1002.0</v>
      </c>
      <c r="D1211" s="151" t="s">
        <v>0</v>
      </c>
    </row>
    <row r="1212" ht="14.0">
      <c r="A1212" s="151" t="s">
        <v>2618</v>
      </c>
      <c r="B1212" s="151" t="s">
        <v>2619</v>
      </c>
      <c r="C1212" s="80">
        <v>1002.0</v>
      </c>
      <c r="D1212" s="151" t="s">
        <v>0</v>
      </c>
    </row>
    <row r="1213" ht="14.0">
      <c r="A1213" s="151" t="s">
        <v>2620</v>
      </c>
      <c r="B1213" s="151" t="s">
        <v>2621</v>
      </c>
      <c r="C1213" s="80">
        <v>1002.0</v>
      </c>
      <c r="D1213" s="151" t="s">
        <v>0</v>
      </c>
    </row>
    <row r="1214" ht="14.0">
      <c r="A1214" s="151" t="s">
        <v>2622</v>
      </c>
      <c r="B1214" s="151" t="s">
        <v>2623</v>
      </c>
      <c r="C1214" s="80">
        <v>1002.0</v>
      </c>
      <c r="D1214" s="151" t="s">
        <v>0</v>
      </c>
    </row>
    <row r="1215" ht="14.0">
      <c r="A1215" s="151" t="s">
        <v>2624</v>
      </c>
      <c r="B1215" s="151" t="s">
        <v>2625</v>
      </c>
      <c r="C1215" s="80">
        <v>1002.0</v>
      </c>
      <c r="D1215" s="151" t="s">
        <v>0</v>
      </c>
    </row>
    <row r="1216" ht="14.0">
      <c r="A1216" s="151" t="s">
        <v>2626</v>
      </c>
      <c r="B1216" s="151" t="s">
        <v>2627</v>
      </c>
      <c r="C1216" s="80">
        <v>1002.0</v>
      </c>
      <c r="D1216" s="151" t="s">
        <v>0</v>
      </c>
    </row>
    <row r="1217" ht="14.0">
      <c r="A1217" s="151" t="s">
        <v>2628</v>
      </c>
      <c r="B1217" s="151" t="s">
        <v>2629</v>
      </c>
      <c r="C1217" s="80">
        <v>1002.0</v>
      </c>
      <c r="D1217" s="151" t="s">
        <v>0</v>
      </c>
    </row>
    <row r="1218" ht="14.0">
      <c r="A1218" s="151" t="s">
        <v>2630</v>
      </c>
      <c r="B1218" s="151" t="s">
        <v>2631</v>
      </c>
      <c r="C1218" s="151"/>
      <c r="D1218" s="151" t="s">
        <v>0</v>
      </c>
    </row>
    <row r="1219" ht="14.0">
      <c r="A1219" s="151" t="s">
        <v>2632</v>
      </c>
      <c r="B1219" s="151" t="s">
        <v>2633</v>
      </c>
      <c r="C1219" s="151"/>
      <c r="D1219" s="151" t="s">
        <v>0</v>
      </c>
    </row>
    <row r="1220" ht="14.0">
      <c r="A1220" s="151" t="s">
        <v>2634</v>
      </c>
      <c r="B1220" s="151" t="s">
        <v>2635</v>
      </c>
      <c r="C1220" s="80">
        <v>1002.0</v>
      </c>
      <c r="D1220" s="151" t="s">
        <v>0</v>
      </c>
    </row>
    <row r="1221" ht="14.0">
      <c r="A1221" s="151" t="s">
        <v>2636</v>
      </c>
      <c r="B1221" s="151" t="s">
        <v>2637</v>
      </c>
      <c r="C1221" s="151"/>
      <c r="D1221" s="151" t="s">
        <v>0</v>
      </c>
    </row>
    <row r="1222" ht="14.0">
      <c r="A1222" s="151" t="s">
        <v>2638</v>
      </c>
      <c r="B1222" s="151" t="s">
        <v>2639</v>
      </c>
      <c r="C1222" s="151">
        <v>200.0</v>
      </c>
      <c r="D1222" s="151" t="s">
        <v>0</v>
      </c>
    </row>
    <row r="1223" ht="14.0">
      <c r="A1223" s="151" t="s">
        <v>2640</v>
      </c>
      <c r="B1223" s="151" t="s">
        <v>2641</v>
      </c>
      <c r="C1223" s="151">
        <v>500.0</v>
      </c>
      <c r="D1223" s="151"/>
    </row>
    <row r="1224" ht="14.0">
      <c r="A1224" s="151" t="s">
        <v>2642</v>
      </c>
      <c r="B1224" s="151" t="s">
        <v>2643</v>
      </c>
      <c r="C1224" s="151">
        <v>500.0</v>
      </c>
      <c r="D1224" s="151"/>
    </row>
    <row r="1225" ht="14.0">
      <c r="A1225" s="151" t="s">
        <v>2644</v>
      </c>
      <c r="B1225" s="151" t="s">
        <v>2645</v>
      </c>
      <c r="C1225" s="151">
        <v>500.0</v>
      </c>
      <c r="D1225" s="151"/>
    </row>
    <row r="1226" ht="14.0">
      <c r="A1226" s="151" t="s">
        <v>2646</v>
      </c>
      <c r="B1226" s="151" t="s">
        <v>2647</v>
      </c>
      <c r="C1226" s="151">
        <v>500.0</v>
      </c>
      <c r="D1226" s="151"/>
    </row>
    <row r="1227" ht="14.0">
      <c r="A1227" s="151" t="s">
        <v>2648</v>
      </c>
      <c r="B1227" s="151" t="s">
        <v>2649</v>
      </c>
      <c r="C1227" s="151">
        <v>500.0</v>
      </c>
      <c r="D1227" s="151"/>
    </row>
    <row r="1228" ht="14.0">
      <c r="A1228" s="151" t="s">
        <v>2650</v>
      </c>
      <c r="B1228" s="151" t="s">
        <v>2651</v>
      </c>
      <c r="C1228" s="151">
        <v>500.0</v>
      </c>
      <c r="D1228" s="151"/>
    </row>
    <row r="1229" ht="14.0">
      <c r="A1229" s="151" t="s">
        <v>2652</v>
      </c>
      <c r="B1229" s="151" t="s">
        <v>2653</v>
      </c>
      <c r="C1229" s="151"/>
      <c r="D1229" s="151"/>
    </row>
    <row r="1230" ht="14.0">
      <c r="A1230" s="151" t="s">
        <v>2654</v>
      </c>
      <c r="B1230" s="151" t="s">
        <v>2655</v>
      </c>
      <c r="C1230" s="151"/>
      <c r="D1230" s="151" t="s">
        <v>0</v>
      </c>
    </row>
    <row r="1231" ht="14.0">
      <c r="A1231" s="151" t="s">
        <v>2656</v>
      </c>
      <c r="B1231" s="151" t="s">
        <v>2657</v>
      </c>
      <c r="C1231" s="151"/>
      <c r="D1231" s="151"/>
    </row>
    <row r="1232" ht="14.0">
      <c r="A1232" s="151" t="s">
        <v>2658</v>
      </c>
      <c r="B1232" s="151" t="s">
        <v>2659</v>
      </c>
      <c r="C1232" s="80">
        <v>1002.0</v>
      </c>
      <c r="D1232" s="151"/>
    </row>
    <row r="1233" ht="14.0">
      <c r="A1233" s="151" t="s">
        <v>2660</v>
      </c>
      <c r="B1233" s="151" t="s">
        <v>2661</v>
      </c>
      <c r="C1233" s="80">
        <v>1002.0</v>
      </c>
      <c r="D1233" s="151"/>
    </row>
    <row r="1234" ht="14.0">
      <c r="A1234" s="151" t="s">
        <v>2662</v>
      </c>
      <c r="B1234" s="151" t="s">
        <v>2663</v>
      </c>
      <c r="C1234" s="80">
        <v>1002.0</v>
      </c>
      <c r="D1234" s="151"/>
    </row>
    <row r="1235" ht="14.0">
      <c r="A1235" s="151" t="s">
        <v>2664</v>
      </c>
      <c r="B1235" s="151" t="s">
        <v>2665</v>
      </c>
      <c r="C1235" s="80">
        <v>1002.0</v>
      </c>
      <c r="D1235" s="151"/>
    </row>
    <row r="1236" ht="14.0">
      <c r="A1236" s="151" t="s">
        <v>2666</v>
      </c>
      <c r="B1236" s="151" t="s">
        <v>2667</v>
      </c>
      <c r="C1236" s="80">
        <v>1002.0</v>
      </c>
      <c r="D1236" s="151"/>
    </row>
    <row r="1237" ht="14.0">
      <c r="A1237" s="151" t="s">
        <v>2668</v>
      </c>
      <c r="B1237" s="151" t="s">
        <v>2669</v>
      </c>
      <c r="C1237" s="80">
        <v>1002.0</v>
      </c>
      <c r="D1237" s="151"/>
    </row>
    <row r="1238" ht="14.0">
      <c r="A1238" s="151" t="s">
        <v>2670</v>
      </c>
      <c r="B1238" s="151" t="s">
        <v>2671</v>
      </c>
      <c r="C1238" s="80">
        <v>1002.0</v>
      </c>
      <c r="D1238" s="151"/>
    </row>
    <row r="1239" ht="14.0">
      <c r="A1239" s="151" t="s">
        <v>2672</v>
      </c>
      <c r="B1239" s="151" t="s">
        <v>2673</v>
      </c>
      <c r="C1239" s="80">
        <v>1002.0</v>
      </c>
      <c r="D1239" s="151"/>
    </row>
    <row r="1240" ht="14.0">
      <c r="A1240" s="151" t="s">
        <v>2674</v>
      </c>
      <c r="B1240" s="151" t="s">
        <v>2675</v>
      </c>
      <c r="C1240" s="80">
        <v>1002.0</v>
      </c>
      <c r="D1240" s="151"/>
    </row>
    <row r="1241" ht="14.0">
      <c r="A1241" s="151" t="s">
        <v>2676</v>
      </c>
      <c r="B1241" s="151" t="s">
        <v>2677</v>
      </c>
      <c r="C1241" s="80">
        <v>1002.0</v>
      </c>
      <c r="D1241" s="151"/>
    </row>
    <row r="1242" ht="14.0">
      <c r="A1242" s="151" t="s">
        <v>2678</v>
      </c>
      <c r="B1242" s="151" t="s">
        <v>2679</v>
      </c>
      <c r="C1242" s="80">
        <v>1002.0</v>
      </c>
      <c r="D1242" s="151"/>
    </row>
    <row r="1243" ht="14.0">
      <c r="A1243" s="151" t="s">
        <v>2680</v>
      </c>
      <c r="B1243" s="151" t="s">
        <v>2681</v>
      </c>
      <c r="C1243" s="80">
        <v>1002.0</v>
      </c>
      <c r="D1243" s="151"/>
    </row>
    <row r="1244" ht="14.0">
      <c r="A1244" s="151" t="s">
        <v>2682</v>
      </c>
      <c r="B1244" s="151" t="s">
        <v>2683</v>
      </c>
      <c r="C1244" s="151">
        <v>500.0</v>
      </c>
      <c r="D1244" s="151"/>
    </row>
    <row r="1245" ht="14.0">
      <c r="A1245" s="151" t="s">
        <v>600</v>
      </c>
      <c r="B1245" s="151" t="s">
        <v>601</v>
      </c>
      <c r="C1245" s="151">
        <v>500.0</v>
      </c>
      <c r="D1245" s="151"/>
    </row>
    <row r="1246" ht="14.0">
      <c r="A1246" s="151" t="s">
        <v>2684</v>
      </c>
      <c r="B1246" s="151" t="s">
        <v>2685</v>
      </c>
      <c r="C1246" s="151">
        <v>500.0</v>
      </c>
      <c r="D1246" s="151" t="s">
        <v>0</v>
      </c>
    </row>
    <row r="1247" ht="14.0">
      <c r="A1247" s="151" t="s">
        <v>606</v>
      </c>
      <c r="B1247" s="151" t="s">
        <v>607</v>
      </c>
      <c r="C1247" s="151">
        <v>500.0</v>
      </c>
      <c r="D1247" s="151"/>
    </row>
    <row r="1248" ht="14.0">
      <c r="A1248" s="151" t="s">
        <v>612</v>
      </c>
      <c r="B1248" s="151" t="s">
        <v>613</v>
      </c>
      <c r="C1248" s="151">
        <v>500.0</v>
      </c>
      <c r="D1248" s="151"/>
    </row>
    <row r="1249" ht="14.0">
      <c r="A1249" s="151" t="s">
        <v>2686</v>
      </c>
      <c r="B1249" s="151" t="s">
        <v>2687</v>
      </c>
      <c r="C1249" s="151"/>
      <c r="D1249" s="151" t="s">
        <v>0</v>
      </c>
    </row>
    <row r="1250" ht="14.0">
      <c r="A1250" s="151" t="s">
        <v>604</v>
      </c>
      <c r="B1250" s="151" t="s">
        <v>605</v>
      </c>
      <c r="C1250" s="151">
        <v>500.0</v>
      </c>
      <c r="D1250" s="151" t="s">
        <v>0</v>
      </c>
    </row>
    <row r="1251" ht="14.0">
      <c r="A1251" s="151" t="s">
        <v>2688</v>
      </c>
      <c r="B1251" s="151" t="s">
        <v>2689</v>
      </c>
      <c r="C1251" s="151">
        <v>250.0</v>
      </c>
      <c r="D1251" s="151"/>
    </row>
    <row r="1252" ht="14.0">
      <c r="A1252" s="151" t="s">
        <v>2690</v>
      </c>
      <c r="B1252" s="151" t="s">
        <v>2691</v>
      </c>
      <c r="C1252" s="151"/>
      <c r="D1252" s="151" t="s">
        <v>0</v>
      </c>
    </row>
    <row r="1253" ht="14.0">
      <c r="A1253" s="151" t="s">
        <v>2692</v>
      </c>
      <c r="B1253" s="151" t="s">
        <v>2693</v>
      </c>
      <c r="C1253" s="151"/>
      <c r="D1253" s="151"/>
    </row>
    <row r="1254" ht="14.0">
      <c r="A1254" s="151" t="s">
        <v>2694</v>
      </c>
      <c r="B1254" s="151" t="s">
        <v>2695</v>
      </c>
      <c r="C1254" s="151"/>
      <c r="D1254" s="151" t="s">
        <v>0</v>
      </c>
    </row>
    <row r="1255" ht="14.0">
      <c r="A1255" s="151" t="s">
        <v>2696</v>
      </c>
      <c r="B1255" s="151" t="s">
        <v>2697</v>
      </c>
      <c r="C1255" s="151"/>
      <c r="D1255" s="151" t="s">
        <v>0</v>
      </c>
    </row>
    <row r="1256" ht="14.0">
      <c r="A1256" s="151" t="s">
        <v>2698</v>
      </c>
      <c r="B1256" s="151" t="s">
        <v>2699</v>
      </c>
      <c r="C1256" s="151"/>
      <c r="D1256" s="151"/>
    </row>
    <row r="1257" ht="14.0">
      <c r="A1257" s="151" t="s">
        <v>2700</v>
      </c>
      <c r="B1257" s="151" t="s">
        <v>2701</v>
      </c>
      <c r="C1257" s="151">
        <v>180.0</v>
      </c>
      <c r="D1257" s="151"/>
    </row>
    <row r="1258" ht="14.0">
      <c r="A1258" s="151" t="s">
        <v>2702</v>
      </c>
      <c r="B1258" s="151" t="s">
        <v>2703</v>
      </c>
      <c r="C1258" s="151">
        <v>180.0</v>
      </c>
      <c r="D1258" s="151"/>
    </row>
    <row r="1259" ht="14.0">
      <c r="A1259" s="151" t="s">
        <v>2704</v>
      </c>
      <c r="B1259" s="151" t="s">
        <v>2705</v>
      </c>
      <c r="C1259" s="151">
        <v>180.0</v>
      </c>
      <c r="D1259" s="151"/>
    </row>
    <row r="1260" ht="14.0">
      <c r="A1260" s="151" t="s">
        <v>2706</v>
      </c>
      <c r="B1260" s="151" t="s">
        <v>2707</v>
      </c>
      <c r="C1260" s="151">
        <v>180.0</v>
      </c>
      <c r="D1260" s="151"/>
    </row>
    <row r="1261" ht="14.0">
      <c r="A1261" s="151" t="s">
        <v>2708</v>
      </c>
      <c r="B1261" s="151" t="s">
        <v>2709</v>
      </c>
      <c r="C1261" s="151">
        <v>180.0</v>
      </c>
      <c r="D1261" s="151"/>
    </row>
    <row r="1262" ht="14.0">
      <c r="A1262" s="151" t="s">
        <v>2710</v>
      </c>
      <c r="B1262" s="151" t="s">
        <v>2711</v>
      </c>
      <c r="C1262" s="151">
        <v>180.0</v>
      </c>
      <c r="D1262" s="151"/>
    </row>
    <row r="1263" ht="14.0">
      <c r="A1263" s="151" t="s">
        <v>2712</v>
      </c>
      <c r="B1263" s="151" t="s">
        <v>2713</v>
      </c>
      <c r="C1263" s="151">
        <v>480.0</v>
      </c>
      <c r="D1263" s="151"/>
    </row>
    <row r="1264" ht="14.0">
      <c r="A1264" s="151" t="s">
        <v>2714</v>
      </c>
      <c r="B1264" s="151" t="s">
        <v>2715</v>
      </c>
      <c r="C1264" s="151">
        <v>480.0</v>
      </c>
      <c r="D1264" s="151"/>
    </row>
    <row r="1265" ht="14.0">
      <c r="A1265" s="151" t="s">
        <v>2716</v>
      </c>
      <c r="B1265" s="151" t="s">
        <v>2717</v>
      </c>
      <c r="C1265" s="151"/>
      <c r="D1265" s="151"/>
    </row>
    <row r="1266" ht="14.0">
      <c r="A1266" s="151" t="s">
        <v>2718</v>
      </c>
      <c r="B1266" s="151" t="s">
        <v>2719</v>
      </c>
      <c r="C1266" s="151"/>
      <c r="D1266" s="151" t="s">
        <v>0</v>
      </c>
    </row>
    <row r="1267" ht="14.0">
      <c r="A1267" s="151" t="s">
        <v>2720</v>
      </c>
      <c r="B1267" s="151" t="s">
        <v>2721</v>
      </c>
      <c r="C1267" s="151"/>
      <c r="D1267" s="151" t="s">
        <v>0</v>
      </c>
    </row>
    <row r="1268" ht="14.0">
      <c r="A1268" s="151" t="s">
        <v>2722</v>
      </c>
      <c r="B1268" s="151" t="s">
        <v>2723</v>
      </c>
      <c r="C1268" s="151"/>
      <c r="D1268" s="151" t="s">
        <v>0</v>
      </c>
    </row>
    <row r="1269" ht="14.0">
      <c r="A1269" s="151" t="s">
        <v>2724</v>
      </c>
      <c r="B1269" s="151" t="s">
        <v>2725</v>
      </c>
      <c r="C1269" s="151"/>
      <c r="D1269" s="151" t="s">
        <v>0</v>
      </c>
    </row>
    <row r="1270" ht="14.0">
      <c r="A1270" s="151" t="s">
        <v>2726</v>
      </c>
      <c r="B1270" s="151" t="s">
        <v>2727</v>
      </c>
      <c r="C1270" s="151"/>
      <c r="D1270" s="151" t="s">
        <v>0</v>
      </c>
    </row>
  </sheetData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96"/>
  <sheetViews>
    <sheetView workbookViewId="0"/>
  </sheetViews>
  <sheetFormatPr defaultRowHeight="14.0" customHeight="1"/>
  <cols>
    <col min="1" max="1" style="153" width="20.27"/>
    <col min="2" max="2" style="153" width="23.58"/>
    <col min="3" max="3" style="153" width="21.59"/>
    <col min="4" max="4" style="80" width="60.15"/>
    <col min="5" max="5" style="80" width="45.18"/>
    <col min="6" max="6" style="80" width="14.17"/>
    <col min="7" max="7" style="80" width="16.82"/>
    <col min="8" max="8" style="80" width="10.46"/>
    <col min="9" max="9" style="80" width="27.55"/>
    <col min="10" max="10" style="80" width="15.23"/>
    <col min="11" max="11" style="153" width="22.12"/>
    <col min="12" max="2048" style="80" width="13.24"/>
  </cols>
  <sheetData>
    <row r="1" ht="14.0">
      <c r="A1" s="154" t="s">
        <v>2728</v>
      </c>
      <c r="B1" s="154" t="s">
        <v>2729</v>
      </c>
      <c r="C1" s="154" t="s">
        <v>2730</v>
      </c>
      <c r="D1" s="155" t="s">
        <v>2731</v>
      </c>
      <c r="E1" s="155" t="s">
        <v>842</v>
      </c>
      <c r="F1" s="155" t="s">
        <v>824</v>
      </c>
      <c r="G1" s="155" t="s">
        <v>2732</v>
      </c>
      <c r="H1" s="155" t="s">
        <v>2733</v>
      </c>
      <c r="I1" s="156" t="s">
        <v>832</v>
      </c>
      <c r="J1" s="156" t="s">
        <v>2734</v>
      </c>
      <c r="L1" s="1"/>
      <c r="M1" s="1"/>
      <c r="N1" s="1"/>
      <c r="O1" s="1"/>
      <c r="P1" s="1"/>
      <c r="Q1" s="94"/>
    </row>
    <row r="2" ht="14.0">
      <c r="A2" s="157">
        <v>45960</v>
      </c>
      <c r="B2" s="42" t="s">
        <v>2735</v>
      </c>
      <c r="C2" s="42" t="s">
        <v>2736</v>
      </c>
      <c r="D2" s="41" t="s">
        <v>2737</v>
      </c>
      <c r="E2" s="41" t="s">
        <v>2738</v>
      </c>
      <c r="F2" s="42" t="s">
        <v>2208</v>
      </c>
      <c r="G2" s="41">
        <v>1000.0</v>
      </c>
      <c r="H2" s="41">
        <v>1.87</v>
      </c>
      <c r="I2" s="1"/>
      <c r="J2" s="1" t="s">
        <v>2739</v>
      </c>
      <c r="L2" s="1"/>
      <c r="M2" s="1"/>
      <c r="N2" s="1"/>
      <c r="O2" s="1"/>
      <c r="P2" s="1"/>
      <c r="Q2" s="94"/>
    </row>
    <row r="3" ht="14.0">
      <c r="A3" s="157">
        <v>45960</v>
      </c>
      <c r="B3" s="42" t="s">
        <v>2735</v>
      </c>
      <c r="C3" s="42" t="s">
        <v>2736</v>
      </c>
      <c r="D3" s="41" t="s">
        <v>2737</v>
      </c>
      <c r="E3" s="41" t="s">
        <v>2740</v>
      </c>
      <c r="F3" s="42" t="s">
        <v>2741</v>
      </c>
      <c r="G3" s="41">
        <v>700.0</v>
      </c>
      <c r="H3" s="41">
        <v>1.75</v>
      </c>
      <c r="I3" s="1"/>
      <c r="J3" s="1" t="s">
        <v>2739</v>
      </c>
      <c r="L3" s="1"/>
      <c r="M3" s="1"/>
      <c r="N3" s="1"/>
      <c r="O3" s="1"/>
      <c r="P3" s="1"/>
      <c r="Q3" s="94"/>
    </row>
    <row r="4" ht="14.0">
      <c r="A4" s="157">
        <v>45960</v>
      </c>
      <c r="B4" s="42" t="s">
        <v>2735</v>
      </c>
      <c r="C4" s="42" t="s">
        <v>2736</v>
      </c>
      <c r="D4" s="41" t="s">
        <v>2737</v>
      </c>
      <c r="E4" s="41" t="s">
        <v>2742</v>
      </c>
      <c r="F4" s="42" t="s">
        <v>2743</v>
      </c>
      <c r="G4" s="41">
        <v>500.0</v>
      </c>
      <c r="H4" s="41">
        <v>1.67</v>
      </c>
      <c r="I4" s="1"/>
      <c r="J4" s="1" t="s">
        <v>2739</v>
      </c>
      <c r="L4" s="1"/>
      <c r="M4" s="1"/>
      <c r="N4" s="1"/>
      <c r="O4" s="1"/>
      <c r="P4" s="1"/>
      <c r="Q4" s="94"/>
    </row>
    <row r="5" ht="14.0">
      <c r="A5" s="157">
        <v>45960</v>
      </c>
      <c r="B5" s="42" t="s">
        <v>2735</v>
      </c>
      <c r="C5" s="42" t="s">
        <v>2736</v>
      </c>
      <c r="D5" s="41" t="s">
        <v>2737</v>
      </c>
      <c r="E5" s="41" t="s">
        <v>2744</v>
      </c>
      <c r="F5" s="42" t="s">
        <v>2226</v>
      </c>
      <c r="G5" s="41">
        <v>300.0</v>
      </c>
      <c r="H5" s="41">
        <v>1.88</v>
      </c>
      <c r="I5" s="1"/>
      <c r="J5" s="1" t="s">
        <v>2739</v>
      </c>
      <c r="L5" s="1"/>
      <c r="M5" s="1"/>
      <c r="N5" s="1"/>
      <c r="O5" s="1"/>
      <c r="P5" s="1"/>
      <c r="Q5" s="94"/>
    </row>
    <row r="6" ht="14.0">
      <c r="A6" s="157">
        <v>45960</v>
      </c>
      <c r="B6" s="42" t="s">
        <v>2735</v>
      </c>
      <c r="C6" s="42" t="s">
        <v>2736</v>
      </c>
      <c r="D6" s="41" t="s">
        <v>2737</v>
      </c>
      <c r="E6" s="41" t="s">
        <v>2745</v>
      </c>
      <c r="F6" s="42" t="s">
        <v>2746</v>
      </c>
      <c r="G6" s="41">
        <v>1000.0</v>
      </c>
      <c r="H6" s="41">
        <v>1.76</v>
      </c>
      <c r="I6" s="1"/>
      <c r="J6" s="1" t="s">
        <v>2739</v>
      </c>
      <c r="L6" s="1"/>
      <c r="M6" s="1"/>
      <c r="N6" s="1"/>
      <c r="O6" s="1"/>
      <c r="P6" s="1"/>
      <c r="Q6" s="94"/>
    </row>
    <row r="7" ht="14.0">
      <c r="A7" s="157">
        <v>45960</v>
      </c>
      <c r="B7" s="42" t="s">
        <v>2735</v>
      </c>
      <c r="C7" s="42" t="s">
        <v>2736</v>
      </c>
      <c r="D7" s="41" t="s">
        <v>2737</v>
      </c>
      <c r="E7" s="41" t="s">
        <v>2747</v>
      </c>
      <c r="F7" s="42" t="s">
        <v>2228</v>
      </c>
      <c r="G7" s="41">
        <v>700.0</v>
      </c>
      <c r="H7" s="41">
        <v>1.95</v>
      </c>
      <c r="I7" s="1"/>
      <c r="J7" s="1" t="s">
        <v>2739</v>
      </c>
      <c r="L7" s="1"/>
      <c r="M7" s="1"/>
      <c r="N7" s="1"/>
      <c r="O7" s="1"/>
      <c r="P7" s="1"/>
      <c r="Q7" s="94"/>
    </row>
    <row r="8" ht="14.0">
      <c r="A8" s="157">
        <v>45960</v>
      </c>
      <c r="B8" s="42" t="s">
        <v>2735</v>
      </c>
      <c r="C8" s="42" t="s">
        <v>2736</v>
      </c>
      <c r="D8" s="41" t="s">
        <v>2737</v>
      </c>
      <c r="E8" s="41" t="s">
        <v>2748</v>
      </c>
      <c r="F8" s="42" t="s">
        <v>2749</v>
      </c>
      <c r="G8" s="41">
        <v>500.0</v>
      </c>
      <c r="H8" s="41">
        <v>1.83</v>
      </c>
      <c r="I8" s="1"/>
      <c r="J8" s="1" t="s">
        <v>2739</v>
      </c>
      <c r="L8" s="1"/>
      <c r="M8" s="1"/>
      <c r="N8" s="1"/>
      <c r="O8" s="1"/>
      <c r="P8" s="1"/>
      <c r="Q8" s="94"/>
    </row>
    <row r="9" ht="14.0">
      <c r="A9" s="157">
        <v>45960</v>
      </c>
      <c r="B9" s="42" t="s">
        <v>2735</v>
      </c>
      <c r="C9" s="42" t="s">
        <v>2736</v>
      </c>
      <c r="D9" s="41" t="s">
        <v>2737</v>
      </c>
      <c r="E9" s="41" t="s">
        <v>2750</v>
      </c>
      <c r="F9" s="42" t="s">
        <v>2210</v>
      </c>
      <c r="G9" s="41">
        <v>500.0</v>
      </c>
      <c r="H9" s="41">
        <v>1.95</v>
      </c>
      <c r="I9" s="1"/>
      <c r="J9" s="1" t="s">
        <v>2739</v>
      </c>
      <c r="L9" s="1"/>
      <c r="M9" s="1"/>
      <c r="N9" s="1"/>
      <c r="O9" s="1"/>
      <c r="P9" s="1"/>
      <c r="Q9" s="94"/>
    </row>
    <row r="10" ht="14.0">
      <c r="A10" s="157">
        <v>45960</v>
      </c>
      <c r="B10" s="42" t="s">
        <v>2735</v>
      </c>
      <c r="C10" s="42" t="s">
        <v>2736</v>
      </c>
      <c r="D10" s="41" t="s">
        <v>2737</v>
      </c>
      <c r="E10" s="41" t="s">
        <v>2751</v>
      </c>
      <c r="F10" s="42" t="s">
        <v>2752</v>
      </c>
      <c r="G10" s="41">
        <v>500.0</v>
      </c>
      <c r="H10" s="41">
        <v>1.83</v>
      </c>
      <c r="I10" s="1"/>
      <c r="J10" s="1" t="s">
        <v>2739</v>
      </c>
      <c r="L10" s="1"/>
      <c r="M10" s="1"/>
      <c r="N10" s="1"/>
      <c r="O10" s="1"/>
      <c r="P10" s="1"/>
      <c r="Q10" s="94"/>
    </row>
    <row r="11" ht="14.0">
      <c r="A11" s="157">
        <v>45960</v>
      </c>
      <c r="B11" s="42" t="s">
        <v>2735</v>
      </c>
      <c r="C11" s="42" t="s">
        <v>2736</v>
      </c>
      <c r="D11" s="41" t="s">
        <v>2737</v>
      </c>
      <c r="E11" s="41" t="s">
        <v>2189</v>
      </c>
      <c r="F11" s="42" t="s">
        <v>2190</v>
      </c>
      <c r="G11" s="41">
        <v>500.0</v>
      </c>
      <c r="H11" s="41">
        <v>1.75</v>
      </c>
      <c r="I11" s="1"/>
      <c r="J11" s="1" t="s">
        <v>2739</v>
      </c>
      <c r="K11" s="158"/>
      <c r="L11" s="1"/>
      <c r="M11" s="1"/>
      <c r="N11" s="1"/>
      <c r="O11" s="1"/>
      <c r="P11" s="1"/>
      <c r="Q11" s="94"/>
    </row>
    <row r="12" ht="14.0">
      <c r="A12" s="157">
        <v>45960</v>
      </c>
      <c r="B12" s="42" t="s">
        <v>2735</v>
      </c>
      <c r="C12" s="42" t="s">
        <v>2736</v>
      </c>
      <c r="D12" s="41" t="s">
        <v>2737</v>
      </c>
      <c r="E12" s="41" t="s">
        <v>2753</v>
      </c>
      <c r="F12" s="42" t="s">
        <v>2754</v>
      </c>
      <c r="G12" s="41">
        <v>300.0</v>
      </c>
      <c r="H12" s="41">
        <v>1.75</v>
      </c>
      <c r="I12" s="1"/>
      <c r="J12" s="1" t="s">
        <v>2739</v>
      </c>
      <c r="K12" s="158"/>
      <c r="L12" s="1"/>
      <c r="M12" s="1"/>
      <c r="N12" s="1"/>
      <c r="O12" s="1"/>
      <c r="P12" s="1"/>
      <c r="Q12" s="94"/>
    </row>
    <row r="13" ht="14.0">
      <c r="A13" s="157">
        <v>45960</v>
      </c>
      <c r="B13" s="42" t="s">
        <v>2735</v>
      </c>
      <c r="C13" s="42" t="s">
        <v>2736</v>
      </c>
      <c r="D13" s="41" t="s">
        <v>2737</v>
      </c>
      <c r="E13" s="41" t="s">
        <v>2211</v>
      </c>
      <c r="F13" s="42" t="s">
        <v>2212</v>
      </c>
      <c r="G13" s="41">
        <v>300.0</v>
      </c>
      <c r="H13" s="41">
        <v>1.48</v>
      </c>
      <c r="I13" s="1"/>
      <c r="J13" s="1" t="s">
        <v>2739</v>
      </c>
      <c r="K13" s="158"/>
      <c r="L13" s="1"/>
      <c r="M13" s="1"/>
      <c r="N13" s="1"/>
      <c r="O13" s="1"/>
      <c r="P13" s="1"/>
      <c r="Q13" s="94"/>
    </row>
    <row r="14" ht="14.0">
      <c r="A14" s="157">
        <v>45960</v>
      </c>
      <c r="B14" s="42" t="s">
        <v>2735</v>
      </c>
      <c r="C14" s="42" t="s">
        <v>2736</v>
      </c>
      <c r="D14" s="41" t="s">
        <v>2737</v>
      </c>
      <c r="E14" s="41" t="s">
        <v>2187</v>
      </c>
      <c r="F14" s="42" t="s">
        <v>2188</v>
      </c>
      <c r="G14" s="41">
        <v>850.0</v>
      </c>
      <c r="H14" s="41">
        <v>1.67</v>
      </c>
      <c r="I14" s="1"/>
      <c r="J14" s="1" t="s">
        <v>2739</v>
      </c>
      <c r="K14" s="158"/>
      <c r="L14" s="1"/>
      <c r="M14" s="1"/>
      <c r="N14" s="1"/>
      <c r="O14" s="1"/>
      <c r="P14" s="1"/>
      <c r="Q14" s="94"/>
    </row>
    <row r="15" ht="14.0">
      <c r="A15" s="157">
        <v>45960</v>
      </c>
      <c r="B15" s="42" t="s">
        <v>2735</v>
      </c>
      <c r="C15" s="42" t="s">
        <v>2736</v>
      </c>
      <c r="D15" s="41" t="s">
        <v>2737</v>
      </c>
      <c r="E15" s="41" t="s">
        <v>2229</v>
      </c>
      <c r="F15" s="42" t="s">
        <v>2230</v>
      </c>
      <c r="G15" s="41">
        <v>650.0</v>
      </c>
      <c r="H15" s="41">
        <v>1.98</v>
      </c>
      <c r="I15" s="1"/>
      <c r="J15" s="1" t="s">
        <v>2739</v>
      </c>
      <c r="K15" s="158"/>
      <c r="L15" s="1"/>
      <c r="M15" s="1"/>
      <c r="N15" s="1"/>
      <c r="O15" s="1"/>
      <c r="P15" s="1"/>
      <c r="Q15" s="94"/>
    </row>
    <row r="16" ht="14.0">
      <c r="A16" s="157">
        <v>45960</v>
      </c>
      <c r="B16" s="42" t="s">
        <v>2735</v>
      </c>
      <c r="C16" s="42" t="s">
        <v>2736</v>
      </c>
      <c r="D16" s="41" t="s">
        <v>2737</v>
      </c>
      <c r="E16" s="41" t="s">
        <v>2755</v>
      </c>
      <c r="F16" s="42" t="s">
        <v>2756</v>
      </c>
      <c r="G16" s="41">
        <v>800.0</v>
      </c>
      <c r="H16" s="41">
        <v>1.22</v>
      </c>
      <c r="I16" s="1" t="s">
        <v>2757</v>
      </c>
      <c r="J16" s="1" t="s">
        <v>2739</v>
      </c>
      <c r="K16" s="158"/>
      <c r="L16" s="1"/>
      <c r="M16" s="1"/>
      <c r="N16" s="1"/>
      <c r="O16" s="1"/>
      <c r="P16" s="1"/>
      <c r="Q16" s="94"/>
    </row>
    <row r="17" ht="14.0">
      <c r="A17" s="157">
        <v>45960</v>
      </c>
      <c r="B17" s="42" t="s">
        <v>2735</v>
      </c>
      <c r="C17" s="42" t="s">
        <v>2736</v>
      </c>
      <c r="D17" s="41" t="s">
        <v>2737</v>
      </c>
      <c r="E17" s="41" t="s">
        <v>2758</v>
      </c>
      <c r="F17" s="42" t="s">
        <v>2759</v>
      </c>
      <c r="G17" s="41">
        <v>800.0</v>
      </c>
      <c r="H17" s="41">
        <v>1.22</v>
      </c>
      <c r="I17" s="1" t="s">
        <v>2757</v>
      </c>
      <c r="J17" s="1" t="s">
        <v>2739</v>
      </c>
      <c r="K17" s="158"/>
      <c r="L17" s="1"/>
      <c r="M17" s="1"/>
      <c r="N17" s="1"/>
      <c r="O17" s="1"/>
      <c r="P17" s="1"/>
      <c r="Q17" s="94"/>
    </row>
    <row r="18" ht="14.0">
      <c r="A18" s="157">
        <v>45960</v>
      </c>
      <c r="B18" s="42" t="s">
        <v>2735</v>
      </c>
      <c r="C18" s="42" t="s">
        <v>2736</v>
      </c>
      <c r="D18" s="41" t="s">
        <v>2737</v>
      </c>
      <c r="E18" s="41" t="s">
        <v>2760</v>
      </c>
      <c r="F18" s="42" t="s">
        <v>2761</v>
      </c>
      <c r="G18" s="41">
        <v>800.0</v>
      </c>
      <c r="H18" s="41">
        <v>1.22</v>
      </c>
      <c r="I18" s="1" t="s">
        <v>2757</v>
      </c>
      <c r="J18" s="1" t="s">
        <v>2739</v>
      </c>
      <c r="K18" s="158"/>
      <c r="L18" s="1"/>
      <c r="M18" s="1"/>
      <c r="N18" s="1"/>
      <c r="O18" s="1"/>
      <c r="P18" s="1"/>
      <c r="Q18" s="94"/>
    </row>
    <row r="19" ht="14.0">
      <c r="A19" s="157">
        <v>45960</v>
      </c>
      <c r="B19" s="42" t="s">
        <v>2735</v>
      </c>
      <c r="C19" s="42" t="s">
        <v>2736</v>
      </c>
      <c r="D19" s="41" t="s">
        <v>2737</v>
      </c>
      <c r="E19" s="41" t="s">
        <v>2762</v>
      </c>
      <c r="F19" s="42" t="s">
        <v>2763</v>
      </c>
      <c r="G19" s="41">
        <v>800.0</v>
      </c>
      <c r="H19" s="41">
        <v>1.22</v>
      </c>
      <c r="I19" s="1" t="s">
        <v>2757</v>
      </c>
      <c r="J19" s="1" t="s">
        <v>2739</v>
      </c>
      <c r="K19" s="158"/>
      <c r="L19" s="1"/>
      <c r="M19" s="1"/>
      <c r="N19" s="1"/>
      <c r="O19" s="1"/>
      <c r="P19" s="1"/>
      <c r="Q19" s="94"/>
    </row>
    <row r="20" ht="14.0">
      <c r="A20" s="157">
        <v>45960</v>
      </c>
      <c r="B20" s="42" t="s">
        <v>2735</v>
      </c>
      <c r="C20" s="42" t="s">
        <v>2736</v>
      </c>
      <c r="D20" s="41" t="s">
        <v>2737</v>
      </c>
      <c r="E20" s="41" t="s">
        <v>2764</v>
      </c>
      <c r="F20" s="42" t="s">
        <v>2765</v>
      </c>
      <c r="G20" s="41">
        <v>800.0</v>
      </c>
      <c r="H20" s="41">
        <v>1.22</v>
      </c>
      <c r="I20" s="1" t="s">
        <v>2757</v>
      </c>
      <c r="J20" s="1" t="s">
        <v>2739</v>
      </c>
      <c r="K20" s="42"/>
      <c r="L20" s="1"/>
      <c r="M20" s="1"/>
      <c r="N20" s="1"/>
      <c r="O20" s="1"/>
      <c r="P20" s="1"/>
      <c r="Q20" s="94"/>
    </row>
    <row r="21" ht="14.0">
      <c r="A21" s="157">
        <v>45960</v>
      </c>
      <c r="B21" s="42" t="s">
        <v>2735</v>
      </c>
      <c r="C21" s="42" t="s">
        <v>2736</v>
      </c>
      <c r="D21" s="41" t="s">
        <v>2737</v>
      </c>
      <c r="E21" s="41" t="s">
        <v>2766</v>
      </c>
      <c r="F21" s="42" t="s">
        <v>2767</v>
      </c>
      <c r="G21" s="41">
        <v>800.0</v>
      </c>
      <c r="H21" s="41">
        <v>1.22</v>
      </c>
      <c r="I21" s="1" t="s">
        <v>2757</v>
      </c>
      <c r="J21" s="1" t="s">
        <v>2739</v>
      </c>
      <c r="K21" s="42"/>
      <c r="L21" s="1"/>
      <c r="M21" s="1"/>
      <c r="N21" s="1"/>
      <c r="O21" s="1"/>
      <c r="P21" s="1"/>
      <c r="Q21" s="94"/>
    </row>
    <row r="22" ht="14.0">
      <c r="A22" s="157">
        <v>45960</v>
      </c>
      <c r="B22" s="42" t="s">
        <v>2735</v>
      </c>
      <c r="C22" s="42" t="s">
        <v>2736</v>
      </c>
      <c r="D22" s="41" t="s">
        <v>2737</v>
      </c>
      <c r="E22" s="41" t="s">
        <v>2768</v>
      </c>
      <c r="F22" s="42" t="s">
        <v>2769</v>
      </c>
      <c r="G22" s="41">
        <v>800.0</v>
      </c>
      <c r="H22" s="41">
        <v>1.22</v>
      </c>
      <c r="I22" s="1" t="s">
        <v>2757</v>
      </c>
      <c r="J22" s="1" t="s">
        <v>2739</v>
      </c>
      <c r="K22" s="42"/>
      <c r="L22" s="1"/>
      <c r="M22" s="1"/>
      <c r="N22" s="1"/>
      <c r="O22" s="1"/>
      <c r="P22" s="1"/>
      <c r="Q22" s="94"/>
    </row>
    <row r="23" ht="14.0">
      <c r="A23" s="157">
        <v>45960</v>
      </c>
      <c r="B23" s="42" t="s">
        <v>2735</v>
      </c>
      <c r="C23" s="42" t="s">
        <v>2736</v>
      </c>
      <c r="D23" s="41" t="s">
        <v>2737</v>
      </c>
      <c r="E23" s="41" t="s">
        <v>2770</v>
      </c>
      <c r="F23" s="42" t="s">
        <v>2771</v>
      </c>
      <c r="G23" s="41">
        <v>800.0</v>
      </c>
      <c r="H23" s="41">
        <v>1.22</v>
      </c>
      <c r="I23" s="1" t="s">
        <v>2757</v>
      </c>
      <c r="J23" s="1" t="s">
        <v>2739</v>
      </c>
      <c r="K23" s="42"/>
      <c r="L23" s="1"/>
      <c r="M23" s="1"/>
      <c r="N23" s="1"/>
      <c r="O23" s="1"/>
      <c r="P23" s="1"/>
      <c r="Q23" s="94"/>
    </row>
    <row r="24" ht="14.0">
      <c r="A24" s="157">
        <v>45973</v>
      </c>
      <c r="B24" s="42" t="s">
        <v>2772</v>
      </c>
      <c r="C24" s="42" t="s">
        <v>2736</v>
      </c>
      <c r="D24" s="41" t="s">
        <v>2773</v>
      </c>
      <c r="E24" s="41" t="s">
        <v>458</v>
      </c>
      <c r="F24" s="42" t="s">
        <v>459</v>
      </c>
      <c r="G24" s="41">
        <v>504.0</v>
      </c>
      <c r="H24" s="41">
        <v>2.75</v>
      </c>
      <c r="I24" s="1"/>
      <c r="J24" s="1" t="s">
        <v>2739</v>
      </c>
      <c r="K24" s="42"/>
      <c r="L24" s="1"/>
      <c r="M24" s="1"/>
      <c r="N24" s="1"/>
      <c r="O24" s="1"/>
      <c r="P24" s="1"/>
      <c r="Q24" s="94"/>
    </row>
    <row r="25" ht="14.0">
      <c r="A25" s="157">
        <v>45973</v>
      </c>
      <c r="B25" s="42" t="s">
        <v>2772</v>
      </c>
      <c r="C25" s="42" t="s">
        <v>2736</v>
      </c>
      <c r="D25" s="41" t="s">
        <v>2773</v>
      </c>
      <c r="E25" s="41" t="s">
        <v>2774</v>
      </c>
      <c r="F25" s="42" t="s">
        <v>2775</v>
      </c>
      <c r="G25" s="41">
        <v>504.0</v>
      </c>
      <c r="H25" s="41">
        <v>2.75</v>
      </c>
      <c r="I25" s="1"/>
      <c r="J25" s="1" t="s">
        <v>2739</v>
      </c>
      <c r="K25" s="42"/>
      <c r="L25" s="1"/>
      <c r="M25" s="1"/>
      <c r="N25" s="1"/>
      <c r="O25" s="1"/>
      <c r="P25" s="1"/>
      <c r="Q25" s="94"/>
    </row>
    <row r="26" ht="14.0">
      <c r="A26" s="157">
        <v>45973</v>
      </c>
      <c r="B26" s="42" t="s">
        <v>2772</v>
      </c>
      <c r="C26" s="42" t="s">
        <v>2736</v>
      </c>
      <c r="D26" s="41" t="s">
        <v>2773</v>
      </c>
      <c r="E26" s="41" t="s">
        <v>2776</v>
      </c>
      <c r="F26" s="42" t="s">
        <v>2777</v>
      </c>
      <c r="G26" s="41">
        <v>504.0</v>
      </c>
      <c r="H26" s="41">
        <v>2.75</v>
      </c>
      <c r="I26" s="1"/>
      <c r="J26" s="1" t="s">
        <v>2739</v>
      </c>
      <c r="K26" s="42"/>
      <c r="L26" s="1"/>
      <c r="M26" s="1"/>
      <c r="N26" s="1"/>
      <c r="O26" s="1"/>
      <c r="P26" s="1"/>
      <c r="Q26" s="94"/>
    </row>
    <row r="27" ht="14.0">
      <c r="A27" s="157">
        <v>45973</v>
      </c>
      <c r="B27" s="42" t="s">
        <v>2772</v>
      </c>
      <c r="C27" s="42" t="s">
        <v>2736</v>
      </c>
      <c r="D27" s="41" t="s">
        <v>2773</v>
      </c>
      <c r="E27" s="41" t="s">
        <v>2778</v>
      </c>
      <c r="F27" s="42" t="s">
        <v>2779</v>
      </c>
      <c r="G27" s="41">
        <v>504.0</v>
      </c>
      <c r="H27" s="41">
        <v>2.75</v>
      </c>
      <c r="I27" s="1" t="s">
        <v>2757</v>
      </c>
      <c r="J27" s="1" t="s">
        <v>2739</v>
      </c>
      <c r="K27" s="42"/>
      <c r="L27" s="1"/>
      <c r="M27" s="1"/>
      <c r="N27" s="1"/>
      <c r="O27" s="1"/>
      <c r="P27" s="1"/>
      <c r="Q27" s="94"/>
    </row>
    <row r="28" ht="14.0">
      <c r="A28" s="157">
        <v>45973</v>
      </c>
      <c r="B28" s="42" t="s">
        <v>2772</v>
      </c>
      <c r="C28" s="42" t="s">
        <v>2736</v>
      </c>
      <c r="D28" s="41" t="s">
        <v>2773</v>
      </c>
      <c r="E28" s="41" t="s">
        <v>2780</v>
      </c>
      <c r="F28" s="42" t="s">
        <v>2781</v>
      </c>
      <c r="G28" s="41">
        <v>504.0</v>
      </c>
      <c r="H28" s="41">
        <v>2.75</v>
      </c>
      <c r="I28" s="1" t="s">
        <v>2757</v>
      </c>
      <c r="J28" s="1" t="s">
        <v>2739</v>
      </c>
      <c r="K28" s="158"/>
      <c r="L28" s="1"/>
      <c r="M28" s="1"/>
      <c r="N28" s="1"/>
      <c r="O28" s="1"/>
      <c r="P28" s="1"/>
      <c r="Q28" s="94"/>
    </row>
    <row r="29" ht="14.0">
      <c r="A29" s="157">
        <v>45973</v>
      </c>
      <c r="B29" s="42" t="s">
        <v>2772</v>
      </c>
      <c r="C29" s="42" t="s">
        <v>2736</v>
      </c>
      <c r="D29" s="41" t="s">
        <v>2773</v>
      </c>
      <c r="E29" s="41" t="s">
        <v>488</v>
      </c>
      <c r="F29" s="42" t="s">
        <v>489</v>
      </c>
      <c r="G29" s="41">
        <v>504.0</v>
      </c>
      <c r="H29" s="41">
        <v>1.72</v>
      </c>
      <c r="I29" s="1"/>
      <c r="J29" s="1" t="s">
        <v>2739</v>
      </c>
      <c r="K29" s="158"/>
      <c r="L29" s="1"/>
      <c r="M29" s="1"/>
      <c r="N29" s="1"/>
      <c r="O29" s="1"/>
      <c r="P29" s="1"/>
      <c r="Q29" s="94"/>
    </row>
    <row r="30" ht="14.0">
      <c r="A30" s="157">
        <v>45973</v>
      </c>
      <c r="B30" s="42" t="s">
        <v>2772</v>
      </c>
      <c r="C30" s="42" t="s">
        <v>2736</v>
      </c>
      <c r="D30" s="41" t="s">
        <v>2773</v>
      </c>
      <c r="E30" s="41" t="s">
        <v>2782</v>
      </c>
      <c r="F30" s="42" t="s">
        <v>2783</v>
      </c>
      <c r="G30" s="41">
        <v>504.0</v>
      </c>
      <c r="H30" s="41">
        <v>1.72</v>
      </c>
      <c r="I30" s="1" t="s">
        <v>2757</v>
      </c>
      <c r="J30" s="1" t="s">
        <v>2739</v>
      </c>
      <c r="K30" s="158"/>
      <c r="L30" s="1"/>
      <c r="M30" s="1"/>
      <c r="N30" s="1"/>
      <c r="O30" s="1"/>
      <c r="P30" s="1"/>
      <c r="Q30" s="94"/>
    </row>
    <row r="31" ht="14.0">
      <c r="A31" s="157">
        <v>45973</v>
      </c>
      <c r="B31" s="42" t="s">
        <v>2772</v>
      </c>
      <c r="C31" s="42" t="s">
        <v>2736</v>
      </c>
      <c r="D31" s="41" t="s">
        <v>2773</v>
      </c>
      <c r="E31" s="41" t="s">
        <v>2784</v>
      </c>
      <c r="F31" s="42" t="s">
        <v>2785</v>
      </c>
      <c r="G31" s="41">
        <v>504.0</v>
      </c>
      <c r="H31" s="41">
        <v>1.72</v>
      </c>
      <c r="I31" s="1" t="s">
        <v>2757</v>
      </c>
      <c r="J31" s="1" t="s">
        <v>2739</v>
      </c>
      <c r="K31" s="158"/>
      <c r="L31" s="1"/>
      <c r="M31" s="1"/>
      <c r="N31" s="1"/>
      <c r="O31" s="1"/>
      <c r="P31" s="1"/>
      <c r="Q31" s="94"/>
    </row>
    <row r="32" ht="14.0">
      <c r="A32" s="157">
        <v>45973</v>
      </c>
      <c r="B32" s="42" t="s">
        <v>2772</v>
      </c>
      <c r="C32" s="42" t="s">
        <v>2736</v>
      </c>
      <c r="D32" s="41" t="s">
        <v>2773</v>
      </c>
      <c r="E32" s="41" t="s">
        <v>2786</v>
      </c>
      <c r="F32" s="42" t="s">
        <v>2787</v>
      </c>
      <c r="G32" s="41">
        <v>504.0</v>
      </c>
      <c r="H32" s="41">
        <v>1.51</v>
      </c>
      <c r="I32" s="1"/>
      <c r="J32" s="1" t="s">
        <v>2739</v>
      </c>
      <c r="K32" s="158"/>
      <c r="L32" s="1"/>
      <c r="M32" s="1"/>
      <c r="N32" s="1"/>
      <c r="O32" s="1"/>
      <c r="P32" s="1"/>
      <c r="Q32" s="94"/>
    </row>
    <row r="33" ht="14.0">
      <c r="A33" s="157">
        <v>45973</v>
      </c>
      <c r="B33" s="42" t="s">
        <v>2772</v>
      </c>
      <c r="C33" s="42" t="s">
        <v>2736</v>
      </c>
      <c r="D33" s="41" t="s">
        <v>2773</v>
      </c>
      <c r="E33" s="41" t="s">
        <v>2788</v>
      </c>
      <c r="F33" s="42" t="s">
        <v>2789</v>
      </c>
      <c r="G33" s="41">
        <v>504.0</v>
      </c>
      <c r="H33" s="41">
        <v>1.51</v>
      </c>
      <c r="I33" s="1"/>
      <c r="J33" s="1" t="s">
        <v>2739</v>
      </c>
      <c r="K33" s="158"/>
      <c r="L33" s="1"/>
      <c r="M33" s="1"/>
      <c r="N33" s="1"/>
      <c r="O33" s="1"/>
      <c r="P33" s="1"/>
      <c r="Q33" s="94"/>
    </row>
    <row r="34" ht="14.0">
      <c r="A34" s="157">
        <v>45973</v>
      </c>
      <c r="B34" s="42" t="s">
        <v>2772</v>
      </c>
      <c r="C34" s="42" t="s">
        <v>2736</v>
      </c>
      <c r="D34" s="41" t="s">
        <v>2773</v>
      </c>
      <c r="E34" s="41" t="s">
        <v>2790</v>
      </c>
      <c r="F34" s="42" t="s">
        <v>2791</v>
      </c>
      <c r="G34" s="41">
        <v>504.0</v>
      </c>
      <c r="H34" s="41">
        <v>1.51</v>
      </c>
      <c r="I34" s="1"/>
      <c r="J34" s="1" t="s">
        <v>2739</v>
      </c>
      <c r="K34" s="158"/>
      <c r="L34" s="1"/>
      <c r="M34" s="1"/>
      <c r="N34" s="1"/>
      <c r="O34" s="1"/>
      <c r="P34" s="1"/>
      <c r="Q34" s="94"/>
    </row>
    <row r="35" ht="14.0">
      <c r="A35" s="157">
        <v>45973</v>
      </c>
      <c r="B35" s="42" t="s">
        <v>2772</v>
      </c>
      <c r="C35" s="42" t="s">
        <v>2736</v>
      </c>
      <c r="D35" s="41" t="s">
        <v>2773</v>
      </c>
      <c r="E35" s="41" t="s">
        <v>2792</v>
      </c>
      <c r="F35" s="42" t="s">
        <v>2793</v>
      </c>
      <c r="G35" s="41">
        <v>504.0</v>
      </c>
      <c r="H35" s="41">
        <v>1.51</v>
      </c>
      <c r="I35" s="1" t="s">
        <v>2757</v>
      </c>
      <c r="J35" s="1" t="s">
        <v>2739</v>
      </c>
      <c r="K35" s="158"/>
      <c r="L35" s="1"/>
      <c r="M35" s="1"/>
      <c r="N35" s="1"/>
      <c r="O35" s="1"/>
      <c r="P35" s="1"/>
      <c r="Q35" s="94"/>
    </row>
    <row r="36" ht="14.0">
      <c r="A36" s="157">
        <v>45973</v>
      </c>
      <c r="B36" s="42" t="s">
        <v>2772</v>
      </c>
      <c r="C36" s="42" t="s">
        <v>2736</v>
      </c>
      <c r="D36" s="41" t="s">
        <v>2773</v>
      </c>
      <c r="E36" s="41" t="s">
        <v>2794</v>
      </c>
      <c r="F36" s="42" t="s">
        <v>2795</v>
      </c>
      <c r="G36" s="41">
        <v>504.0</v>
      </c>
      <c r="H36" s="41">
        <v>1.51</v>
      </c>
      <c r="I36" s="1" t="s">
        <v>2757</v>
      </c>
      <c r="J36" s="1" t="s">
        <v>2739</v>
      </c>
      <c r="L36" s="1"/>
      <c r="M36" s="1"/>
      <c r="N36" s="1"/>
      <c r="O36" s="1"/>
      <c r="P36" s="1"/>
      <c r="Q36" s="94"/>
    </row>
    <row r="37" ht="14.0">
      <c r="A37" s="157">
        <v>45973</v>
      </c>
      <c r="B37" s="42" t="s">
        <v>2796</v>
      </c>
      <c r="C37" s="42" t="s">
        <v>2736</v>
      </c>
      <c r="D37" s="41" t="s">
        <v>2797</v>
      </c>
      <c r="E37" s="41" t="s">
        <v>606</v>
      </c>
      <c r="F37" s="42" t="s">
        <v>607</v>
      </c>
      <c r="G37" s="41">
        <v>500.0</v>
      </c>
      <c r="H37" s="41">
        <v>2.12</v>
      </c>
      <c r="I37" s="1"/>
      <c r="J37" s="1" t="s">
        <v>2739</v>
      </c>
      <c r="L37" s="41"/>
      <c r="M37" s="41"/>
      <c r="N37" s="41"/>
      <c r="O37" s="41"/>
      <c r="P37" s="41"/>
      <c r="Q37" s="159"/>
    </row>
    <row r="38" ht="14.0">
      <c r="A38" s="157">
        <v>45973</v>
      </c>
      <c r="B38" s="42" t="s">
        <v>2796</v>
      </c>
      <c r="C38" s="42" t="s">
        <v>2736</v>
      </c>
      <c r="D38" s="41" t="s">
        <v>2797</v>
      </c>
      <c r="E38" s="41" t="s">
        <v>2798</v>
      </c>
      <c r="F38" s="42" t="s">
        <v>2799</v>
      </c>
      <c r="G38" s="41">
        <v>500.0</v>
      </c>
      <c r="H38" s="41">
        <v>2.12</v>
      </c>
      <c r="I38" s="1"/>
      <c r="J38" s="1" t="s">
        <v>2739</v>
      </c>
      <c r="L38" s="41"/>
      <c r="M38" s="41"/>
      <c r="N38" s="41"/>
      <c r="O38" s="41"/>
      <c r="P38" s="41"/>
      <c r="Q38" s="159"/>
    </row>
    <row r="39" ht="14.0">
      <c r="A39" s="157">
        <v>45973</v>
      </c>
      <c r="B39" s="42" t="s">
        <v>2796</v>
      </c>
      <c r="C39" s="42" t="s">
        <v>2736</v>
      </c>
      <c r="D39" s="41" t="s">
        <v>2797</v>
      </c>
      <c r="E39" s="41" t="s">
        <v>2800</v>
      </c>
      <c r="F39" s="42" t="s">
        <v>2801</v>
      </c>
      <c r="G39" s="41">
        <v>500.0</v>
      </c>
      <c r="H39" s="41">
        <v>2.12</v>
      </c>
      <c r="I39" s="1" t="s">
        <v>2757</v>
      </c>
      <c r="J39" s="1" t="s">
        <v>2739</v>
      </c>
      <c r="L39" s="41"/>
      <c r="M39" s="41"/>
      <c r="N39" s="41"/>
      <c r="O39" s="41"/>
      <c r="P39" s="41"/>
      <c r="Q39" s="159"/>
    </row>
    <row r="40" ht="14.0">
      <c r="A40" s="157">
        <v>45973</v>
      </c>
      <c r="B40" s="42" t="s">
        <v>2796</v>
      </c>
      <c r="C40" s="42" t="s">
        <v>2736</v>
      </c>
      <c r="D40" s="41" t="s">
        <v>2797</v>
      </c>
      <c r="E40" s="41" t="s">
        <v>2802</v>
      </c>
      <c r="F40" s="42" t="s">
        <v>2803</v>
      </c>
      <c r="G40" s="41">
        <v>500.0</v>
      </c>
      <c r="H40" s="41">
        <v>2.12</v>
      </c>
      <c r="I40" s="1" t="s">
        <v>2757</v>
      </c>
      <c r="J40" s="1" t="s">
        <v>2739</v>
      </c>
      <c r="L40" s="41"/>
      <c r="M40" s="41"/>
      <c r="N40" s="41"/>
      <c r="O40" s="41"/>
      <c r="P40" s="41"/>
      <c r="Q40" s="159"/>
    </row>
    <row r="41" ht="14.0">
      <c r="A41" s="157">
        <v>45973</v>
      </c>
      <c r="B41" s="42" t="s">
        <v>2804</v>
      </c>
      <c r="C41" s="42" t="s">
        <v>2736</v>
      </c>
      <c r="D41" s="41" t="s">
        <v>2805</v>
      </c>
      <c r="E41" s="41" t="s">
        <v>2806</v>
      </c>
      <c r="F41" s="42" t="s">
        <v>2807</v>
      </c>
      <c r="G41" s="41">
        <v>501.0</v>
      </c>
      <c r="H41" s="41">
        <v>2.58</v>
      </c>
      <c r="I41" s="1"/>
      <c r="J41" s="1" t="s">
        <v>2739</v>
      </c>
      <c r="L41" s="41"/>
      <c r="M41" s="41"/>
      <c r="N41" s="41"/>
      <c r="O41" s="41"/>
      <c r="P41" s="41"/>
      <c r="Q41" s="159"/>
    </row>
    <row r="42" ht="14.0">
      <c r="A42" s="157">
        <v>45973</v>
      </c>
      <c r="B42" s="42" t="s">
        <v>2804</v>
      </c>
      <c r="C42" s="42" t="s">
        <v>2736</v>
      </c>
      <c r="D42" s="41" t="s">
        <v>2805</v>
      </c>
      <c r="E42" s="41" t="s">
        <v>2808</v>
      </c>
      <c r="F42" s="42" t="s">
        <v>2809</v>
      </c>
      <c r="G42" s="41">
        <v>501.0</v>
      </c>
      <c r="H42" s="41">
        <v>2.58</v>
      </c>
      <c r="I42" s="1"/>
      <c r="J42" s="1" t="s">
        <v>2739</v>
      </c>
      <c r="L42" s="41"/>
      <c r="M42" s="41"/>
      <c r="N42" s="41"/>
      <c r="O42" s="41"/>
      <c r="P42" s="41"/>
      <c r="Q42" s="159"/>
    </row>
    <row r="43" ht="14.0">
      <c r="A43" s="157">
        <v>45973</v>
      </c>
      <c r="B43" s="42" t="s">
        <v>2804</v>
      </c>
      <c r="C43" s="42" t="s">
        <v>2736</v>
      </c>
      <c r="D43" s="41" t="s">
        <v>2805</v>
      </c>
      <c r="E43" s="41" t="s">
        <v>2810</v>
      </c>
      <c r="F43" s="42" t="s">
        <v>2811</v>
      </c>
      <c r="G43" s="41">
        <v>501.0</v>
      </c>
      <c r="H43" s="41">
        <v>2.58</v>
      </c>
      <c r="I43" s="1"/>
      <c r="J43" s="1" t="s">
        <v>2739</v>
      </c>
      <c r="L43" s="41"/>
      <c r="M43" s="41"/>
      <c r="N43" s="41"/>
      <c r="O43" s="41"/>
      <c r="P43" s="41"/>
      <c r="Q43" s="159"/>
    </row>
    <row r="44" ht="14.0">
      <c r="A44" s="157">
        <v>45973</v>
      </c>
      <c r="B44" s="42" t="s">
        <v>2804</v>
      </c>
      <c r="C44" s="42" t="s">
        <v>2736</v>
      </c>
      <c r="D44" s="41" t="s">
        <v>2805</v>
      </c>
      <c r="E44" s="41" t="s">
        <v>2812</v>
      </c>
      <c r="F44" s="42" t="s">
        <v>2813</v>
      </c>
      <c r="G44" s="41">
        <v>501.0</v>
      </c>
      <c r="H44" s="41">
        <v>2.58</v>
      </c>
      <c r="I44" s="1" t="s">
        <v>2757</v>
      </c>
      <c r="J44" s="1" t="s">
        <v>2739</v>
      </c>
      <c r="L44" s="160"/>
      <c r="M44" s="161"/>
      <c r="N44" s="161"/>
      <c r="O44" s="161"/>
      <c r="P44" s="161"/>
      <c r="Q44" s="161"/>
    </row>
    <row r="45" ht="14.0">
      <c r="A45" s="157">
        <v>45973</v>
      </c>
      <c r="B45" s="42" t="s">
        <v>2804</v>
      </c>
      <c r="C45" s="42" t="s">
        <v>2736</v>
      </c>
      <c r="D45" s="41" t="s">
        <v>2805</v>
      </c>
      <c r="E45" s="41" t="s">
        <v>2814</v>
      </c>
      <c r="F45" s="42" t="s">
        <v>2815</v>
      </c>
      <c r="G45" s="41">
        <v>501.0</v>
      </c>
      <c r="H45" s="41">
        <v>2.58</v>
      </c>
      <c r="I45" s="1" t="s">
        <v>2757</v>
      </c>
      <c r="J45" s="1" t="s">
        <v>2739</v>
      </c>
      <c r="L45" s="160"/>
      <c r="M45" s="161"/>
      <c r="N45" s="161"/>
      <c r="O45" s="161"/>
      <c r="P45" s="161"/>
      <c r="Q45" s="161"/>
    </row>
    <row r="46" ht="14.0">
      <c r="A46" s="157">
        <v>45973</v>
      </c>
      <c r="B46" s="42" t="s">
        <v>2816</v>
      </c>
      <c r="C46" s="42" t="s">
        <v>2736</v>
      </c>
      <c r="D46" s="41" t="s">
        <v>2817</v>
      </c>
      <c r="E46" s="41" t="s">
        <v>2648</v>
      </c>
      <c r="F46" s="42" t="s">
        <v>2649</v>
      </c>
      <c r="G46" s="41">
        <v>501.0</v>
      </c>
      <c r="H46" s="41">
        <v>4.87</v>
      </c>
      <c r="I46" s="1"/>
      <c r="J46" s="1" t="s">
        <v>2739</v>
      </c>
      <c r="L46" s="1"/>
      <c r="M46" s="1"/>
      <c r="N46" s="1"/>
      <c r="O46" s="1"/>
      <c r="P46" s="1"/>
      <c r="Q46" s="94"/>
    </row>
    <row r="47" ht="14.0">
      <c r="A47" s="157">
        <v>45973</v>
      </c>
      <c r="B47" s="42" t="s">
        <v>2816</v>
      </c>
      <c r="C47" s="42" t="s">
        <v>2736</v>
      </c>
      <c r="D47" s="41" t="s">
        <v>2817</v>
      </c>
      <c r="E47" s="41" t="s">
        <v>2818</v>
      </c>
      <c r="F47" s="42" t="s">
        <v>2819</v>
      </c>
      <c r="G47" s="41">
        <v>501.0</v>
      </c>
      <c r="H47" s="41">
        <v>4.87</v>
      </c>
      <c r="I47" s="1"/>
      <c r="J47" s="1" t="s">
        <v>2739</v>
      </c>
      <c r="L47" s="1"/>
      <c r="M47" s="1"/>
      <c r="N47" s="1"/>
      <c r="O47" s="1"/>
      <c r="P47" s="1"/>
      <c r="Q47" s="94"/>
    </row>
    <row r="48" ht="14.0">
      <c r="A48" s="157">
        <v>45973</v>
      </c>
      <c r="B48" s="42" t="s">
        <v>2816</v>
      </c>
      <c r="C48" s="42" t="s">
        <v>2736</v>
      </c>
      <c r="D48" s="41" t="s">
        <v>2817</v>
      </c>
      <c r="E48" s="41" t="s">
        <v>2820</v>
      </c>
      <c r="F48" s="42" t="s">
        <v>2821</v>
      </c>
      <c r="G48" s="41">
        <v>501.0</v>
      </c>
      <c r="H48" s="41">
        <v>4.87</v>
      </c>
      <c r="I48" s="1"/>
      <c r="J48" s="1" t="s">
        <v>2739</v>
      </c>
      <c r="L48" s="1"/>
      <c r="M48" s="1"/>
      <c r="N48" s="1"/>
      <c r="O48" s="1"/>
      <c r="P48" s="1"/>
      <c r="Q48" s="94"/>
    </row>
    <row r="49" ht="14.0">
      <c r="A49" s="157">
        <v>45973</v>
      </c>
      <c r="B49" s="42" t="s">
        <v>2816</v>
      </c>
      <c r="C49" s="42" t="s">
        <v>2736</v>
      </c>
      <c r="D49" s="41" t="s">
        <v>2817</v>
      </c>
      <c r="E49" s="41" t="s">
        <v>2822</v>
      </c>
      <c r="F49" s="42" t="s">
        <v>2823</v>
      </c>
      <c r="G49" s="41">
        <v>501.0</v>
      </c>
      <c r="H49" s="41">
        <v>4.87</v>
      </c>
      <c r="I49" s="1" t="s">
        <v>2757</v>
      </c>
      <c r="J49" s="1" t="s">
        <v>2739</v>
      </c>
      <c r="L49" s="1"/>
      <c r="M49" s="1"/>
      <c r="N49" s="1"/>
      <c r="O49" s="1"/>
      <c r="P49" s="1"/>
      <c r="Q49" s="94"/>
    </row>
    <row r="50" ht="14.0">
      <c r="A50" s="157">
        <v>45973</v>
      </c>
      <c r="B50" s="42" t="s">
        <v>2816</v>
      </c>
      <c r="C50" s="42" t="s">
        <v>2736</v>
      </c>
      <c r="D50" s="41" t="s">
        <v>2817</v>
      </c>
      <c r="E50" s="41" t="s">
        <v>2824</v>
      </c>
      <c r="F50" s="42" t="s">
        <v>2825</v>
      </c>
      <c r="G50" s="41">
        <v>250.0</v>
      </c>
      <c r="H50" s="41">
        <v>0.0</v>
      </c>
      <c r="I50" s="1"/>
      <c r="J50" s="1" t="s">
        <v>2739</v>
      </c>
      <c r="L50" s="1"/>
      <c r="M50" s="1"/>
      <c r="N50" s="1"/>
      <c r="O50" s="1"/>
      <c r="P50" s="1"/>
      <c r="Q50" s="94"/>
    </row>
    <row r="51" ht="14.0">
      <c r="A51" s="157">
        <v>45973</v>
      </c>
      <c r="B51" s="42" t="s">
        <v>2826</v>
      </c>
      <c r="C51" s="42" t="s">
        <v>2736</v>
      </c>
      <c r="D51" s="41" t="s">
        <v>2827</v>
      </c>
      <c r="E51" s="41" t="s">
        <v>139</v>
      </c>
      <c r="F51" s="42" t="s">
        <v>140</v>
      </c>
      <c r="G51" s="41">
        <v>1008.0</v>
      </c>
      <c r="H51" s="41">
        <v>1.53</v>
      </c>
      <c r="I51" s="1"/>
      <c r="J51" s="1" t="s">
        <v>2739</v>
      </c>
      <c r="L51" s="1"/>
      <c r="M51" s="1"/>
      <c r="N51" s="1"/>
      <c r="O51" s="1"/>
      <c r="P51" s="1"/>
      <c r="Q51" s="94"/>
    </row>
    <row r="52" ht="14.0">
      <c r="A52" s="157">
        <v>45973</v>
      </c>
      <c r="B52" s="42" t="s">
        <v>2826</v>
      </c>
      <c r="C52" s="42" t="s">
        <v>2736</v>
      </c>
      <c r="D52" s="41" t="s">
        <v>2827</v>
      </c>
      <c r="E52" s="41" t="s">
        <v>2828</v>
      </c>
      <c r="F52" s="42" t="s">
        <v>2829</v>
      </c>
      <c r="G52" s="41">
        <v>1008.0</v>
      </c>
      <c r="H52" s="41">
        <v>1.53</v>
      </c>
      <c r="I52" s="1" t="s">
        <v>2757</v>
      </c>
      <c r="J52" s="1" t="s">
        <v>2739</v>
      </c>
      <c r="L52" s="1"/>
      <c r="M52" s="1"/>
      <c r="N52" s="1"/>
      <c r="O52" s="1"/>
      <c r="P52" s="1"/>
      <c r="Q52" s="94"/>
    </row>
    <row r="53" ht="14.0">
      <c r="A53" s="157">
        <v>45973</v>
      </c>
      <c r="B53" s="42" t="s">
        <v>2826</v>
      </c>
      <c r="C53" s="42" t="s">
        <v>2736</v>
      </c>
      <c r="D53" s="41" t="s">
        <v>2827</v>
      </c>
      <c r="E53" s="41" t="s">
        <v>2830</v>
      </c>
      <c r="F53" s="42" t="s">
        <v>2831</v>
      </c>
      <c r="G53" s="41">
        <v>1008.0</v>
      </c>
      <c r="H53" s="41">
        <v>1.53</v>
      </c>
      <c r="I53" s="1" t="s">
        <v>2757</v>
      </c>
      <c r="J53" s="1" t="s">
        <v>2739</v>
      </c>
      <c r="L53" s="1"/>
      <c r="M53" s="1"/>
      <c r="N53" s="1"/>
      <c r="O53" s="1"/>
      <c r="P53" s="1"/>
      <c r="Q53" s="94"/>
    </row>
    <row r="54" ht="14.0">
      <c r="A54" s="157">
        <v>45973</v>
      </c>
      <c r="B54" s="42" t="s">
        <v>2826</v>
      </c>
      <c r="C54" s="42" t="s">
        <v>2736</v>
      </c>
      <c r="D54" s="41" t="s">
        <v>2827</v>
      </c>
      <c r="E54" s="41" t="s">
        <v>2832</v>
      </c>
      <c r="F54" s="42" t="s">
        <v>2833</v>
      </c>
      <c r="G54" s="41">
        <v>1008.0</v>
      </c>
      <c r="H54" s="41">
        <v>1.01</v>
      </c>
      <c r="I54" s="1" t="s">
        <v>2757</v>
      </c>
      <c r="J54" s="1" t="s">
        <v>2739</v>
      </c>
      <c r="L54" s="1"/>
      <c r="M54" s="1"/>
      <c r="N54" s="1"/>
      <c r="O54" s="1"/>
      <c r="P54" s="1"/>
      <c r="Q54" s="94"/>
    </row>
    <row r="55" ht="14.0">
      <c r="A55" s="157">
        <v>45973</v>
      </c>
      <c r="B55" s="42" t="s">
        <v>2826</v>
      </c>
      <c r="C55" s="42" t="s">
        <v>2736</v>
      </c>
      <c r="D55" s="41" t="s">
        <v>2827</v>
      </c>
      <c r="E55" s="41" t="s">
        <v>2834</v>
      </c>
      <c r="F55" s="42" t="s">
        <v>2835</v>
      </c>
      <c r="G55" s="41">
        <v>1008.0</v>
      </c>
      <c r="H55" s="41">
        <v>1.01</v>
      </c>
      <c r="I55" s="1" t="s">
        <v>2757</v>
      </c>
      <c r="J55" s="1" t="s">
        <v>2739</v>
      </c>
      <c r="L55" s="1"/>
      <c r="M55" s="1"/>
      <c r="N55" s="1"/>
      <c r="O55" s="1"/>
      <c r="P55" s="1"/>
      <c r="Q55" s="94"/>
    </row>
    <row r="56" ht="14.0">
      <c r="A56" s="157">
        <v>45973</v>
      </c>
      <c r="B56" s="42" t="s">
        <v>2826</v>
      </c>
      <c r="C56" s="42" t="s">
        <v>2736</v>
      </c>
      <c r="D56" s="41" t="s">
        <v>2827</v>
      </c>
      <c r="E56" s="41" t="s">
        <v>2836</v>
      </c>
      <c r="F56" s="42" t="s">
        <v>2837</v>
      </c>
      <c r="G56" s="41">
        <v>100.0</v>
      </c>
      <c r="H56" s="41">
        <v>0.48</v>
      </c>
      <c r="I56" s="1" t="s">
        <v>2757</v>
      </c>
      <c r="J56" s="1" t="s">
        <v>2739</v>
      </c>
      <c r="L56" s="1"/>
      <c r="M56" s="1"/>
      <c r="N56" s="1"/>
      <c r="O56" s="1"/>
      <c r="P56" s="1"/>
      <c r="Q56" s="94"/>
    </row>
    <row r="57" ht="14.0">
      <c r="A57" s="157">
        <v>45973</v>
      </c>
      <c r="B57" s="42" t="s">
        <v>2826</v>
      </c>
      <c r="C57" s="42" t="s">
        <v>2736</v>
      </c>
      <c r="D57" s="41" t="s">
        <v>2827</v>
      </c>
      <c r="E57" s="41" t="s">
        <v>2838</v>
      </c>
      <c r="F57" s="42" t="s">
        <v>2839</v>
      </c>
      <c r="G57" s="41">
        <v>100.0</v>
      </c>
      <c r="H57" s="41">
        <v>0.48</v>
      </c>
      <c r="I57" s="1" t="s">
        <v>2757</v>
      </c>
      <c r="J57" s="1" t="s">
        <v>2739</v>
      </c>
      <c r="L57" s="1"/>
      <c r="M57" s="1"/>
      <c r="N57" s="1"/>
      <c r="O57" s="1"/>
      <c r="P57" s="1"/>
      <c r="Q57" s="94"/>
    </row>
    <row r="58" ht="14.0">
      <c r="A58" s="157">
        <v>45973</v>
      </c>
      <c r="B58" s="42" t="s">
        <v>2840</v>
      </c>
      <c r="C58" s="42" t="s">
        <v>2736</v>
      </c>
      <c r="D58" s="41" t="s">
        <v>2841</v>
      </c>
      <c r="E58" s="41" t="s">
        <v>2842</v>
      </c>
      <c r="F58" s="42" t="s">
        <v>2843</v>
      </c>
      <c r="G58" s="41">
        <v>600.0</v>
      </c>
      <c r="H58" s="41">
        <v>1.68</v>
      </c>
      <c r="I58" s="1" t="s">
        <v>2757</v>
      </c>
      <c r="J58" s="1" t="s">
        <v>2739</v>
      </c>
      <c r="L58" s="1"/>
      <c r="M58" s="1"/>
      <c r="N58" s="1"/>
      <c r="O58" s="1"/>
      <c r="P58" s="1"/>
      <c r="Q58" s="94"/>
    </row>
    <row r="59" ht="14.0">
      <c r="A59" s="157">
        <v>45973</v>
      </c>
      <c r="B59" s="42" t="s">
        <v>2840</v>
      </c>
      <c r="C59" s="42" t="s">
        <v>2736</v>
      </c>
      <c r="D59" s="41" t="s">
        <v>2841</v>
      </c>
      <c r="E59" s="41" t="s">
        <v>2844</v>
      </c>
      <c r="F59" s="42" t="s">
        <v>2845</v>
      </c>
      <c r="G59" s="41">
        <v>600.0</v>
      </c>
      <c r="H59" s="41">
        <v>1.68</v>
      </c>
      <c r="I59" s="1" t="s">
        <v>2757</v>
      </c>
      <c r="J59" s="1" t="s">
        <v>2739</v>
      </c>
      <c r="L59" s="1"/>
      <c r="M59" s="1"/>
      <c r="N59" s="1"/>
      <c r="O59" s="1"/>
      <c r="P59" s="1"/>
      <c r="Q59" s="94"/>
    </row>
    <row r="60" ht="14.0">
      <c r="A60" s="157">
        <v>45973</v>
      </c>
      <c r="B60" s="42" t="s">
        <v>2846</v>
      </c>
      <c r="C60" s="42" t="s">
        <v>2736</v>
      </c>
      <c r="D60" s="41" t="s">
        <v>2847</v>
      </c>
      <c r="E60" s="41" t="s">
        <v>2848</v>
      </c>
      <c r="F60" s="42" t="s">
        <v>2849</v>
      </c>
      <c r="G60" s="41">
        <v>1002.0</v>
      </c>
      <c r="H60" s="41">
        <v>1.5944</v>
      </c>
      <c r="I60" s="1" t="s">
        <v>2757</v>
      </c>
      <c r="J60" s="1" t="s">
        <v>2739</v>
      </c>
      <c r="L60" s="1"/>
      <c r="M60" s="1"/>
      <c r="N60" s="1"/>
      <c r="O60" s="1"/>
      <c r="P60" s="1"/>
      <c r="Q60" s="94"/>
    </row>
    <row r="61" ht="14.0">
      <c r="A61" s="157">
        <v>45973</v>
      </c>
      <c r="B61" s="42" t="s">
        <v>2846</v>
      </c>
      <c r="C61" s="42" t="s">
        <v>2736</v>
      </c>
      <c r="D61" s="41" t="s">
        <v>2847</v>
      </c>
      <c r="E61" s="41" t="s">
        <v>2850</v>
      </c>
      <c r="F61" s="42" t="s">
        <v>2851</v>
      </c>
      <c r="G61" s="41">
        <v>1002.0</v>
      </c>
      <c r="H61" s="41">
        <v>1.5943</v>
      </c>
      <c r="I61" s="1" t="s">
        <v>2757</v>
      </c>
      <c r="J61" s="1" t="s">
        <v>2739</v>
      </c>
      <c r="L61" s="1"/>
      <c r="M61" s="1"/>
      <c r="N61" s="1"/>
      <c r="O61" s="1"/>
      <c r="P61" s="1"/>
      <c r="Q61" s="94"/>
    </row>
    <row r="62" ht="14.0">
      <c r="A62" s="157">
        <v>45986</v>
      </c>
      <c r="B62" s="42" t="s">
        <v>2852</v>
      </c>
      <c r="C62" s="42" t="s">
        <v>2736</v>
      </c>
      <c r="D62" s="41" t="s">
        <v>2853</v>
      </c>
      <c r="E62" s="41" t="s">
        <v>2854</v>
      </c>
      <c r="F62" s="42" t="s">
        <v>2855</v>
      </c>
      <c r="G62" s="41">
        <v>100.0</v>
      </c>
      <c r="H62" s="41">
        <v>21.5</v>
      </c>
      <c r="I62" s="1" t="s">
        <v>2757</v>
      </c>
      <c r="J62" s="1" t="s">
        <v>2739</v>
      </c>
      <c r="L62" s="1"/>
      <c r="M62" s="1"/>
      <c r="N62" s="1"/>
      <c r="O62" s="1"/>
      <c r="P62" s="1"/>
      <c r="Q62" s="94"/>
    </row>
    <row r="63" ht="14.0">
      <c r="A63" s="162">
        <v>45995</v>
      </c>
      <c r="B63" s="42" t="s">
        <v>2856</v>
      </c>
      <c r="C63" s="42" t="s">
        <v>2736</v>
      </c>
      <c r="D63" s="41" t="s">
        <v>2805</v>
      </c>
      <c r="E63" s="41" t="s">
        <v>2857</v>
      </c>
      <c r="F63" s="42" t="s">
        <v>2858</v>
      </c>
      <c r="G63" s="41">
        <v>501.0</v>
      </c>
      <c r="H63" s="41">
        <v>2.6362</v>
      </c>
      <c r="I63" s="1"/>
      <c r="J63" s="1" t="s">
        <v>2739</v>
      </c>
      <c r="L63" s="1"/>
      <c r="M63" s="1"/>
      <c r="N63" s="1"/>
      <c r="O63" s="1"/>
      <c r="P63" s="1"/>
      <c r="Q63" s="94"/>
    </row>
    <row r="64" ht="14.0">
      <c r="A64" s="162">
        <v>45995</v>
      </c>
      <c r="B64" s="42" t="s">
        <v>2856</v>
      </c>
      <c r="C64" s="42" t="s">
        <v>2736</v>
      </c>
      <c r="D64" s="41" t="s">
        <v>2805</v>
      </c>
      <c r="E64" s="41" t="s">
        <v>2859</v>
      </c>
      <c r="F64" s="42" t="s">
        <v>2860</v>
      </c>
      <c r="G64" s="41">
        <v>501.0</v>
      </c>
      <c r="H64" s="41">
        <v>2.6362</v>
      </c>
      <c r="I64" s="1"/>
      <c r="J64" s="1" t="s">
        <v>2739</v>
      </c>
      <c r="L64" s="1"/>
      <c r="M64" s="1"/>
      <c r="N64" s="1"/>
      <c r="O64" s="1"/>
      <c r="P64" s="1"/>
      <c r="Q64" s="94"/>
    </row>
    <row r="65" ht="14.0">
      <c r="A65" s="162">
        <v>45995</v>
      </c>
      <c r="B65" s="42" t="s">
        <v>2856</v>
      </c>
      <c r="C65" s="42" t="s">
        <v>2736</v>
      </c>
      <c r="D65" s="41" t="s">
        <v>2805</v>
      </c>
      <c r="E65" s="41" t="s">
        <v>2861</v>
      </c>
      <c r="F65" s="42" t="s">
        <v>2862</v>
      </c>
      <c r="G65" s="41">
        <v>501.0</v>
      </c>
      <c r="H65" s="41">
        <v>2.6362</v>
      </c>
      <c r="I65" s="1"/>
      <c r="J65" s="1" t="s">
        <v>2739</v>
      </c>
      <c r="L65" s="1"/>
      <c r="M65" s="1"/>
      <c r="N65" s="1"/>
      <c r="O65" s="1"/>
      <c r="P65" s="1"/>
      <c r="Q65" s="94"/>
    </row>
    <row r="66" ht="14.0">
      <c r="A66" s="162">
        <v>45995</v>
      </c>
      <c r="B66" s="42" t="s">
        <v>2856</v>
      </c>
      <c r="C66" s="42" t="s">
        <v>2736</v>
      </c>
      <c r="D66" s="41" t="s">
        <v>2805</v>
      </c>
      <c r="E66" s="41" t="s">
        <v>2863</v>
      </c>
      <c r="F66" s="42" t="s">
        <v>2864</v>
      </c>
      <c r="G66" s="41">
        <v>501.0</v>
      </c>
      <c r="H66" s="41">
        <v>2.6362</v>
      </c>
      <c r="I66" s="1"/>
      <c r="J66" s="1" t="s">
        <v>2739</v>
      </c>
      <c r="L66" s="1"/>
      <c r="M66" s="1"/>
      <c r="N66" s="1"/>
      <c r="O66" s="1"/>
      <c r="P66" s="1"/>
      <c r="Q66" s="94"/>
    </row>
    <row r="67" ht="14.0">
      <c r="A67" s="162">
        <v>45995</v>
      </c>
      <c r="B67" s="42" t="s">
        <v>2856</v>
      </c>
      <c r="C67" s="42" t="s">
        <v>2736</v>
      </c>
      <c r="D67" s="41" t="s">
        <v>2805</v>
      </c>
      <c r="E67" s="41" t="s">
        <v>2865</v>
      </c>
      <c r="F67" s="42" t="s">
        <v>2866</v>
      </c>
      <c r="G67" s="41">
        <v>501.0</v>
      </c>
      <c r="H67" s="41">
        <v>2.6362</v>
      </c>
      <c r="I67" s="1"/>
      <c r="J67" s="1" t="s">
        <v>2739</v>
      </c>
      <c r="L67" s="1"/>
      <c r="M67" s="1"/>
      <c r="N67" s="1"/>
      <c r="O67" s="1"/>
      <c r="P67" s="1"/>
      <c r="Q67" s="94"/>
    </row>
    <row r="68" ht="14.0">
      <c r="A68" s="162">
        <v>45995</v>
      </c>
      <c r="B68" s="42" t="s">
        <v>2856</v>
      </c>
      <c r="C68" s="42" t="s">
        <v>2736</v>
      </c>
      <c r="D68" s="41" t="s">
        <v>2805</v>
      </c>
      <c r="E68" s="41" t="s">
        <v>2867</v>
      </c>
      <c r="F68" s="42" t="s">
        <v>2868</v>
      </c>
      <c r="G68" s="41">
        <v>501.0</v>
      </c>
      <c r="H68" s="41">
        <v>2.6362</v>
      </c>
      <c r="I68" s="1"/>
      <c r="J68" s="1" t="s">
        <v>2739</v>
      </c>
      <c r="L68" s="1"/>
      <c r="M68" s="1"/>
      <c r="N68" s="1"/>
      <c r="O68" s="1"/>
      <c r="P68" s="1"/>
      <c r="Q68" s="94"/>
    </row>
    <row r="69" ht="14.0">
      <c r="A69" s="162">
        <v>45995</v>
      </c>
      <c r="B69" s="42" t="s">
        <v>2856</v>
      </c>
      <c r="C69" s="42" t="s">
        <v>2736</v>
      </c>
      <c r="D69" s="41" t="s">
        <v>2805</v>
      </c>
      <c r="E69" s="41" t="s">
        <v>689</v>
      </c>
      <c r="F69" s="42" t="s">
        <v>690</v>
      </c>
      <c r="G69" s="41">
        <v>501.0</v>
      </c>
      <c r="H69" s="41">
        <v>2.5798</v>
      </c>
      <c r="I69" s="1"/>
      <c r="J69" s="1" t="s">
        <v>2739</v>
      </c>
      <c r="L69" s="1"/>
      <c r="M69" s="1"/>
      <c r="N69" s="1"/>
      <c r="O69" s="1"/>
      <c r="P69" s="1"/>
      <c r="Q69" s="94"/>
    </row>
    <row r="70" ht="14.0">
      <c r="A70" s="157">
        <v>46003</v>
      </c>
      <c r="B70" s="42" t="s">
        <v>2869</v>
      </c>
      <c r="C70" s="42" t="s">
        <v>2736</v>
      </c>
      <c r="D70" s="41" t="s">
        <v>2870</v>
      </c>
      <c r="E70" s="41" t="s">
        <v>2871</v>
      </c>
      <c r="F70" s="42" t="s">
        <v>2872</v>
      </c>
      <c r="G70" s="41">
        <v>501.0</v>
      </c>
      <c r="H70" s="41">
        <v>1.29</v>
      </c>
      <c r="I70" s="1"/>
      <c r="J70" s="1" t="s">
        <v>2739</v>
      </c>
      <c r="L70" s="153"/>
    </row>
    <row r="71" ht="14.0">
      <c r="A71" s="157">
        <v>46003</v>
      </c>
      <c r="B71" s="42" t="s">
        <v>2869</v>
      </c>
      <c r="C71" s="42" t="s">
        <v>2736</v>
      </c>
      <c r="D71" s="41" t="s">
        <v>2870</v>
      </c>
      <c r="E71" s="41" t="s">
        <v>2873</v>
      </c>
      <c r="F71" s="42" t="s">
        <v>2874</v>
      </c>
      <c r="G71" s="41">
        <v>501.0</v>
      </c>
      <c r="H71" s="41">
        <v>1.29</v>
      </c>
      <c r="I71" s="1" t="s">
        <v>2757</v>
      </c>
      <c r="J71" s="1" t="s">
        <v>2739</v>
      </c>
      <c r="L71" s="153"/>
    </row>
    <row r="72" ht="14.0">
      <c r="A72" s="157">
        <v>46003</v>
      </c>
      <c r="B72" s="42" t="s">
        <v>2869</v>
      </c>
      <c r="C72" s="42" t="s">
        <v>2736</v>
      </c>
      <c r="D72" s="41" t="s">
        <v>2870</v>
      </c>
      <c r="E72" s="41" t="s">
        <v>2875</v>
      </c>
      <c r="F72" s="42" t="s">
        <v>2876</v>
      </c>
      <c r="G72" s="41">
        <v>501.0</v>
      </c>
      <c r="H72" s="41">
        <v>1.29</v>
      </c>
      <c r="I72" s="1" t="s">
        <v>2757</v>
      </c>
      <c r="J72" s="1" t="s">
        <v>2739</v>
      </c>
      <c r="L72" s="158"/>
      <c r="M72" s="161"/>
      <c r="N72" s="161"/>
      <c r="O72" s="161"/>
      <c r="P72" s="161"/>
      <c r="Q72" s="161"/>
    </row>
    <row r="73" ht="14.0">
      <c r="A73" s="157">
        <v>46007</v>
      </c>
      <c r="B73" s="42" t="s">
        <v>2877</v>
      </c>
      <c r="C73" s="42" t="s">
        <v>2736</v>
      </c>
      <c r="D73" s="41" t="s">
        <v>2878</v>
      </c>
      <c r="E73" s="41" t="s">
        <v>2879</v>
      </c>
      <c r="F73" s="42" t="s">
        <v>2880</v>
      </c>
      <c r="G73" s="41">
        <v>300.0</v>
      </c>
      <c r="H73" s="41">
        <v>3.6</v>
      </c>
      <c r="I73" s="1"/>
      <c r="J73" s="1" t="s">
        <v>2739</v>
      </c>
      <c r="L73" s="1"/>
      <c r="M73" s="1"/>
      <c r="N73" s="1"/>
      <c r="O73" s="1"/>
      <c r="P73" s="1"/>
      <c r="Q73" s="1"/>
      <c r="R73" s="94"/>
      <c r="S73" s="94"/>
    </row>
    <row r="74" ht="14.0">
      <c r="A74" s="157">
        <v>46007</v>
      </c>
      <c r="B74" s="42" t="s">
        <v>2877</v>
      </c>
      <c r="C74" s="42" t="s">
        <v>2736</v>
      </c>
      <c r="D74" s="41" t="s">
        <v>2878</v>
      </c>
      <c r="E74" s="41" t="s">
        <v>2881</v>
      </c>
      <c r="F74" s="42" t="s">
        <v>2882</v>
      </c>
      <c r="G74" s="41">
        <v>300.0</v>
      </c>
      <c r="H74" s="41">
        <v>3.6</v>
      </c>
      <c r="I74" s="1" t="s">
        <v>2757</v>
      </c>
      <c r="J74" s="1" t="s">
        <v>2739</v>
      </c>
      <c r="L74" s="1"/>
      <c r="M74" s="1"/>
      <c r="N74" s="1"/>
      <c r="O74" s="1"/>
      <c r="P74" s="1"/>
      <c r="Q74" s="1"/>
      <c r="R74" s="94"/>
      <c r="S74" s="94"/>
    </row>
    <row r="75" ht="14.0">
      <c r="A75" s="157">
        <v>46007</v>
      </c>
      <c r="B75" s="42" t="s">
        <v>2877</v>
      </c>
      <c r="C75" s="42" t="s">
        <v>2736</v>
      </c>
      <c r="D75" s="41" t="s">
        <v>2878</v>
      </c>
      <c r="E75" s="41" t="s">
        <v>2883</v>
      </c>
      <c r="F75" s="42" t="s">
        <v>2884</v>
      </c>
      <c r="G75" s="41">
        <v>300.0</v>
      </c>
      <c r="H75" s="41">
        <v>3.6</v>
      </c>
      <c r="I75" s="1" t="s">
        <v>2757</v>
      </c>
      <c r="J75" s="1" t="s">
        <v>2739</v>
      </c>
      <c r="L75" s="1"/>
      <c r="M75" s="1"/>
      <c r="N75" s="1"/>
      <c r="O75" s="1"/>
      <c r="P75" s="1"/>
      <c r="Q75" s="1"/>
      <c r="R75" s="94"/>
      <c r="S75" s="94"/>
    </row>
    <row r="76" ht="14.0">
      <c r="A76" s="163">
        <v>46034</v>
      </c>
      <c r="B76" s="42" t="s">
        <v>2885</v>
      </c>
      <c r="C76" s="42" t="s">
        <v>2736</v>
      </c>
      <c r="D76" s="41" t="s">
        <v>2886</v>
      </c>
      <c r="E76" s="41"/>
      <c r="F76" s="41"/>
      <c r="G76" s="41">
        <v>2.0</v>
      </c>
      <c r="H76" s="41">
        <v>362.0</v>
      </c>
      <c r="I76" s="1" t="s">
        <v>2887</v>
      </c>
      <c r="J76" s="1" t="s">
        <v>2739</v>
      </c>
      <c r="L76" s="1"/>
      <c r="M76" s="1"/>
      <c r="N76" s="1"/>
      <c r="O76" s="1"/>
      <c r="P76" s="1"/>
      <c r="Q76" s="1"/>
      <c r="R76" s="94"/>
      <c r="S76" s="94"/>
    </row>
    <row r="77" ht="14.0">
      <c r="A77" s="163">
        <v>46034</v>
      </c>
      <c r="B77" s="42" t="s">
        <v>2885</v>
      </c>
      <c r="C77" s="42" t="s">
        <v>2736</v>
      </c>
      <c r="D77" s="41" t="s">
        <v>2886</v>
      </c>
      <c r="E77" s="41"/>
      <c r="F77" s="41"/>
      <c r="G77" s="41">
        <v>1.0</v>
      </c>
      <c r="H77" s="41">
        <v>200.0</v>
      </c>
      <c r="I77" s="1" t="s">
        <v>2887</v>
      </c>
      <c r="J77" s="1" t="s">
        <v>2739</v>
      </c>
      <c r="L77" s="1"/>
      <c r="M77" s="1"/>
      <c r="N77" s="1"/>
      <c r="O77" s="1"/>
      <c r="P77" s="1"/>
      <c r="Q77" s="1"/>
      <c r="R77" s="94"/>
      <c r="S77" s="94"/>
    </row>
    <row r="78" ht="14.0">
      <c r="A78" s="163">
        <v>46034</v>
      </c>
      <c r="B78" s="42" t="s">
        <v>2885</v>
      </c>
      <c r="C78" s="42" t="s">
        <v>2736</v>
      </c>
      <c r="D78" s="41" t="s">
        <v>2886</v>
      </c>
      <c r="E78" s="41"/>
      <c r="F78" s="41"/>
      <c r="G78" s="41">
        <v>2.0</v>
      </c>
      <c r="H78" s="41">
        <v>521.0</v>
      </c>
      <c r="I78" s="1" t="s">
        <v>2887</v>
      </c>
      <c r="J78" s="1" t="s">
        <v>2739</v>
      </c>
      <c r="L78" s="1"/>
      <c r="M78" s="1"/>
      <c r="N78" s="1"/>
      <c r="O78" s="1"/>
      <c r="P78" s="1"/>
      <c r="Q78" s="1"/>
      <c r="R78" s="94"/>
      <c r="S78" s="94"/>
    </row>
    <row r="79" ht="14.0">
      <c r="A79" s="163">
        <v>46034</v>
      </c>
      <c r="B79" s="42" t="s">
        <v>2885</v>
      </c>
      <c r="C79" s="42" t="s">
        <v>2736</v>
      </c>
      <c r="D79" s="41" t="s">
        <v>2886</v>
      </c>
      <c r="E79" s="41"/>
      <c r="F79" s="41"/>
      <c r="G79" s="41">
        <v>1.0</v>
      </c>
      <c r="H79" s="41">
        <v>30.0</v>
      </c>
      <c r="I79" s="1" t="s">
        <v>2887</v>
      </c>
      <c r="J79" s="1" t="s">
        <v>2739</v>
      </c>
      <c r="L79" s="1"/>
      <c r="M79" s="1"/>
      <c r="N79" s="1"/>
      <c r="O79" s="1"/>
      <c r="P79" s="1"/>
      <c r="Q79" s="1"/>
      <c r="R79" s="94"/>
      <c r="S79" s="94"/>
    </row>
    <row r="80" ht="14.0">
      <c r="A80" s="163">
        <v>46038</v>
      </c>
      <c r="B80" s="42" t="s">
        <v>2888</v>
      </c>
      <c r="C80" s="42" t="s">
        <v>2736</v>
      </c>
      <c r="D80" s="41" t="s">
        <v>2889</v>
      </c>
      <c r="E80" s="41" t="s">
        <v>2890</v>
      </c>
      <c r="F80" s="41" t="s">
        <v>2891</v>
      </c>
      <c r="G80" s="41">
        <v>900.0</v>
      </c>
      <c r="H80" s="41">
        <v>3.48</v>
      </c>
      <c r="I80" s="1"/>
      <c r="J80" s="1" t="s">
        <v>2739</v>
      </c>
      <c r="L80" s="153"/>
    </row>
    <row r="81" ht="14.0">
      <c r="A81" s="163">
        <v>46038</v>
      </c>
      <c r="B81" s="42" t="s">
        <v>2888</v>
      </c>
      <c r="C81" s="42" t="s">
        <v>2736</v>
      </c>
      <c r="D81" s="41" t="s">
        <v>2889</v>
      </c>
      <c r="E81" s="41" t="s">
        <v>2892</v>
      </c>
      <c r="F81" s="41" t="s">
        <v>2893</v>
      </c>
      <c r="G81" s="41">
        <v>900.0</v>
      </c>
      <c r="H81" s="41">
        <v>1.74</v>
      </c>
      <c r="I81" s="1"/>
      <c r="J81" s="1" t="s">
        <v>2739</v>
      </c>
    </row>
    <row r="82" ht="14.0">
      <c r="A82" s="164">
        <v>45973</v>
      </c>
      <c r="B82" s="165" t="s">
        <v>2816</v>
      </c>
      <c r="C82" s="165" t="s">
        <v>2736</v>
      </c>
      <c r="D82" s="166" t="s">
        <v>2817</v>
      </c>
      <c r="E82" s="166" t="s">
        <v>2894</v>
      </c>
      <c r="F82" s="165" t="s">
        <v>2895</v>
      </c>
      <c r="G82" s="166">
        <v>501.0</v>
      </c>
      <c r="H82" s="166">
        <v>4.87</v>
      </c>
      <c r="I82" s="167" t="s">
        <v>2757</v>
      </c>
      <c r="J82" s="168" t="s">
        <v>2896</v>
      </c>
    </row>
    <row r="83" ht="14.0">
      <c r="A83" s="163">
        <v>46044</v>
      </c>
      <c r="B83" s="42" t="s">
        <v>2897</v>
      </c>
      <c r="C83" s="42" t="s">
        <v>2736</v>
      </c>
      <c r="D83" s="41" t="s">
        <v>2773</v>
      </c>
      <c r="E83" s="41" t="s">
        <v>2898</v>
      </c>
      <c r="F83" s="41" t="s">
        <v>2899</v>
      </c>
      <c r="G83" s="41">
        <v>10000.0</v>
      </c>
      <c r="H83" s="41">
        <v>0.071</v>
      </c>
      <c r="I83" s="1" t="s">
        <v>2900</v>
      </c>
      <c r="J83" s="69" t="s">
        <v>2901</v>
      </c>
    </row>
    <row r="84" ht="14.0">
      <c r="A84" s="163">
        <v>46044</v>
      </c>
      <c r="B84" s="42" t="s">
        <v>2897</v>
      </c>
      <c r="C84" s="42" t="s">
        <v>2736</v>
      </c>
      <c r="D84" s="41" t="s">
        <v>2773</v>
      </c>
      <c r="E84" s="41" t="s">
        <v>2902</v>
      </c>
      <c r="F84" s="41" t="s">
        <v>2903</v>
      </c>
      <c r="G84" s="41">
        <v>50000.0</v>
      </c>
      <c r="H84" s="41">
        <v>0.03</v>
      </c>
      <c r="I84" s="1" t="s">
        <v>2900</v>
      </c>
      <c r="J84" s="69" t="s">
        <v>2901</v>
      </c>
    </row>
    <row r="85" ht="14.0">
      <c r="A85" s="163">
        <v>46050</v>
      </c>
      <c r="B85" s="42" t="s">
        <v>2904</v>
      </c>
      <c r="C85" s="42" t="s">
        <v>2905</v>
      </c>
      <c r="D85" s="41" t="s">
        <v>2773</v>
      </c>
      <c r="E85" s="41" t="s">
        <v>2906</v>
      </c>
      <c r="F85" s="41" t="s">
        <v>2907</v>
      </c>
      <c r="G85" s="41">
        <v>10000.0</v>
      </c>
      <c r="H85" s="41">
        <v>0.048</v>
      </c>
      <c r="I85" s="1" t="s">
        <v>2900</v>
      </c>
      <c r="J85" s="69" t="s">
        <v>2901</v>
      </c>
    </row>
    <row r="86" ht="14.0">
      <c r="A86" s="163">
        <v>46050</v>
      </c>
      <c r="B86" s="42" t="s">
        <v>2904</v>
      </c>
      <c r="C86" s="42" t="s">
        <v>2905</v>
      </c>
      <c r="D86" s="41" t="s">
        <v>2773</v>
      </c>
      <c r="E86" s="41" t="s">
        <v>2908</v>
      </c>
      <c r="F86" s="41" t="s">
        <v>2909</v>
      </c>
      <c r="G86" s="41">
        <v>10000.0</v>
      </c>
      <c r="H86" s="41">
        <v>0.04</v>
      </c>
      <c r="I86" s="1" t="s">
        <v>2900</v>
      </c>
      <c r="J86" s="69" t="s">
        <v>2901</v>
      </c>
    </row>
    <row r="87" ht="14.0">
      <c r="A87" s="157">
        <v>45987</v>
      </c>
      <c r="B87" s="42" t="s">
        <v>2910</v>
      </c>
      <c r="C87" s="42" t="s">
        <v>2736</v>
      </c>
      <c r="D87" s="41" t="s">
        <v>2911</v>
      </c>
      <c r="E87" s="41" t="s">
        <v>2912</v>
      </c>
      <c r="F87" s="42" t="s">
        <v>2913</v>
      </c>
      <c r="G87" s="41">
        <v>504.0</v>
      </c>
      <c r="H87" s="41">
        <v>3.0</v>
      </c>
      <c r="I87" s="169"/>
      <c r="J87" s="69" t="s">
        <v>2901</v>
      </c>
    </row>
    <row r="88" ht="14.0">
      <c r="A88" s="157">
        <v>45987</v>
      </c>
      <c r="B88" s="42" t="s">
        <v>2910</v>
      </c>
      <c r="C88" s="42" t="s">
        <v>2736</v>
      </c>
      <c r="D88" s="41" t="s">
        <v>2911</v>
      </c>
      <c r="E88" s="41" t="s">
        <v>2914</v>
      </c>
      <c r="F88" s="42" t="s">
        <v>2915</v>
      </c>
      <c r="G88" s="41">
        <v>504.0</v>
      </c>
      <c r="H88" s="41">
        <v>3.0</v>
      </c>
      <c r="I88" s="169"/>
      <c r="J88" s="69" t="s">
        <v>2901</v>
      </c>
    </row>
    <row r="89" ht="14.0">
      <c r="A89" s="170">
        <v>46029</v>
      </c>
      <c r="B89" s="42" t="s">
        <v>2916</v>
      </c>
      <c r="C89" s="42" t="s">
        <v>2736</v>
      </c>
      <c r="D89" s="41" t="s">
        <v>2917</v>
      </c>
      <c r="E89" s="41" t="s">
        <v>2918</v>
      </c>
      <c r="F89" s="41" t="s">
        <v>2919</v>
      </c>
      <c r="G89" s="41">
        <v>714.0</v>
      </c>
      <c r="H89" s="41">
        <v>0.95</v>
      </c>
      <c r="I89" s="1" t="s">
        <v>2920</v>
      </c>
      <c r="J89" s="69" t="s">
        <v>2901</v>
      </c>
    </row>
    <row r="90" ht="14.0">
      <c r="A90" s="170">
        <v>46029</v>
      </c>
      <c r="B90" s="42" t="s">
        <v>2916</v>
      </c>
      <c r="C90" s="42" t="s">
        <v>2736</v>
      </c>
      <c r="D90" s="41" t="s">
        <v>2917</v>
      </c>
      <c r="E90" s="41" t="s">
        <v>275</v>
      </c>
      <c r="F90" s="41" t="s">
        <v>276</v>
      </c>
      <c r="G90" s="41">
        <v>1002.0</v>
      </c>
      <c r="H90" s="41">
        <v>0.95</v>
      </c>
      <c r="I90" s="1" t="s">
        <v>2920</v>
      </c>
      <c r="J90" s="69" t="s">
        <v>2901</v>
      </c>
      <c r="L90" s="158"/>
      <c r="M90" s="161"/>
      <c r="N90" s="161"/>
      <c r="O90" s="161"/>
      <c r="P90" s="161"/>
      <c r="Q90" s="161"/>
    </row>
    <row r="91" ht="14.0">
      <c r="A91" s="170">
        <v>46029</v>
      </c>
      <c r="B91" s="42" t="s">
        <v>2916</v>
      </c>
      <c r="C91" s="42" t="s">
        <v>2736</v>
      </c>
      <c r="D91" s="41" t="s">
        <v>2917</v>
      </c>
      <c r="E91" s="41" t="s">
        <v>2921</v>
      </c>
      <c r="F91" s="41" t="s">
        <v>2922</v>
      </c>
      <c r="G91" s="41">
        <v>501.0</v>
      </c>
      <c r="H91" s="41">
        <v>0.95</v>
      </c>
      <c r="I91" s="1" t="s">
        <v>2920</v>
      </c>
      <c r="J91" s="69" t="s">
        <v>2901</v>
      </c>
      <c r="L91" s="158"/>
      <c r="M91" s="161"/>
      <c r="N91" s="161"/>
      <c r="O91" s="161"/>
      <c r="P91" s="161"/>
      <c r="Q91" s="161"/>
    </row>
    <row r="92" ht="14.0">
      <c r="A92" s="170">
        <v>46029</v>
      </c>
      <c r="B92" s="42" t="s">
        <v>2916</v>
      </c>
      <c r="C92" s="42" t="s">
        <v>2736</v>
      </c>
      <c r="D92" s="41" t="s">
        <v>2917</v>
      </c>
      <c r="E92" s="41" t="s">
        <v>2923</v>
      </c>
      <c r="F92" s="41" t="s">
        <v>2924</v>
      </c>
      <c r="G92" s="41">
        <v>501.0</v>
      </c>
      <c r="H92" s="41">
        <v>0.95</v>
      </c>
      <c r="I92" s="1" t="s">
        <v>2920</v>
      </c>
      <c r="J92" s="69" t="s">
        <v>2901</v>
      </c>
      <c r="L92" s="171"/>
      <c r="M92" s="171"/>
      <c r="N92" s="171"/>
      <c r="O92" s="171"/>
      <c r="P92" s="171"/>
      <c r="Q92" s="171"/>
    </row>
    <row r="93" ht="14.0">
      <c r="A93" s="170">
        <v>46029</v>
      </c>
      <c r="B93" s="42" t="s">
        <v>2916</v>
      </c>
      <c r="C93" s="42" t="s">
        <v>2736</v>
      </c>
      <c r="D93" s="41" t="s">
        <v>2917</v>
      </c>
      <c r="E93" s="41" t="s">
        <v>2925</v>
      </c>
      <c r="F93" s="41" t="s">
        <v>2926</v>
      </c>
      <c r="G93" s="41">
        <v>501.0</v>
      </c>
      <c r="H93" s="41">
        <v>0.81</v>
      </c>
      <c r="I93" s="1" t="s">
        <v>2920</v>
      </c>
      <c r="J93" s="69" t="s">
        <v>2901</v>
      </c>
      <c r="L93" s="171"/>
      <c r="M93" s="171"/>
      <c r="N93" s="171"/>
      <c r="O93" s="171"/>
      <c r="P93" s="171"/>
      <c r="Q93" s="171"/>
    </row>
    <row r="94" ht="14.0">
      <c r="A94" s="170">
        <v>46029</v>
      </c>
      <c r="B94" s="42" t="s">
        <v>2916</v>
      </c>
      <c r="C94" s="42" t="s">
        <v>2736</v>
      </c>
      <c r="D94" s="41" t="s">
        <v>2917</v>
      </c>
      <c r="E94" s="41" t="s">
        <v>2927</v>
      </c>
      <c r="F94" s="41" t="s">
        <v>2928</v>
      </c>
      <c r="G94" s="41">
        <v>585.0</v>
      </c>
      <c r="H94" s="41">
        <v>0.81</v>
      </c>
      <c r="I94" s="1" t="s">
        <v>2920</v>
      </c>
      <c r="J94" s="69" t="s">
        <v>2901</v>
      </c>
      <c r="L94" s="171"/>
      <c r="M94" s="171"/>
      <c r="N94" s="171"/>
      <c r="O94" s="171"/>
      <c r="P94" s="171"/>
      <c r="Q94" s="171"/>
    </row>
    <row r="95" ht="14.0">
      <c r="A95" s="170">
        <v>46029</v>
      </c>
      <c r="B95" s="42" t="s">
        <v>2916</v>
      </c>
      <c r="C95" s="42" t="s">
        <v>2736</v>
      </c>
      <c r="D95" s="41" t="s">
        <v>2917</v>
      </c>
      <c r="E95" s="41" t="s">
        <v>2929</v>
      </c>
      <c r="F95" s="41" t="s">
        <v>2930</v>
      </c>
      <c r="G95" s="41">
        <v>501.0</v>
      </c>
      <c r="H95" s="41">
        <v>0.81</v>
      </c>
      <c r="I95" s="1" t="s">
        <v>2920</v>
      </c>
      <c r="J95" s="69" t="s">
        <v>2901</v>
      </c>
      <c r="L95" s="171"/>
      <c r="M95" s="171"/>
      <c r="N95" s="171"/>
      <c r="O95" s="171"/>
      <c r="P95" s="171"/>
      <c r="Q95" s="171"/>
    </row>
    <row r="96" ht="14.0">
      <c r="A96" s="170">
        <v>46029</v>
      </c>
      <c r="B96" s="42" t="s">
        <v>2916</v>
      </c>
      <c r="C96" s="42" t="s">
        <v>2736</v>
      </c>
      <c r="D96" s="41" t="s">
        <v>2917</v>
      </c>
      <c r="E96" s="41" t="s">
        <v>2931</v>
      </c>
      <c r="F96" s="41" t="s">
        <v>2932</v>
      </c>
      <c r="G96" s="41">
        <v>501.0</v>
      </c>
      <c r="H96" s="41">
        <v>0.81</v>
      </c>
      <c r="I96" s="1" t="s">
        <v>2920</v>
      </c>
      <c r="J96" s="69" t="s">
        <v>2901</v>
      </c>
      <c r="L96" s="171"/>
      <c r="M96" s="171"/>
      <c r="N96" s="171"/>
      <c r="O96" s="171"/>
      <c r="P96" s="171"/>
      <c r="Q96" s="171"/>
    </row>
    <row r="97">
      <c r="I97" s="169"/>
      <c r="J97" s="172"/>
      <c r="L97" s="171"/>
      <c r="M97" s="171"/>
      <c r="N97" s="171"/>
      <c r="O97" s="171"/>
      <c r="P97" s="171"/>
      <c r="Q97" s="171"/>
    </row>
    <row r="98">
      <c r="I98" s="169"/>
      <c r="J98" s="172"/>
      <c r="L98" s="171"/>
      <c r="M98" s="171"/>
      <c r="N98" s="171"/>
      <c r="O98" s="171"/>
      <c r="P98" s="171"/>
      <c r="Q98" s="171"/>
    </row>
    <row r="99">
      <c r="I99" s="169"/>
      <c r="J99" s="172"/>
      <c r="L99" s="171"/>
      <c r="M99" s="171"/>
      <c r="N99" s="171"/>
      <c r="O99" s="171"/>
      <c r="P99" s="171"/>
      <c r="Q99" s="171"/>
    </row>
    <row r="100">
      <c r="I100" s="169"/>
      <c r="J100" s="172"/>
      <c r="L100" s="171"/>
      <c r="M100" s="171"/>
      <c r="N100" s="171"/>
      <c r="O100" s="171"/>
      <c r="P100" s="171"/>
      <c r="Q100" s="171"/>
    </row>
    <row r="101">
      <c r="I101" s="169"/>
      <c r="J101" s="172"/>
      <c r="L101" s="171"/>
      <c r="M101" s="171"/>
      <c r="N101" s="171"/>
      <c r="O101" s="171"/>
      <c r="P101" s="171"/>
      <c r="Q101" s="171"/>
    </row>
    <row r="102">
      <c r="I102" s="169"/>
      <c r="J102" s="172"/>
      <c r="L102" s="171"/>
      <c r="M102" s="171"/>
      <c r="N102" s="171"/>
      <c r="O102" s="171"/>
      <c r="P102" s="171"/>
      <c r="Q102" s="171"/>
    </row>
    <row r="103">
      <c r="I103" s="169"/>
      <c r="J103" s="172"/>
      <c r="L103" s="171"/>
      <c r="M103" s="171"/>
      <c r="N103" s="171"/>
      <c r="O103" s="171"/>
      <c r="P103" s="171"/>
      <c r="Q103" s="171"/>
    </row>
    <row r="104">
      <c r="I104" s="169"/>
      <c r="J104" s="172"/>
      <c r="L104" s="171"/>
      <c r="M104" s="171"/>
      <c r="N104" s="171"/>
      <c r="O104" s="171"/>
      <c r="P104" s="171"/>
      <c r="Q104" s="171"/>
    </row>
    <row r="105">
      <c r="I105" s="169"/>
      <c r="J105" s="172"/>
      <c r="L105" s="171"/>
      <c r="M105" s="171"/>
      <c r="N105" s="171"/>
      <c r="O105" s="171"/>
      <c r="P105" s="171"/>
      <c r="Q105" s="171"/>
    </row>
    <row r="106">
      <c r="I106" s="169"/>
      <c r="J106" s="172"/>
      <c r="L106" s="171"/>
      <c r="M106" s="171"/>
      <c r="N106" s="171"/>
      <c r="O106" s="171"/>
      <c r="P106" s="171"/>
      <c r="Q106" s="171"/>
    </row>
    <row r="107">
      <c r="I107" s="169"/>
      <c r="J107" s="172"/>
      <c r="L107" s="171"/>
      <c r="M107" s="171"/>
      <c r="N107" s="171"/>
      <c r="O107" s="171"/>
      <c r="P107" s="171"/>
      <c r="Q107" s="171"/>
    </row>
    <row r="108">
      <c r="I108" s="169"/>
      <c r="J108" s="172"/>
      <c r="L108" s="171"/>
      <c r="M108" s="171"/>
      <c r="N108" s="171"/>
      <c r="O108" s="171"/>
      <c r="P108" s="171"/>
      <c r="Q108" s="171"/>
    </row>
    <row r="109">
      <c r="I109" s="169"/>
      <c r="J109" s="172"/>
      <c r="L109" s="171"/>
      <c r="M109" s="171"/>
      <c r="N109" s="171"/>
      <c r="O109" s="171"/>
      <c r="P109" s="171"/>
      <c r="Q109" s="171"/>
    </row>
    <row r="110">
      <c r="I110" s="169"/>
      <c r="J110" s="172"/>
      <c r="L110" s="171"/>
      <c r="M110" s="171"/>
      <c r="N110" s="171"/>
      <c r="O110" s="171"/>
      <c r="P110" s="171"/>
      <c r="Q110" s="171"/>
    </row>
    <row r="111">
      <c r="I111" s="169"/>
      <c r="J111" s="172"/>
      <c r="L111" s="171"/>
      <c r="M111" s="171"/>
      <c r="N111" s="171"/>
      <c r="O111" s="171"/>
      <c r="P111" s="171"/>
      <c r="Q111" s="171"/>
    </row>
    <row r="112">
      <c r="I112" s="169"/>
      <c r="J112" s="172"/>
      <c r="L112" s="171"/>
      <c r="M112" s="171"/>
      <c r="N112" s="171"/>
      <c r="O112" s="171"/>
      <c r="P112" s="171"/>
      <c r="Q112" s="171"/>
    </row>
    <row r="113">
      <c r="I113" s="169"/>
      <c r="J113" s="172"/>
      <c r="L113" s="171"/>
      <c r="M113" s="171"/>
      <c r="N113" s="171"/>
      <c r="O113" s="171"/>
      <c r="P113" s="171"/>
      <c r="Q113" s="171"/>
    </row>
    <row r="114">
      <c r="I114" s="169"/>
      <c r="J114" s="172"/>
    </row>
    <row r="115">
      <c r="I115" s="169"/>
      <c r="J115" s="172"/>
    </row>
    <row r="116">
      <c r="I116" s="169"/>
      <c r="J116" s="172"/>
    </row>
    <row r="117">
      <c r="I117" s="169"/>
      <c r="J117" s="172"/>
      <c r="L117" s="153"/>
    </row>
    <row r="118">
      <c r="I118" s="169"/>
      <c r="J118" s="172"/>
    </row>
    <row r="119">
      <c r="I119" s="169"/>
      <c r="J119" s="172"/>
    </row>
    <row r="120">
      <c r="I120" s="169"/>
      <c r="J120" s="172"/>
    </row>
    <row r="121">
      <c r="I121" s="169"/>
      <c r="J121" s="172"/>
    </row>
    <row r="122">
      <c r="I122" s="169"/>
      <c r="J122" s="172"/>
    </row>
    <row r="123">
      <c r="I123" s="169"/>
      <c r="J123" s="172"/>
    </row>
    <row r="124">
      <c r="I124" s="169"/>
      <c r="J124" s="172"/>
    </row>
    <row r="125">
      <c r="I125" s="169"/>
      <c r="J125" s="172"/>
      <c r="L125" s="153"/>
    </row>
    <row r="126">
      <c r="I126" s="169"/>
      <c r="J126" s="172"/>
      <c r="L126" s="158"/>
      <c r="M126" s="161"/>
      <c r="N126" s="161"/>
      <c r="O126" s="161"/>
      <c r="P126" s="161"/>
      <c r="Q126" s="161"/>
    </row>
    <row r="127">
      <c r="I127" s="169"/>
      <c r="J127" s="172"/>
      <c r="L127" s="158"/>
      <c r="M127" s="161"/>
      <c r="N127" s="161"/>
      <c r="O127" s="161"/>
      <c r="P127" s="161"/>
      <c r="Q127" s="161"/>
    </row>
    <row r="128">
      <c r="I128" s="169"/>
      <c r="J128" s="172"/>
      <c r="L128" s="158"/>
      <c r="M128" s="161"/>
      <c r="N128" s="161"/>
      <c r="O128" s="161"/>
      <c r="P128" s="161"/>
      <c r="Q128" s="161"/>
    </row>
    <row r="129">
      <c r="I129" s="169"/>
      <c r="J129" s="172"/>
      <c r="L129" s="158"/>
      <c r="M129" s="161"/>
      <c r="N129" s="161"/>
      <c r="O129" s="161"/>
      <c r="P129" s="161"/>
      <c r="Q129" s="161"/>
    </row>
    <row r="130">
      <c r="I130" s="169"/>
      <c r="J130" s="172"/>
      <c r="L130" s="158"/>
      <c r="M130" s="161"/>
      <c r="N130" s="161"/>
      <c r="O130" s="161"/>
      <c r="P130" s="161"/>
      <c r="Q130" s="161"/>
    </row>
    <row r="131">
      <c r="I131" s="169"/>
      <c r="J131" s="172"/>
      <c r="L131" s="158"/>
      <c r="M131" s="161"/>
      <c r="N131" s="161"/>
      <c r="O131" s="161"/>
      <c r="P131" s="161"/>
      <c r="Q131" s="161"/>
    </row>
    <row r="132">
      <c r="I132" s="169"/>
      <c r="J132" s="172"/>
      <c r="L132" s="158"/>
      <c r="M132" s="161"/>
      <c r="N132" s="161"/>
      <c r="O132" s="161"/>
      <c r="P132" s="161"/>
      <c r="Q132" s="161"/>
    </row>
    <row r="133">
      <c r="I133" s="169"/>
      <c r="J133" s="172"/>
      <c r="L133" s="158"/>
      <c r="M133" s="161"/>
      <c r="N133" s="161"/>
      <c r="O133" s="161"/>
      <c r="P133" s="161"/>
      <c r="Q133" s="161"/>
    </row>
    <row r="134">
      <c r="I134" s="169"/>
      <c r="J134" s="172"/>
      <c r="L134" s="158"/>
      <c r="M134" s="161"/>
      <c r="N134" s="161"/>
      <c r="O134" s="161"/>
      <c r="P134" s="161"/>
      <c r="Q134" s="161"/>
    </row>
    <row r="135" customFormat="1" s="80">
      <c r="A135" s="153"/>
      <c r="B135" s="153"/>
      <c r="C135" s="153"/>
      <c r="I135" s="169"/>
      <c r="J135" s="172"/>
      <c r="K135" s="153"/>
      <c r="L135" s="41"/>
      <c r="M135" s="41"/>
      <c r="N135" s="41"/>
      <c r="O135" s="41"/>
      <c r="P135" s="41"/>
      <c r="Q135" s="159"/>
    </row>
    <row r="136" customFormat="1" s="80">
      <c r="A136" s="153"/>
      <c r="B136" s="153"/>
      <c r="C136" s="153"/>
      <c r="I136" s="169"/>
      <c r="J136" s="172"/>
      <c r="K136" s="153"/>
      <c r="L136" s="160"/>
      <c r="M136" s="161"/>
      <c r="N136" s="161"/>
      <c r="O136" s="161"/>
      <c r="P136" s="161"/>
      <c r="Q136" s="161"/>
    </row>
    <row r="137">
      <c r="I137" s="169"/>
      <c r="J137" s="172"/>
      <c r="L137" s="160"/>
      <c r="M137" s="161"/>
      <c r="N137" s="161"/>
      <c r="O137" s="161"/>
      <c r="P137" s="161"/>
      <c r="Q137" s="161"/>
    </row>
    <row r="138">
      <c r="I138" s="169"/>
      <c r="J138" s="172"/>
      <c r="L138" s="160"/>
      <c r="M138" s="161"/>
      <c r="N138" s="161"/>
      <c r="O138" s="161"/>
      <c r="P138" s="161"/>
      <c r="Q138" s="161"/>
    </row>
    <row r="139">
      <c r="I139" s="169"/>
      <c r="J139" s="172"/>
      <c r="L139" s="160"/>
      <c r="M139" s="161"/>
      <c r="N139" s="161"/>
      <c r="O139" s="161"/>
      <c r="P139" s="161"/>
      <c r="Q139" s="161"/>
    </row>
    <row r="140">
      <c r="I140" s="169"/>
      <c r="J140" s="172"/>
      <c r="L140" s="160"/>
      <c r="M140" s="161"/>
      <c r="N140" s="161"/>
      <c r="O140" s="161"/>
      <c r="P140" s="161"/>
      <c r="Q140" s="161"/>
    </row>
    <row r="141">
      <c r="I141" s="169"/>
      <c r="J141" s="172"/>
      <c r="L141" s="160"/>
      <c r="M141" s="161"/>
      <c r="N141" s="161"/>
      <c r="O141" s="161"/>
      <c r="P141" s="161"/>
      <c r="Q141" s="161"/>
    </row>
    <row r="142">
      <c r="I142" s="169"/>
      <c r="J142" s="172"/>
      <c r="L142" s="153"/>
    </row>
    <row r="143">
      <c r="I143" s="169"/>
      <c r="J143" s="172"/>
      <c r="L143" s="153"/>
    </row>
    <row r="144">
      <c r="I144" s="169"/>
      <c r="J144" s="172"/>
      <c r="L144" s="153"/>
    </row>
    <row r="145">
      <c r="I145" s="169"/>
      <c r="J145" s="172"/>
    </row>
    <row r="146">
      <c r="I146" s="169"/>
      <c r="J146" s="172"/>
    </row>
    <row r="147">
      <c r="I147" s="169"/>
      <c r="J147" s="172"/>
    </row>
    <row r="148">
      <c r="I148" s="169"/>
      <c r="J148" s="172"/>
    </row>
    <row r="149">
      <c r="I149" s="169"/>
      <c r="J149" s="172"/>
    </row>
    <row r="150">
      <c r="I150" s="169"/>
      <c r="J150" s="172"/>
    </row>
    <row r="151">
      <c r="I151" s="169"/>
      <c r="J151" s="172"/>
    </row>
    <row r="152">
      <c r="I152" s="169"/>
      <c r="J152" s="172"/>
    </row>
    <row r="153">
      <c r="I153" s="169"/>
      <c r="J153" s="172"/>
    </row>
    <row r="154">
      <c r="I154" s="169"/>
      <c r="J154" s="172"/>
    </row>
    <row r="155">
      <c r="I155" s="169"/>
      <c r="J155" s="172"/>
    </row>
    <row r="156">
      <c r="I156" s="169"/>
      <c r="J156" s="172"/>
    </row>
    <row r="157">
      <c r="I157" s="169"/>
      <c r="J157" s="172"/>
    </row>
    <row r="158">
      <c r="I158" s="169"/>
      <c r="J158" s="172"/>
    </row>
    <row r="159">
      <c r="I159" s="169"/>
      <c r="J159" s="172"/>
    </row>
    <row r="160">
      <c r="I160" s="169"/>
      <c r="J160" s="172"/>
    </row>
    <row r="161">
      <c r="I161" s="169"/>
      <c r="J161" s="172"/>
    </row>
    <row r="162">
      <c r="I162" s="169"/>
      <c r="J162" s="172"/>
    </row>
    <row r="163">
      <c r="I163" s="169"/>
      <c r="J163" s="172"/>
    </row>
    <row r="164">
      <c r="I164" s="169"/>
      <c r="J164" s="172"/>
    </row>
    <row r="165">
      <c r="I165" s="169"/>
      <c r="J165" s="172"/>
    </row>
    <row r="166">
      <c r="I166" s="169"/>
      <c r="J166" s="172"/>
    </row>
    <row r="167">
      <c r="I167" s="169"/>
      <c r="J167" s="172"/>
    </row>
    <row r="168">
      <c r="I168" s="169"/>
      <c r="J168" s="172"/>
    </row>
    <row r="169">
      <c r="I169" s="169"/>
      <c r="J169" s="172"/>
    </row>
    <row r="170">
      <c r="I170" s="169"/>
      <c r="J170" s="172"/>
    </row>
    <row r="171">
      <c r="I171" s="169"/>
      <c r="J171" s="172"/>
    </row>
    <row r="172">
      <c r="I172" s="169"/>
      <c r="J172" s="172"/>
    </row>
    <row r="173">
      <c r="I173" s="169"/>
      <c r="J173" s="172"/>
    </row>
    <row r="174">
      <c r="I174" s="169"/>
      <c r="J174" s="172"/>
    </row>
    <row r="175">
      <c r="I175" s="169"/>
      <c r="J175" s="172"/>
    </row>
    <row r="176">
      <c r="I176" s="169"/>
      <c r="J176" s="172"/>
    </row>
    <row r="177">
      <c r="I177" s="169"/>
      <c r="J177" s="172"/>
    </row>
    <row r="178">
      <c r="I178" s="169"/>
      <c r="J178" s="172"/>
    </row>
    <row r="179">
      <c r="I179" s="169"/>
      <c r="J179" s="172"/>
    </row>
    <row r="180">
      <c r="I180" s="169"/>
      <c r="J180" s="172"/>
    </row>
    <row r="181">
      <c r="I181" s="169"/>
      <c r="J181" s="172"/>
    </row>
    <row r="182">
      <c r="I182" s="169"/>
      <c r="J182" s="172"/>
    </row>
    <row r="183">
      <c r="I183" s="169"/>
      <c r="J183" s="172"/>
    </row>
    <row r="184">
      <c r="I184" s="169"/>
      <c r="J184" s="172"/>
    </row>
    <row r="185">
      <c r="I185" s="169"/>
      <c r="J185" s="172"/>
    </row>
    <row r="186" customFormat="1" s="80">
      <c r="A186" s="153"/>
      <c r="B186" s="153"/>
      <c r="C186" s="153"/>
      <c r="I186" s="169"/>
      <c r="J186" s="172"/>
      <c r="K186" s="153"/>
    </row>
    <row r="261910" customFormat="1" s="80">
      <c r="K261910" s="153"/>
    </row>
    <row r="261911" customFormat="1" s="80">
      <c r="K261911" s="153"/>
    </row>
    <row r="261912" customFormat="1" s="80">
      <c r="K261912" s="153"/>
    </row>
    <row r="261913" customFormat="1" s="80">
      <c r="K261913" s="153"/>
    </row>
    <row r="261914" customFormat="1" s="80">
      <c r="K261914" s="153"/>
    </row>
    <row r="261915" customFormat="1" s="80">
      <c r="K261915" s="153"/>
    </row>
    <row r="261916" customFormat="1" s="80">
      <c r="K261916" s="153"/>
    </row>
    <row r="261917" customFormat="1" s="80">
      <c r="K261917" s="153"/>
    </row>
    <row r="261918" customFormat="1" s="80">
      <c r="K261918" s="153"/>
    </row>
    <row r="261919" customFormat="1" s="80">
      <c r="K261919" s="153"/>
    </row>
    <row r="261920" customFormat="1" s="80">
      <c r="K261920" s="153"/>
    </row>
    <row r="261921" customFormat="1" s="80">
      <c r="K261921" s="153"/>
    </row>
    <row r="261922" customFormat="1" s="80">
      <c r="K261922" s="153"/>
    </row>
    <row r="261923" customFormat="1" s="80">
      <c r="K261923" s="153"/>
    </row>
    <row r="261924" customFormat="1" s="80">
      <c r="K261924" s="153"/>
    </row>
    <row r="261925" customFormat="1" s="80">
      <c r="K261925" s="153"/>
    </row>
    <row r="261926" customFormat="1" s="80">
      <c r="K261926" s="153"/>
    </row>
    <row r="261927" customFormat="1" s="80">
      <c r="K261927" s="153"/>
    </row>
    <row r="261928" customFormat="1" s="80">
      <c r="K261928" s="153"/>
    </row>
    <row r="261929" customFormat="1" s="80">
      <c r="K261929" s="153"/>
    </row>
    <row r="261930" customFormat="1" s="80">
      <c r="K261930" s="153"/>
    </row>
    <row r="261931" customFormat="1" s="80">
      <c r="K261931" s="153"/>
    </row>
    <row r="261932" customFormat="1" s="80">
      <c r="K261932" s="153"/>
    </row>
    <row r="261933" customFormat="1" s="80">
      <c r="K261933" s="153"/>
    </row>
    <row r="261934" customFormat="1" s="80">
      <c r="K261934" s="153"/>
    </row>
    <row r="261935" customFormat="1" s="80">
      <c r="K261935" s="153"/>
    </row>
    <row r="261936" customFormat="1" s="80">
      <c r="K261936" s="153"/>
    </row>
    <row r="261937" customFormat="1" s="80">
      <c r="K261937" s="153"/>
    </row>
    <row r="261938" customFormat="1" s="80">
      <c r="K261938" s="153"/>
    </row>
    <row r="261939" customFormat="1" s="80">
      <c r="K261939" s="153"/>
    </row>
    <row r="261940" customFormat="1" s="80">
      <c r="K261940" s="153"/>
    </row>
    <row r="261941" customFormat="1" s="80">
      <c r="K261941" s="153"/>
    </row>
    <row r="261942" customFormat="1" s="80">
      <c r="K261942" s="153"/>
    </row>
    <row r="261943" customFormat="1" s="80">
      <c r="K261943" s="153"/>
    </row>
    <row r="261944" customFormat="1" s="80">
      <c r="K261944" s="153"/>
    </row>
    <row r="261945" customFormat="1" s="80">
      <c r="K261945" s="153"/>
    </row>
    <row r="261946" customFormat="1" s="80">
      <c r="K261946" s="153"/>
    </row>
    <row r="261947" customFormat="1" s="80">
      <c r="K261947" s="153"/>
    </row>
    <row r="261948" customFormat="1" s="80">
      <c r="K261948" s="153"/>
    </row>
    <row r="261949" customFormat="1" s="80">
      <c r="K261949" s="153"/>
    </row>
    <row r="261950" customFormat="1" s="80">
      <c r="K261950" s="153"/>
    </row>
    <row r="261951" customFormat="1" s="80">
      <c r="K261951" s="153"/>
    </row>
    <row r="261952" customFormat="1" s="80">
      <c r="K261952" s="153"/>
    </row>
    <row r="261953" customFormat="1" s="80">
      <c r="K261953" s="153"/>
    </row>
    <row r="261954" customFormat="1" s="80">
      <c r="K261954" s="153"/>
    </row>
    <row r="261955" customFormat="1" s="80">
      <c r="K261955" s="153"/>
    </row>
    <row r="261956" customFormat="1" s="80">
      <c r="K261956" s="153"/>
    </row>
    <row r="261957" customFormat="1" s="80">
      <c r="K261957" s="153"/>
    </row>
    <row r="261958" customFormat="1" s="80">
      <c r="K261958" s="153"/>
    </row>
    <row r="261959" customFormat="1" s="80">
      <c r="K261959" s="153"/>
    </row>
    <row r="261960" customFormat="1" s="80">
      <c r="K261960" s="153"/>
    </row>
    <row r="261961" customFormat="1" s="80">
      <c r="K261961" s="153"/>
    </row>
    <row r="261962" customFormat="1" s="80">
      <c r="K261962" s="153"/>
    </row>
    <row r="261963" customFormat="1" s="80">
      <c r="K261963" s="153"/>
    </row>
    <row r="261964" customFormat="1" s="80">
      <c r="K261964" s="153"/>
    </row>
    <row r="261965" customFormat="1" s="80">
      <c r="K261965" s="153"/>
    </row>
    <row r="261966" customFormat="1" s="80">
      <c r="K261966" s="153"/>
    </row>
    <row r="261967" customFormat="1" s="80">
      <c r="K261967" s="153"/>
    </row>
    <row r="261968" customFormat="1" s="80">
      <c r="K261968" s="153"/>
    </row>
    <row r="261969" customFormat="1" s="80">
      <c r="K261969" s="153"/>
    </row>
    <row r="261970" customFormat="1" s="80">
      <c r="K261970" s="153"/>
    </row>
    <row r="261971" customFormat="1" s="80">
      <c r="K261971" s="153"/>
    </row>
    <row r="261972" customFormat="1" s="80">
      <c r="K261972" s="153"/>
    </row>
    <row r="261973" customFormat="1" s="80">
      <c r="K261973" s="153"/>
    </row>
    <row r="261974" customFormat="1" s="80">
      <c r="K261974" s="153"/>
    </row>
    <row r="261975" customFormat="1" s="80">
      <c r="K261975" s="153"/>
    </row>
    <row r="261976" customFormat="1" s="80">
      <c r="K261976" s="153"/>
    </row>
    <row r="261977" customFormat="1" s="80">
      <c r="K261977" s="153"/>
    </row>
    <row r="261978" customFormat="1" s="80">
      <c r="K261978" s="153"/>
    </row>
    <row r="261979" customFormat="1" s="80">
      <c r="K261979" s="153"/>
    </row>
    <row r="261980" customFormat="1" s="80">
      <c r="K261980" s="153"/>
    </row>
    <row r="261981" customFormat="1" s="80">
      <c r="K261981" s="153"/>
    </row>
    <row r="261982" customFormat="1" s="80">
      <c r="K261982" s="153"/>
    </row>
    <row r="261983" customFormat="1" s="80">
      <c r="K261983" s="153"/>
    </row>
    <row r="261984" customFormat="1" s="80">
      <c r="K261984" s="153"/>
    </row>
    <row r="261985" customFormat="1" s="80">
      <c r="K261985" s="153"/>
    </row>
    <row r="261986" customFormat="1" s="80">
      <c r="K261986" s="153"/>
    </row>
    <row r="261987" customFormat="1" s="80">
      <c r="K261987" s="153"/>
    </row>
    <row r="261988" customFormat="1" s="80">
      <c r="K261988" s="153"/>
    </row>
    <row r="261989" customFormat="1" s="80">
      <c r="K261989" s="153"/>
    </row>
    <row r="261990" customFormat="1" s="80">
      <c r="K261990" s="153"/>
    </row>
    <row r="261991" customFormat="1" s="80">
      <c r="K261991" s="153"/>
    </row>
    <row r="261992" customFormat="1" s="80">
      <c r="K261992" s="153"/>
    </row>
    <row r="261993" customFormat="1" s="80">
      <c r="K261993" s="153"/>
    </row>
    <row r="261994" customFormat="1" s="80">
      <c r="K261994" s="153"/>
    </row>
    <row r="261995" customFormat="1" s="80">
      <c r="K261995" s="153"/>
    </row>
    <row r="261996" customFormat="1" s="80">
      <c r="K261996" s="153"/>
    </row>
    <row r="261997" customFormat="1" s="80">
      <c r="K261997" s="153"/>
    </row>
    <row r="261998" customFormat="1" s="80">
      <c r="K261998" s="153"/>
    </row>
    <row r="261999" customFormat="1" s="80">
      <c r="K261999" s="153"/>
    </row>
    <row r="262000" customFormat="1" s="80">
      <c r="K262000" s="153"/>
    </row>
    <row r="262001" customFormat="1" s="80">
      <c r="K262001" s="153"/>
    </row>
    <row r="262002" customFormat="1" s="80">
      <c r="K262002" s="153"/>
    </row>
    <row r="262003" customFormat="1" s="80">
      <c r="K262003" s="153"/>
    </row>
    <row r="262004" customFormat="1" s="80">
      <c r="K262004" s="153"/>
    </row>
    <row r="262005" customFormat="1" s="80">
      <c r="K262005" s="153"/>
    </row>
    <row r="262006" customFormat="1" s="80">
      <c r="K262006" s="153"/>
    </row>
    <row r="262007" customFormat="1" s="80">
      <c r="K262007" s="153"/>
    </row>
    <row r="262008" customFormat="1" s="80">
      <c r="K262008" s="153"/>
    </row>
    <row r="262009" customFormat="1" s="80">
      <c r="K262009" s="153"/>
    </row>
    <row r="262010" customFormat="1" s="80">
      <c r="K262010" s="153"/>
    </row>
    <row r="262011" customFormat="1" s="80">
      <c r="K262011" s="153"/>
    </row>
    <row r="262012" customFormat="1" s="80">
      <c r="K262012" s="153"/>
    </row>
    <row r="262013" customFormat="1" s="80">
      <c r="K262013" s="153"/>
    </row>
    <row r="262014" customFormat="1" s="80">
      <c r="K262014" s="153"/>
    </row>
    <row r="262015" customFormat="1" s="80">
      <c r="K262015" s="153"/>
    </row>
    <row r="262016" customFormat="1" s="80">
      <c r="K262016" s="153"/>
    </row>
    <row r="262017" customFormat="1" s="80">
      <c r="K262017" s="153"/>
    </row>
    <row r="262018" customFormat="1" s="80">
      <c r="K262018" s="153"/>
    </row>
    <row r="262019" customFormat="1" s="80">
      <c r="K262019" s="153"/>
    </row>
    <row r="262020" customFormat="1" s="80">
      <c r="K262020" s="153"/>
    </row>
    <row r="262021" customFormat="1" s="80">
      <c r="K262021" s="153"/>
    </row>
    <row r="262022" customFormat="1" s="80">
      <c r="K262022" s="153"/>
    </row>
    <row r="262023" customFormat="1" s="80">
      <c r="K262023" s="153"/>
    </row>
    <row r="262024" customFormat="1" s="80">
      <c r="K262024" s="153"/>
    </row>
    <row r="262025" customFormat="1" s="80">
      <c r="K262025" s="153"/>
    </row>
    <row r="262026" customFormat="1" s="80">
      <c r="K262026" s="153"/>
    </row>
    <row r="262027" customFormat="1" s="80">
      <c r="K262027" s="153"/>
    </row>
    <row r="262028" customFormat="1" s="80">
      <c r="K262028" s="153"/>
    </row>
    <row r="262029" customFormat="1" s="80">
      <c r="K262029" s="153"/>
    </row>
    <row r="262030" customFormat="1" s="80">
      <c r="K262030" s="153"/>
    </row>
    <row r="262031" customFormat="1" s="80">
      <c r="K262031" s="153"/>
    </row>
    <row r="262032" customFormat="1" s="80">
      <c r="K262032" s="153"/>
    </row>
    <row r="262033" customFormat="1" s="80">
      <c r="K262033" s="153"/>
    </row>
    <row r="262034" customFormat="1" s="80">
      <c r="K262034" s="153"/>
    </row>
    <row r="262035" customFormat="1" s="80">
      <c r="K262035" s="153"/>
    </row>
    <row r="262036" customFormat="1" s="80">
      <c r="K262036" s="153"/>
    </row>
    <row r="262037" customFormat="1" s="80">
      <c r="K262037" s="153"/>
    </row>
    <row r="262038" customFormat="1" s="80">
      <c r="K262038" s="153"/>
    </row>
    <row r="262039" customFormat="1" s="80">
      <c r="K262039" s="153"/>
    </row>
    <row r="262040" customFormat="1" s="80">
      <c r="K262040" s="153"/>
    </row>
    <row r="262041" customFormat="1" s="80">
      <c r="K262041" s="153"/>
    </row>
    <row r="262042" customFormat="1" s="80">
      <c r="K262042" s="153"/>
    </row>
    <row r="262043" customFormat="1" s="80">
      <c r="K262043" s="153"/>
    </row>
    <row r="262044" customFormat="1" s="80">
      <c r="K262044" s="153"/>
    </row>
    <row r="262045" customFormat="1" s="80">
      <c r="K262045" s="153"/>
    </row>
    <row r="262046" customFormat="1" s="80">
      <c r="K262046" s="153"/>
    </row>
    <row r="262047" customFormat="1" s="80">
      <c r="K262047" s="153"/>
    </row>
    <row r="262048" customFormat="1" s="80">
      <c r="K262048" s="153"/>
    </row>
    <row r="262049" customFormat="1" s="80">
      <c r="K262049" s="153"/>
    </row>
    <row r="262050" customFormat="1" s="80">
      <c r="K262050" s="153"/>
    </row>
    <row r="262051" customFormat="1" s="80">
      <c r="K262051" s="153"/>
    </row>
    <row r="262052" customFormat="1" s="80">
      <c r="K262052" s="153"/>
    </row>
    <row r="262053" customFormat="1" s="80">
      <c r="K262053" s="153"/>
    </row>
    <row r="262054" customFormat="1" s="80">
      <c r="K262054" s="153"/>
    </row>
    <row r="262055" customFormat="1" s="80">
      <c r="K262055" s="153"/>
    </row>
    <row r="262056" customFormat="1" s="80">
      <c r="K262056" s="153"/>
    </row>
    <row r="262057" customFormat="1" s="80">
      <c r="K262057" s="153"/>
    </row>
    <row r="262058" customFormat="1" s="80">
      <c r="K262058" s="153"/>
    </row>
    <row r="262059" customFormat="1" s="80">
      <c r="K262059" s="153"/>
    </row>
    <row r="262060" customFormat="1" s="80">
      <c r="K262060" s="153"/>
    </row>
    <row r="262061" customFormat="1" s="80">
      <c r="K262061" s="153"/>
    </row>
    <row r="262062" customFormat="1" s="80">
      <c r="K262062" s="153"/>
    </row>
    <row r="262063" customFormat="1" s="80">
      <c r="K262063" s="153"/>
    </row>
    <row r="262064" customFormat="1" s="80">
      <c r="K262064" s="153"/>
    </row>
    <row r="262065" customFormat="1" s="80">
      <c r="K262065" s="153"/>
    </row>
    <row r="262066" customFormat="1" s="80">
      <c r="K262066" s="153"/>
    </row>
    <row r="262067" customFormat="1" s="80">
      <c r="K262067" s="153"/>
    </row>
    <row r="262068" customFormat="1" s="80">
      <c r="K262068" s="153"/>
    </row>
    <row r="262069" customFormat="1" s="80">
      <c r="K262069" s="153"/>
    </row>
    <row r="262070" customFormat="1" s="80">
      <c r="K262070" s="153"/>
    </row>
    <row r="262071" customFormat="1" s="80">
      <c r="K262071" s="153"/>
    </row>
    <row r="262072" customFormat="1" s="80">
      <c r="K262072" s="153"/>
    </row>
    <row r="262073" customFormat="1" s="80">
      <c r="K262073" s="153"/>
    </row>
    <row r="262074" customFormat="1" s="80">
      <c r="K262074" s="153"/>
    </row>
    <row r="262075" customFormat="1" s="80">
      <c r="K262075" s="153"/>
    </row>
    <row r="262076" customFormat="1" s="80">
      <c r="K262076" s="153"/>
    </row>
    <row r="262077" customFormat="1" s="80">
      <c r="K262077" s="153"/>
    </row>
    <row r="262078" customFormat="1" s="80">
      <c r="K262078" s="153"/>
    </row>
    <row r="262079" customFormat="1" s="80">
      <c r="K262079" s="153"/>
    </row>
    <row r="262080" customFormat="1" s="80">
      <c r="K262080" s="153"/>
    </row>
    <row r="262081" customFormat="1" s="80">
      <c r="K262081" s="153"/>
    </row>
    <row r="262082" customFormat="1" s="80">
      <c r="K262082" s="153"/>
    </row>
    <row r="262083" customFormat="1" s="80">
      <c r="K262083" s="153"/>
    </row>
    <row r="262084" customFormat="1" s="80">
      <c r="K262084" s="153"/>
    </row>
    <row r="262085" customFormat="1" s="80">
      <c r="K262085" s="153"/>
    </row>
    <row r="262086" customFormat="1" s="80">
      <c r="K262086" s="153"/>
    </row>
    <row r="262087" customFormat="1" s="80">
      <c r="K262087" s="153"/>
    </row>
    <row r="262088" customFormat="1" s="80">
      <c r="K262088" s="153"/>
    </row>
    <row r="262089" customFormat="1" s="80">
      <c r="K262089" s="153"/>
    </row>
    <row r="262090" customFormat="1" s="80">
      <c r="K262090" s="153"/>
    </row>
    <row r="262091" customFormat="1" s="80">
      <c r="K262091" s="153"/>
    </row>
    <row r="262092" customFormat="1" s="80">
      <c r="K262092" s="153"/>
    </row>
    <row r="262093" customFormat="1" s="80">
      <c r="K262093" s="153"/>
    </row>
    <row r="262094" customFormat="1" s="80">
      <c r="K262094" s="153"/>
    </row>
    <row r="262095" customFormat="1" s="80">
      <c r="K262095" s="153"/>
    </row>
    <row r="262096" customFormat="1" s="80">
      <c r="K262096" s="153"/>
    </row>
    <row r="262097" customFormat="1" s="80">
      <c r="K262097" s="153"/>
    </row>
    <row r="262098" customFormat="1" s="80">
      <c r="K262098" s="153"/>
    </row>
    <row r="262099" customFormat="1" s="80">
      <c r="K262099" s="153"/>
    </row>
    <row r="262100" customFormat="1" s="80">
      <c r="K262100" s="153"/>
    </row>
    <row r="262101" customFormat="1" s="80">
      <c r="K262101" s="153"/>
    </row>
    <row r="262102" customFormat="1" s="80">
      <c r="K262102" s="153"/>
    </row>
    <row r="262103" customFormat="1" s="80">
      <c r="K262103" s="153"/>
    </row>
    <row r="262104" customFormat="1" s="80">
      <c r="K262104" s="153"/>
    </row>
    <row r="262105" customFormat="1" s="80">
      <c r="K262105" s="153"/>
    </row>
    <row r="262106" customFormat="1" s="80">
      <c r="K262106" s="153"/>
    </row>
    <row r="262107" customFormat="1" s="80">
      <c r="K262107" s="153"/>
    </row>
    <row r="262108" customFormat="1" s="80">
      <c r="K262108" s="153"/>
    </row>
    <row r="262109" customFormat="1" s="80">
      <c r="K262109" s="153"/>
    </row>
    <row r="262110" customFormat="1" s="80">
      <c r="K262110" s="153"/>
    </row>
    <row r="262111" customFormat="1" s="80">
      <c r="K262111" s="153"/>
    </row>
    <row r="262112" customFormat="1" s="80">
      <c r="K262112" s="153"/>
    </row>
    <row r="262113" customFormat="1" s="80">
      <c r="K262113" s="153"/>
    </row>
    <row r="262114" customFormat="1" s="80">
      <c r="K262114" s="153"/>
    </row>
    <row r="262115" customFormat="1" s="80">
      <c r="K262115" s="153"/>
    </row>
    <row r="262116" customFormat="1" s="80">
      <c r="K262116" s="153"/>
    </row>
    <row r="262117" customFormat="1" s="80">
      <c r="K262117" s="153"/>
    </row>
    <row r="262118" customFormat="1" s="80">
      <c r="K262118" s="153"/>
    </row>
    <row r="262119" customFormat="1" s="80">
      <c r="K262119" s="153"/>
    </row>
    <row r="262120" customFormat="1" s="80">
      <c r="K262120" s="153"/>
    </row>
    <row r="262121" customFormat="1" s="80">
      <c r="K262121" s="153"/>
    </row>
    <row r="262122" customFormat="1" s="80">
      <c r="K262122" s="153"/>
    </row>
    <row r="262123" customFormat="1" s="80">
      <c r="K262123" s="153"/>
    </row>
    <row r="262124" customFormat="1" s="80">
      <c r="K262124" s="153"/>
    </row>
    <row r="262125" customFormat="1" s="80">
      <c r="K262125" s="153"/>
    </row>
    <row r="262126" customFormat="1" s="80">
      <c r="K262126" s="153"/>
    </row>
    <row r="262127" customFormat="1" s="80">
      <c r="K262127" s="153"/>
    </row>
    <row r="262128" customFormat="1" s="80">
      <c r="K262128" s="153"/>
    </row>
    <row r="262129" customFormat="1" s="80">
      <c r="K262129" s="153"/>
    </row>
    <row r="262130" customFormat="1" s="80">
      <c r="K262130" s="153"/>
    </row>
    <row r="262131" customFormat="1" s="80">
      <c r="K262131" s="153"/>
    </row>
    <row r="262132" customFormat="1" s="80">
      <c r="K262132" s="153"/>
    </row>
    <row r="262133" customFormat="1" s="80">
      <c r="K262133" s="153"/>
    </row>
    <row r="262134" customFormat="1" s="80">
      <c r="K262134" s="153"/>
    </row>
    <row r="262135" customFormat="1" s="80">
      <c r="K262135" s="153"/>
    </row>
    <row r="262136" customFormat="1" s="80">
      <c r="K262136" s="153"/>
    </row>
    <row r="262137" customFormat="1" s="80">
      <c r="K262137" s="153"/>
    </row>
    <row r="262138" customFormat="1" s="80">
      <c r="K262138" s="153"/>
    </row>
    <row r="262139" customFormat="1" s="80">
      <c r="K262139" s="153"/>
    </row>
    <row r="262140" customFormat="1" s="80">
      <c r="K262140" s="153"/>
    </row>
    <row r="262141" customFormat="1" s="80">
      <c r="K262141" s="153"/>
    </row>
    <row r="262142" customFormat="1" s="80">
      <c r="K262142" s="153"/>
    </row>
    <row r="262143" customFormat="1" s="80">
      <c r="K262143" s="153"/>
    </row>
    <row r="262144" customFormat="1" s="80">
      <c r="K262144" s="153"/>
    </row>
  </sheetData>
  <extLst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3340"/>
  <sheetViews>
    <sheetView workbookViewId="0">
      <pane ySplit="2" topLeftCell="A3" state="frozen"/>
    </sheetView>
  </sheetViews>
  <sheetFormatPr defaultRowHeight="14.0" customHeight="1"/>
  <cols>
    <col min="1" max="1" width="66.64"/>
    <col min="2" max="2" style="153" width="15.5"/>
    <col min="3" max="3" width="12.45"/>
    <col min="4" max="4" width="18.28"/>
    <col min="5" max="5" width="10.2"/>
    <col min="6" max="6" width="15.36"/>
    <col min="7" max="7" width="7.41"/>
    <col min="8" max="8" width="26.49"/>
    <col min="9" max="9" width="21.19"/>
    <col min="10" max="2048" width="13.24"/>
  </cols>
  <sheetData>
    <row r="1" customHeight="1" ht="14.0" customFormat="1" s="169">
      <c r="A1" s="169" t="s">
        <v>2933</v>
      </c>
      <c r="B1" s="173"/>
    </row>
    <row r="2" customHeight="1" ht="14.0">
      <c r="A2" t="s">
        <v>842</v>
      </c>
      <c r="B2" s="153" t="s">
        <v>14</v>
      </c>
      <c r="C2" t="s">
        <v>2934</v>
      </c>
      <c r="D2" t="s">
        <v>2935</v>
      </c>
      <c r="E2" t="s">
        <v>2936</v>
      </c>
      <c r="F2" t="s">
        <v>2937</v>
      </c>
      <c r="G2" t="s">
        <v>2938</v>
      </c>
      <c r="H2" t="s">
        <v>2939</v>
      </c>
      <c r="I2" t="s">
        <v>2940</v>
      </c>
    </row>
    <row r="3" customHeight="1" ht="14.0">
      <c r="A3" t="s">
        <v>2941</v>
      </c>
      <c r="B3" s="153">
        <v>91716.0</v>
      </c>
      <c r="C3">
        <v>0.0</v>
      </c>
      <c r="D3">
        <v>0.0</v>
      </c>
      <c r="F3" t="s">
        <v>2942</v>
      </c>
      <c r="G3" t="s">
        <v>2943</v>
      </c>
      <c r="H3" t="s">
        <v>2944</v>
      </c>
      <c r="I3" t="s">
        <v>520</v>
      </c>
    </row>
    <row r="4" customHeight="1" ht="14.0">
      <c r="A4" t="s">
        <v>2945</v>
      </c>
      <c r="B4" s="153">
        <v>91751.0</v>
      </c>
      <c r="C4">
        <v>0.0</v>
      </c>
      <c r="D4">
        <v>0.0</v>
      </c>
      <c r="F4" t="s">
        <v>2942</v>
      </c>
      <c r="G4" t="s">
        <v>2943</v>
      </c>
      <c r="H4" t="s">
        <v>2944</v>
      </c>
      <c r="I4" t="s">
        <v>520</v>
      </c>
    </row>
    <row r="5" customHeight="1" ht="14.0">
      <c r="A5" t="s">
        <v>2946</v>
      </c>
      <c r="B5" s="153">
        <v>91726.0</v>
      </c>
      <c r="C5">
        <v>0.0</v>
      </c>
      <c r="D5">
        <v>0.0</v>
      </c>
      <c r="F5" t="s">
        <v>2942</v>
      </c>
      <c r="G5" t="s">
        <v>2943</v>
      </c>
      <c r="H5" t="s">
        <v>2944</v>
      </c>
      <c r="I5" t="s">
        <v>520</v>
      </c>
    </row>
    <row r="6" customHeight="1" ht="14.0">
      <c r="A6" t="s">
        <v>2947</v>
      </c>
      <c r="B6" s="153">
        <v>91736.0</v>
      </c>
      <c r="C6">
        <v>0.0</v>
      </c>
      <c r="D6">
        <v>0.0</v>
      </c>
      <c r="F6" t="s">
        <v>2942</v>
      </c>
      <c r="G6" t="s">
        <v>2943</v>
      </c>
      <c r="H6" t="s">
        <v>2944</v>
      </c>
      <c r="I6" t="s">
        <v>520</v>
      </c>
    </row>
    <row r="7" customHeight="1" ht="14.0">
      <c r="A7" t="s">
        <v>2948</v>
      </c>
      <c r="B7" s="153">
        <v>91746.0</v>
      </c>
      <c r="C7">
        <v>0.0</v>
      </c>
      <c r="D7">
        <v>0.0</v>
      </c>
      <c r="F7" t="s">
        <v>2942</v>
      </c>
      <c r="G7" t="s">
        <v>2943</v>
      </c>
      <c r="H7" t="s">
        <v>2944</v>
      </c>
      <c r="I7" t="s">
        <v>520</v>
      </c>
    </row>
    <row r="8" customHeight="1" ht="14.0">
      <c r="A8" t="s">
        <v>2949</v>
      </c>
      <c r="B8" s="153">
        <v>91741.0</v>
      </c>
      <c r="C8">
        <v>0.0</v>
      </c>
      <c r="D8">
        <v>0.0</v>
      </c>
      <c r="F8" t="s">
        <v>2942</v>
      </c>
      <c r="G8" t="s">
        <v>2943</v>
      </c>
      <c r="H8" t="s">
        <v>2944</v>
      </c>
      <c r="I8" t="s">
        <v>520</v>
      </c>
    </row>
    <row r="9" customHeight="1" ht="14.0">
      <c r="A9" t="s">
        <v>2950</v>
      </c>
      <c r="B9" s="153">
        <v>91717.0</v>
      </c>
      <c r="C9">
        <v>0.0</v>
      </c>
      <c r="D9">
        <v>0.0</v>
      </c>
      <c r="F9" t="s">
        <v>2942</v>
      </c>
      <c r="G9" t="s">
        <v>2943</v>
      </c>
      <c r="H9" t="s">
        <v>2944</v>
      </c>
      <c r="I9" t="s">
        <v>520</v>
      </c>
    </row>
    <row r="10" customHeight="1" ht="14.0">
      <c r="A10" t="s">
        <v>2951</v>
      </c>
      <c r="B10" s="153">
        <v>91727.0</v>
      </c>
      <c r="C10">
        <v>0.0</v>
      </c>
      <c r="D10">
        <v>0.0</v>
      </c>
      <c r="F10" t="s">
        <v>2942</v>
      </c>
      <c r="G10" t="s">
        <v>2943</v>
      </c>
      <c r="H10" t="s">
        <v>2944</v>
      </c>
      <c r="I10" t="s">
        <v>520</v>
      </c>
    </row>
    <row r="11" customHeight="1" ht="14.0">
      <c r="A11" t="s">
        <v>2952</v>
      </c>
      <c r="B11" s="153">
        <v>91737.0</v>
      </c>
      <c r="C11">
        <v>0.0</v>
      </c>
      <c r="D11">
        <v>0.0</v>
      </c>
      <c r="F11" t="s">
        <v>2942</v>
      </c>
      <c r="G11" t="s">
        <v>2943</v>
      </c>
      <c r="H11" t="s">
        <v>2944</v>
      </c>
      <c r="I11" t="s">
        <v>520</v>
      </c>
    </row>
    <row r="12" customHeight="1" ht="14.0">
      <c r="A12" t="s">
        <v>2953</v>
      </c>
      <c r="B12" s="153">
        <v>91747.0</v>
      </c>
      <c r="C12">
        <v>0.0</v>
      </c>
      <c r="D12">
        <v>0.0</v>
      </c>
      <c r="F12" t="s">
        <v>2942</v>
      </c>
      <c r="G12" t="s">
        <v>2943</v>
      </c>
      <c r="H12" t="s">
        <v>2944</v>
      </c>
      <c r="I12" t="s">
        <v>520</v>
      </c>
    </row>
    <row r="13" customHeight="1" ht="14.0">
      <c r="A13" t="s">
        <v>2954</v>
      </c>
      <c r="B13" s="153">
        <v>91742.0</v>
      </c>
      <c r="C13">
        <v>0.0</v>
      </c>
      <c r="D13">
        <v>0.0</v>
      </c>
      <c r="F13" t="s">
        <v>2942</v>
      </c>
      <c r="G13" t="s">
        <v>2943</v>
      </c>
      <c r="H13" t="s">
        <v>2944</v>
      </c>
      <c r="I13" t="s">
        <v>520</v>
      </c>
    </row>
    <row r="14" customHeight="1" ht="14.0">
      <c r="A14" t="s">
        <v>2955</v>
      </c>
      <c r="B14" s="153" t="s">
        <v>2956</v>
      </c>
      <c r="C14">
        <v>0.0</v>
      </c>
      <c r="D14">
        <v>0.0</v>
      </c>
      <c r="F14" t="s">
        <v>2942</v>
      </c>
      <c r="G14" t="s">
        <v>2943</v>
      </c>
      <c r="H14" t="s">
        <v>2944</v>
      </c>
      <c r="I14" t="s">
        <v>2957</v>
      </c>
    </row>
    <row r="15" customHeight="1" ht="14.0">
      <c r="A15" t="s">
        <v>2958</v>
      </c>
      <c r="B15" s="153" t="s">
        <v>2959</v>
      </c>
      <c r="C15">
        <v>0.0</v>
      </c>
      <c r="D15">
        <v>0.0</v>
      </c>
      <c r="F15" t="s">
        <v>2942</v>
      </c>
      <c r="G15" t="s">
        <v>2943</v>
      </c>
      <c r="H15" t="s">
        <v>2944</v>
      </c>
      <c r="I15" t="s">
        <v>2957</v>
      </c>
    </row>
    <row r="16" customHeight="1" ht="14.0">
      <c r="A16" t="s">
        <v>2960</v>
      </c>
      <c r="B16" s="153" t="s">
        <v>2961</v>
      </c>
      <c r="C16">
        <v>0.0</v>
      </c>
      <c r="D16">
        <v>0.0</v>
      </c>
      <c r="F16" t="s">
        <v>2942</v>
      </c>
      <c r="G16" t="s">
        <v>2943</v>
      </c>
      <c r="H16" t="s">
        <v>2944</v>
      </c>
      <c r="I16" t="s">
        <v>2957</v>
      </c>
    </row>
    <row r="17" customHeight="1" ht="14.0">
      <c r="A17" t="s">
        <v>844</v>
      </c>
      <c r="B17" s="153" t="s">
        <v>845</v>
      </c>
      <c r="C17">
        <v>194.0</v>
      </c>
      <c r="D17">
        <v>706.55</v>
      </c>
      <c r="E17">
        <v>3.642</v>
      </c>
      <c r="F17" t="s">
        <v>2942</v>
      </c>
      <c r="G17" t="s">
        <v>2962</v>
      </c>
      <c r="H17" t="s">
        <v>2963</v>
      </c>
      <c r="I17" t="s">
        <v>2964</v>
      </c>
    </row>
    <row r="18" customHeight="1" ht="14.0">
      <c r="A18" t="s">
        <v>846</v>
      </c>
      <c r="B18" s="153" t="s">
        <v>847</v>
      </c>
      <c r="C18">
        <v>380.0</v>
      </c>
      <c r="D18">
        <v>1386.33</v>
      </c>
      <c r="E18">
        <v>3.6482</v>
      </c>
      <c r="F18" t="s">
        <v>2942</v>
      </c>
      <c r="G18" t="s">
        <v>2962</v>
      </c>
      <c r="H18" t="s">
        <v>2963</v>
      </c>
      <c r="I18" t="s">
        <v>2964</v>
      </c>
    </row>
    <row r="19" customHeight="1" ht="14.0">
      <c r="A19" t="s">
        <v>848</v>
      </c>
      <c r="B19" s="153" t="s">
        <v>849</v>
      </c>
      <c r="C19">
        <v>354.0</v>
      </c>
      <c r="D19">
        <v>1290.6</v>
      </c>
      <c r="E19">
        <v>3.6458</v>
      </c>
      <c r="F19" t="s">
        <v>2942</v>
      </c>
      <c r="G19" t="s">
        <v>2962</v>
      </c>
      <c r="H19" t="s">
        <v>2963</v>
      </c>
      <c r="I19" t="s">
        <v>2964</v>
      </c>
    </row>
    <row r="20" customHeight="1" ht="14.0">
      <c r="A20" t="s">
        <v>850</v>
      </c>
      <c r="B20" s="153" t="s">
        <v>851</v>
      </c>
      <c r="C20">
        <v>394.0</v>
      </c>
      <c r="D20">
        <v>1436.66</v>
      </c>
      <c r="E20">
        <v>3.6463</v>
      </c>
      <c r="F20" t="s">
        <v>2942</v>
      </c>
      <c r="G20" t="s">
        <v>2962</v>
      </c>
      <c r="H20" t="s">
        <v>2963</v>
      </c>
      <c r="I20" t="s">
        <v>2964</v>
      </c>
    </row>
    <row r="21" customHeight="1" ht="14.0">
      <c r="A21" t="s">
        <v>852</v>
      </c>
      <c r="B21" s="153" t="s">
        <v>853</v>
      </c>
      <c r="C21">
        <v>203.0</v>
      </c>
      <c r="D21">
        <v>739.52</v>
      </c>
      <c r="E21">
        <v>3.643</v>
      </c>
      <c r="F21" t="s">
        <v>2942</v>
      </c>
      <c r="G21" t="s">
        <v>2962</v>
      </c>
      <c r="H21" t="s">
        <v>2963</v>
      </c>
      <c r="I21" t="s">
        <v>2964</v>
      </c>
    </row>
    <row r="22" customHeight="1" ht="14.0">
      <c r="A22" t="s">
        <v>854</v>
      </c>
      <c r="B22" s="153" t="s">
        <v>855</v>
      </c>
      <c r="C22">
        <v>255.0</v>
      </c>
      <c r="D22">
        <v>929.39</v>
      </c>
      <c r="E22">
        <v>3.6447</v>
      </c>
      <c r="F22" t="s">
        <v>2942</v>
      </c>
      <c r="G22" t="s">
        <v>2962</v>
      </c>
      <c r="H22" t="s">
        <v>2963</v>
      </c>
      <c r="I22" t="s">
        <v>2964</v>
      </c>
    </row>
    <row r="23" customHeight="1" ht="14.0">
      <c r="A23" t="s">
        <v>856</v>
      </c>
      <c r="B23" s="153" t="s">
        <v>857</v>
      </c>
      <c r="C23">
        <v>0.0</v>
      </c>
      <c r="D23">
        <v>0.0</v>
      </c>
      <c r="F23" t="s">
        <v>2942</v>
      </c>
      <c r="G23" t="s">
        <v>2943</v>
      </c>
      <c r="H23" t="s">
        <v>2963</v>
      </c>
      <c r="I23" t="s">
        <v>2965</v>
      </c>
    </row>
    <row r="24" customHeight="1" ht="14.0">
      <c r="A24" t="s">
        <v>2966</v>
      </c>
      <c r="B24" s="153" t="s">
        <v>2967</v>
      </c>
      <c r="C24">
        <v>1000.0</v>
      </c>
      <c r="D24">
        <v>2587.7</v>
      </c>
      <c r="E24">
        <v>2.5877</v>
      </c>
      <c r="F24" t="s">
        <v>2942</v>
      </c>
      <c r="G24" t="s">
        <v>2962</v>
      </c>
      <c r="H24" t="s">
        <v>2963</v>
      </c>
      <c r="I24" t="s">
        <v>2965</v>
      </c>
    </row>
    <row r="25" customHeight="1" ht="14.0">
      <c r="A25" t="s">
        <v>2968</v>
      </c>
      <c r="B25" s="153" t="s">
        <v>2969</v>
      </c>
      <c r="C25">
        <v>0.0</v>
      </c>
      <c r="D25">
        <v>0.0</v>
      </c>
      <c r="F25" t="s">
        <v>2942</v>
      </c>
      <c r="G25" t="s">
        <v>2943</v>
      </c>
      <c r="H25" t="s">
        <v>2944</v>
      </c>
      <c r="I25" t="s">
        <v>228</v>
      </c>
    </row>
    <row r="26" customHeight="1" ht="14.0">
      <c r="A26" t="s">
        <v>2970</v>
      </c>
      <c r="B26" s="153" t="s">
        <v>2971</v>
      </c>
      <c r="C26">
        <v>0.0</v>
      </c>
      <c r="D26">
        <v>0.0</v>
      </c>
      <c r="F26" t="s">
        <v>2942</v>
      </c>
      <c r="G26" t="s">
        <v>2943</v>
      </c>
      <c r="H26" t="s">
        <v>2944</v>
      </c>
      <c r="I26" t="s">
        <v>228</v>
      </c>
    </row>
    <row r="27" customHeight="1" ht="14.0">
      <c r="A27" t="s">
        <v>2972</v>
      </c>
      <c r="B27" s="153">
        <v>91718.0</v>
      </c>
      <c r="C27">
        <v>0.0</v>
      </c>
      <c r="D27">
        <v>0.0</v>
      </c>
      <c r="F27" t="s">
        <v>2942</v>
      </c>
      <c r="G27" t="s">
        <v>2943</v>
      </c>
      <c r="H27" t="s">
        <v>2944</v>
      </c>
      <c r="I27" t="s">
        <v>520</v>
      </c>
    </row>
    <row r="28" customHeight="1" ht="14.0">
      <c r="A28" t="s">
        <v>2973</v>
      </c>
      <c r="B28" s="153">
        <v>91728.0</v>
      </c>
      <c r="C28">
        <v>0.0</v>
      </c>
      <c r="D28">
        <v>0.0</v>
      </c>
      <c r="F28" t="s">
        <v>2942</v>
      </c>
      <c r="G28" t="s">
        <v>2943</v>
      </c>
      <c r="H28" t="s">
        <v>2944</v>
      </c>
      <c r="I28" t="s">
        <v>520</v>
      </c>
    </row>
    <row r="29" customHeight="1" ht="14.0">
      <c r="A29" t="s">
        <v>2974</v>
      </c>
      <c r="B29" s="153">
        <v>91738.0</v>
      </c>
      <c r="C29">
        <v>0.0</v>
      </c>
      <c r="D29">
        <v>0.0</v>
      </c>
      <c r="F29" t="s">
        <v>2942</v>
      </c>
      <c r="G29" t="s">
        <v>2943</v>
      </c>
      <c r="H29" t="s">
        <v>2944</v>
      </c>
      <c r="I29" t="s">
        <v>520</v>
      </c>
    </row>
    <row r="30" customHeight="1" ht="14.0">
      <c r="A30" t="s">
        <v>2975</v>
      </c>
      <c r="B30" s="153">
        <v>91748.0</v>
      </c>
      <c r="C30">
        <v>0.0</v>
      </c>
      <c r="D30">
        <v>0.0</v>
      </c>
      <c r="F30" t="s">
        <v>2942</v>
      </c>
      <c r="G30" t="s">
        <v>2943</v>
      </c>
      <c r="H30" t="s">
        <v>2944</v>
      </c>
      <c r="I30" t="s">
        <v>520</v>
      </c>
    </row>
    <row r="31" customHeight="1" ht="14.0">
      <c r="A31" t="s">
        <v>2976</v>
      </c>
      <c r="B31" s="153">
        <v>91743.0</v>
      </c>
      <c r="C31">
        <v>0.0</v>
      </c>
      <c r="D31">
        <v>0.0</v>
      </c>
      <c r="F31" t="s">
        <v>2942</v>
      </c>
      <c r="G31" t="s">
        <v>2943</v>
      </c>
      <c r="H31" t="s">
        <v>2944</v>
      </c>
      <c r="I31" t="s">
        <v>520</v>
      </c>
    </row>
    <row r="32" customHeight="1" ht="14.0">
      <c r="A32" t="s">
        <v>858</v>
      </c>
      <c r="B32" s="153" t="s">
        <v>859</v>
      </c>
      <c r="C32">
        <v>0.0</v>
      </c>
      <c r="D32">
        <v>0.0</v>
      </c>
      <c r="F32" t="s">
        <v>2942</v>
      </c>
      <c r="G32" t="s">
        <v>2943</v>
      </c>
      <c r="H32" t="s">
        <v>2963</v>
      </c>
      <c r="I32" t="s">
        <v>2977</v>
      </c>
    </row>
    <row r="33" customHeight="1" ht="14.0">
      <c r="A33" t="s">
        <v>2978</v>
      </c>
      <c r="B33" s="153" t="s">
        <v>2979</v>
      </c>
      <c r="C33">
        <v>0.0</v>
      </c>
      <c r="D33">
        <v>0.0</v>
      </c>
      <c r="F33" t="s">
        <v>2942</v>
      </c>
      <c r="G33" t="s">
        <v>2943</v>
      </c>
      <c r="H33" t="s">
        <v>2944</v>
      </c>
      <c r="I33" t="s">
        <v>228</v>
      </c>
    </row>
    <row r="34" customHeight="1" ht="14.0">
      <c r="A34" t="s">
        <v>2980</v>
      </c>
      <c r="B34" s="153" t="s">
        <v>2981</v>
      </c>
      <c r="C34">
        <v>0.0</v>
      </c>
      <c r="D34">
        <v>0.0</v>
      </c>
      <c r="F34" t="s">
        <v>2942</v>
      </c>
      <c r="G34" t="s">
        <v>2943</v>
      </c>
      <c r="H34" t="s">
        <v>2944</v>
      </c>
      <c r="I34" t="s">
        <v>228</v>
      </c>
    </row>
    <row r="35" customHeight="1" ht="14.0">
      <c r="A35" t="s">
        <v>2982</v>
      </c>
      <c r="B35" s="153" t="s">
        <v>2983</v>
      </c>
      <c r="C35">
        <v>808.0</v>
      </c>
      <c r="D35">
        <v>429.02</v>
      </c>
      <c r="E35">
        <v>0.531</v>
      </c>
      <c r="F35" t="s">
        <v>2942</v>
      </c>
      <c r="G35" t="s">
        <v>2962</v>
      </c>
      <c r="H35" t="s">
        <v>2984</v>
      </c>
      <c r="I35" t="s">
        <v>2985</v>
      </c>
    </row>
    <row r="36" customHeight="1" ht="14.0">
      <c r="A36" t="s">
        <v>2986</v>
      </c>
      <c r="B36" s="153" t="s">
        <v>2987</v>
      </c>
      <c r="C36">
        <v>886.0</v>
      </c>
      <c r="D36">
        <v>470.38</v>
      </c>
      <c r="E36">
        <v>0.5309</v>
      </c>
      <c r="F36" t="s">
        <v>2942</v>
      </c>
      <c r="G36" t="s">
        <v>2962</v>
      </c>
      <c r="H36" t="s">
        <v>2984</v>
      </c>
      <c r="I36" t="s">
        <v>2985</v>
      </c>
    </row>
    <row r="37" customHeight="1" ht="14.0">
      <c r="A37" t="s">
        <v>2988</v>
      </c>
      <c r="B37" s="153">
        <v>91719.0</v>
      </c>
      <c r="C37">
        <v>0.0</v>
      </c>
      <c r="D37">
        <v>0.0</v>
      </c>
      <c r="F37" t="s">
        <v>2942</v>
      </c>
      <c r="G37" t="s">
        <v>2943</v>
      </c>
      <c r="H37" t="s">
        <v>2944</v>
      </c>
      <c r="I37" t="s">
        <v>520</v>
      </c>
    </row>
    <row r="38" customHeight="1" ht="14.0">
      <c r="A38" t="s">
        <v>2989</v>
      </c>
      <c r="B38" s="153">
        <v>91754.0</v>
      </c>
      <c r="C38">
        <v>0.0</v>
      </c>
      <c r="D38">
        <v>0.0</v>
      </c>
      <c r="F38" t="s">
        <v>2942</v>
      </c>
      <c r="G38" t="s">
        <v>2943</v>
      </c>
      <c r="H38" t="s">
        <v>2944</v>
      </c>
      <c r="I38" t="s">
        <v>520</v>
      </c>
    </row>
    <row r="39" customHeight="1" ht="14.0">
      <c r="A39" t="s">
        <v>2990</v>
      </c>
      <c r="B39" s="153">
        <v>91729.0</v>
      </c>
      <c r="C39">
        <v>0.0</v>
      </c>
      <c r="D39">
        <v>0.0</v>
      </c>
      <c r="F39" t="s">
        <v>2942</v>
      </c>
      <c r="G39" t="s">
        <v>2943</v>
      </c>
      <c r="H39" t="s">
        <v>2944</v>
      </c>
      <c r="I39" t="s">
        <v>520</v>
      </c>
    </row>
    <row r="40" customHeight="1" ht="14.0">
      <c r="A40" t="s">
        <v>2991</v>
      </c>
      <c r="B40" s="153">
        <v>91739.0</v>
      </c>
      <c r="C40">
        <v>0.0</v>
      </c>
      <c r="D40">
        <v>0.0</v>
      </c>
      <c r="F40" t="s">
        <v>2942</v>
      </c>
      <c r="G40" t="s">
        <v>2943</v>
      </c>
      <c r="H40" t="s">
        <v>2944</v>
      </c>
      <c r="I40" t="s">
        <v>520</v>
      </c>
    </row>
    <row r="41" customHeight="1" ht="14.0">
      <c r="A41" t="s">
        <v>2992</v>
      </c>
      <c r="B41" s="153">
        <v>91749.0</v>
      </c>
      <c r="C41">
        <v>0.0</v>
      </c>
      <c r="D41">
        <v>0.0</v>
      </c>
      <c r="F41" t="s">
        <v>2942</v>
      </c>
      <c r="G41" t="s">
        <v>2943</v>
      </c>
      <c r="H41" t="s">
        <v>2944</v>
      </c>
      <c r="I41" t="s">
        <v>520</v>
      </c>
    </row>
    <row r="42" customHeight="1" ht="14.0">
      <c r="A42" t="s">
        <v>2993</v>
      </c>
      <c r="B42" s="153">
        <v>91744.0</v>
      </c>
      <c r="C42">
        <v>0.0</v>
      </c>
      <c r="D42">
        <v>0.0</v>
      </c>
      <c r="F42" t="s">
        <v>2942</v>
      </c>
      <c r="G42" t="s">
        <v>2943</v>
      </c>
      <c r="H42" t="s">
        <v>2944</v>
      </c>
      <c r="I42" t="s">
        <v>520</v>
      </c>
    </row>
    <row r="43" customHeight="1" ht="14.0">
      <c r="A43" t="s">
        <v>860</v>
      </c>
      <c r="B43" s="153" t="s">
        <v>861</v>
      </c>
      <c r="C43">
        <v>0.0</v>
      </c>
      <c r="D43">
        <v>0.0</v>
      </c>
      <c r="F43" t="s">
        <v>2942</v>
      </c>
      <c r="G43" t="s">
        <v>2943</v>
      </c>
      <c r="H43" t="s">
        <v>2963</v>
      </c>
      <c r="I43" t="s">
        <v>83</v>
      </c>
    </row>
    <row r="44" customHeight="1" ht="14.0">
      <c r="A44" t="s">
        <v>862</v>
      </c>
      <c r="B44" s="153" t="s">
        <v>863</v>
      </c>
      <c r="C44">
        <v>0.0</v>
      </c>
      <c r="D44">
        <v>0.0</v>
      </c>
      <c r="F44" t="s">
        <v>2942</v>
      </c>
      <c r="G44" t="s">
        <v>2943</v>
      </c>
      <c r="H44" t="s">
        <v>2963</v>
      </c>
      <c r="I44" t="s">
        <v>83</v>
      </c>
    </row>
    <row r="45" customHeight="1" ht="14.0">
      <c r="A45" t="s">
        <v>864</v>
      </c>
      <c r="B45" s="153" t="s">
        <v>865</v>
      </c>
      <c r="C45">
        <v>0.0</v>
      </c>
      <c r="D45">
        <v>0.0</v>
      </c>
      <c r="F45" t="s">
        <v>2942</v>
      </c>
      <c r="G45" t="s">
        <v>2943</v>
      </c>
      <c r="H45" t="s">
        <v>2963</v>
      </c>
      <c r="I45" t="s">
        <v>83</v>
      </c>
    </row>
    <row r="46" customHeight="1" ht="14.0">
      <c r="A46" t="s">
        <v>866</v>
      </c>
      <c r="B46" s="153" t="s">
        <v>867</v>
      </c>
      <c r="C46">
        <v>0.0</v>
      </c>
      <c r="D46">
        <v>0.0</v>
      </c>
      <c r="F46" t="s">
        <v>2942</v>
      </c>
      <c r="G46" t="s">
        <v>2943</v>
      </c>
      <c r="H46" t="s">
        <v>2963</v>
      </c>
      <c r="I46" t="s">
        <v>83</v>
      </c>
    </row>
    <row r="47" customHeight="1" ht="14.0">
      <c r="A47" t="s">
        <v>868</v>
      </c>
      <c r="B47" s="153" t="s">
        <v>869</v>
      </c>
      <c r="C47">
        <v>0.0</v>
      </c>
      <c r="D47">
        <v>0.0</v>
      </c>
      <c r="F47" t="s">
        <v>2942</v>
      </c>
      <c r="G47" t="s">
        <v>2943</v>
      </c>
      <c r="H47" t="s">
        <v>2963</v>
      </c>
      <c r="I47" t="s">
        <v>83</v>
      </c>
    </row>
    <row r="48" customHeight="1" ht="14.0">
      <c r="A48" t="s">
        <v>870</v>
      </c>
      <c r="B48" s="153" t="s">
        <v>871</v>
      </c>
      <c r="C48">
        <v>0.0</v>
      </c>
      <c r="D48">
        <v>0.0</v>
      </c>
      <c r="F48" t="s">
        <v>2942</v>
      </c>
      <c r="G48" t="s">
        <v>2943</v>
      </c>
      <c r="H48" t="s">
        <v>2944</v>
      </c>
      <c r="I48" t="s">
        <v>83</v>
      </c>
    </row>
    <row r="49" customHeight="1" ht="14.0">
      <c r="A49" t="s">
        <v>872</v>
      </c>
      <c r="B49" s="153" t="s">
        <v>873</v>
      </c>
      <c r="C49">
        <v>0.0</v>
      </c>
      <c r="D49">
        <v>0.0</v>
      </c>
      <c r="F49" t="s">
        <v>2942</v>
      </c>
      <c r="G49" t="s">
        <v>2943</v>
      </c>
      <c r="H49" t="s">
        <v>2963</v>
      </c>
      <c r="I49" t="s">
        <v>83</v>
      </c>
    </row>
    <row r="50" customHeight="1" ht="14.0">
      <c r="A50" t="s">
        <v>874</v>
      </c>
      <c r="B50" s="153" t="s">
        <v>875</v>
      </c>
      <c r="C50">
        <v>0.0</v>
      </c>
      <c r="D50">
        <v>0.0</v>
      </c>
      <c r="F50" t="s">
        <v>2942</v>
      </c>
      <c r="G50" t="s">
        <v>2943</v>
      </c>
      <c r="H50" t="s">
        <v>2963</v>
      </c>
      <c r="I50" t="s">
        <v>83</v>
      </c>
    </row>
    <row r="51" customHeight="1" ht="14.0">
      <c r="A51" t="s">
        <v>876</v>
      </c>
      <c r="B51" s="153" t="s">
        <v>877</v>
      </c>
      <c r="C51">
        <v>0.0</v>
      </c>
      <c r="D51">
        <v>0.0</v>
      </c>
      <c r="F51" t="s">
        <v>2942</v>
      </c>
      <c r="G51" t="s">
        <v>2943</v>
      </c>
      <c r="H51" t="s">
        <v>2963</v>
      </c>
      <c r="I51" t="s">
        <v>83</v>
      </c>
    </row>
    <row r="52" customHeight="1" ht="14.0">
      <c r="A52" t="s">
        <v>878</v>
      </c>
      <c r="B52" s="153" t="s">
        <v>879</v>
      </c>
      <c r="C52">
        <v>0.0</v>
      </c>
      <c r="D52">
        <v>0.0</v>
      </c>
      <c r="F52" t="s">
        <v>2942</v>
      </c>
      <c r="G52" t="s">
        <v>2943</v>
      </c>
      <c r="H52" t="s">
        <v>2963</v>
      </c>
      <c r="I52" t="s">
        <v>83</v>
      </c>
    </row>
    <row r="53" customHeight="1" ht="14.0">
      <c r="A53" t="s">
        <v>880</v>
      </c>
      <c r="B53" s="153" t="s">
        <v>881</v>
      </c>
      <c r="C53">
        <v>0.0</v>
      </c>
      <c r="D53">
        <v>0.0</v>
      </c>
      <c r="F53" t="s">
        <v>2942</v>
      </c>
      <c r="G53" t="s">
        <v>2943</v>
      </c>
      <c r="H53" t="s">
        <v>2963</v>
      </c>
      <c r="I53" t="s">
        <v>83</v>
      </c>
    </row>
    <row r="54" customHeight="1" ht="14.0">
      <c r="A54" t="s">
        <v>882</v>
      </c>
      <c r="B54" s="153" t="s">
        <v>883</v>
      </c>
      <c r="C54">
        <v>0.0</v>
      </c>
      <c r="D54">
        <v>0.0</v>
      </c>
      <c r="F54" t="s">
        <v>2942</v>
      </c>
      <c r="G54" t="s">
        <v>2943</v>
      </c>
      <c r="H54" t="s">
        <v>2963</v>
      </c>
      <c r="I54" t="s">
        <v>83</v>
      </c>
    </row>
    <row r="55" customHeight="1" ht="14.0">
      <c r="A55" t="s">
        <v>136</v>
      </c>
      <c r="B55" s="153" t="s">
        <v>137</v>
      </c>
      <c r="C55">
        <v>3.0</v>
      </c>
      <c r="D55">
        <v>145.16</v>
      </c>
      <c r="E55">
        <v>48.3867</v>
      </c>
      <c r="F55" t="s">
        <v>2994</v>
      </c>
      <c r="G55" t="s">
        <v>2962</v>
      </c>
      <c r="H55" t="s">
        <v>30</v>
      </c>
      <c r="I55" t="s">
        <v>83</v>
      </c>
    </row>
    <row r="56" customHeight="1" ht="14.0">
      <c r="A56" t="s">
        <v>884</v>
      </c>
      <c r="B56" s="153" t="s">
        <v>885</v>
      </c>
      <c r="C56">
        <v>0.0</v>
      </c>
      <c r="D56">
        <v>0.0</v>
      </c>
      <c r="F56" t="s">
        <v>2994</v>
      </c>
      <c r="G56" t="s">
        <v>2943</v>
      </c>
      <c r="H56" t="s">
        <v>2963</v>
      </c>
      <c r="I56" t="s">
        <v>83</v>
      </c>
    </row>
    <row r="57" customHeight="1" ht="14.0">
      <c r="A57" t="s">
        <v>108</v>
      </c>
      <c r="B57" s="153" t="s">
        <v>109</v>
      </c>
      <c r="C57">
        <v>246.0</v>
      </c>
      <c r="D57">
        <v>86.05</v>
      </c>
      <c r="E57">
        <v>0.3498</v>
      </c>
      <c r="F57" t="s">
        <v>2942</v>
      </c>
      <c r="G57" t="s">
        <v>2962</v>
      </c>
      <c r="H57" t="s">
        <v>30</v>
      </c>
      <c r="I57" t="s">
        <v>83</v>
      </c>
    </row>
    <row r="58" customHeight="1" ht="14.0">
      <c r="A58" t="s">
        <v>886</v>
      </c>
      <c r="B58" s="153" t="s">
        <v>887</v>
      </c>
      <c r="C58">
        <v>0.0</v>
      </c>
      <c r="D58">
        <v>0.0</v>
      </c>
      <c r="F58" t="s">
        <v>2942</v>
      </c>
      <c r="G58" t="s">
        <v>2943</v>
      </c>
      <c r="H58" t="s">
        <v>2944</v>
      </c>
      <c r="I58" t="s">
        <v>83</v>
      </c>
    </row>
    <row r="59" customHeight="1" ht="14.0">
      <c r="A59" t="s">
        <v>888</v>
      </c>
      <c r="B59" s="153" t="s">
        <v>889</v>
      </c>
      <c r="C59">
        <v>0.0</v>
      </c>
      <c r="D59">
        <v>0.0</v>
      </c>
      <c r="F59" t="s">
        <v>2942</v>
      </c>
      <c r="G59" t="s">
        <v>2943</v>
      </c>
      <c r="H59" t="s">
        <v>2944</v>
      </c>
      <c r="I59" t="s">
        <v>83</v>
      </c>
    </row>
    <row r="60" customHeight="1" ht="14.0">
      <c r="A60" t="s">
        <v>92</v>
      </c>
      <c r="B60" s="153" t="s">
        <v>93</v>
      </c>
      <c r="C60">
        <v>444.0</v>
      </c>
      <c r="D60">
        <v>159.44</v>
      </c>
      <c r="E60">
        <v>0.3591</v>
      </c>
      <c r="F60" t="s">
        <v>2942</v>
      </c>
      <c r="G60" t="s">
        <v>2962</v>
      </c>
      <c r="H60" t="s">
        <v>30</v>
      </c>
      <c r="I60" t="s">
        <v>83</v>
      </c>
    </row>
    <row r="61" customHeight="1" ht="14.0">
      <c r="A61" t="s">
        <v>86</v>
      </c>
      <c r="B61" s="153" t="s">
        <v>87</v>
      </c>
      <c r="C61">
        <v>255.0</v>
      </c>
      <c r="D61">
        <v>89.2</v>
      </c>
      <c r="E61">
        <v>0.3498</v>
      </c>
      <c r="F61" t="s">
        <v>2942</v>
      </c>
      <c r="G61" t="s">
        <v>2962</v>
      </c>
      <c r="H61" t="s">
        <v>30</v>
      </c>
      <c r="I61" t="s">
        <v>83</v>
      </c>
    </row>
    <row r="62" customHeight="1" ht="14.0">
      <c r="A62" t="s">
        <v>126</v>
      </c>
      <c r="B62" s="153" t="s">
        <v>127</v>
      </c>
      <c r="C62">
        <v>875.0</v>
      </c>
      <c r="D62">
        <v>292.71</v>
      </c>
      <c r="E62">
        <v>0.3345</v>
      </c>
      <c r="F62" t="s">
        <v>2942</v>
      </c>
      <c r="G62" t="s">
        <v>2962</v>
      </c>
      <c r="H62" t="s">
        <v>30</v>
      </c>
      <c r="I62" t="s">
        <v>83</v>
      </c>
    </row>
    <row r="63" customHeight="1" ht="14.0">
      <c r="A63" t="s">
        <v>890</v>
      </c>
      <c r="B63" s="153" t="s">
        <v>891</v>
      </c>
      <c r="C63">
        <v>0.0</v>
      </c>
      <c r="D63">
        <v>0.0</v>
      </c>
      <c r="F63" t="s">
        <v>2942</v>
      </c>
      <c r="G63" t="s">
        <v>2943</v>
      </c>
      <c r="H63" t="s">
        <v>2944</v>
      </c>
      <c r="I63" t="s">
        <v>83</v>
      </c>
    </row>
    <row r="64" customHeight="1" ht="14.0">
      <c r="A64" t="s">
        <v>102</v>
      </c>
      <c r="B64" s="153" t="s">
        <v>103</v>
      </c>
      <c r="C64">
        <v>582.0</v>
      </c>
      <c r="D64">
        <v>203.65</v>
      </c>
      <c r="E64">
        <v>0.3499</v>
      </c>
      <c r="F64" t="s">
        <v>2942</v>
      </c>
      <c r="G64" t="s">
        <v>2962</v>
      </c>
      <c r="H64" t="s">
        <v>30</v>
      </c>
      <c r="I64" t="s">
        <v>83</v>
      </c>
    </row>
    <row r="65" customHeight="1" ht="14.0">
      <c r="A65" t="s">
        <v>116</v>
      </c>
      <c r="B65" s="153" t="s">
        <v>117</v>
      </c>
      <c r="C65">
        <v>597.0</v>
      </c>
      <c r="D65">
        <v>208.9</v>
      </c>
      <c r="E65">
        <v>0.3499</v>
      </c>
      <c r="F65" t="s">
        <v>2942</v>
      </c>
      <c r="G65" t="s">
        <v>2962</v>
      </c>
      <c r="H65" t="s">
        <v>30</v>
      </c>
      <c r="I65" t="s">
        <v>83</v>
      </c>
    </row>
    <row r="66" customHeight="1" ht="14.0">
      <c r="A66" t="s">
        <v>120</v>
      </c>
      <c r="B66" s="153" t="s">
        <v>121</v>
      </c>
      <c r="C66">
        <v>264.0</v>
      </c>
      <c r="D66">
        <v>94.88</v>
      </c>
      <c r="E66">
        <v>0.3594</v>
      </c>
      <c r="F66" t="s">
        <v>2942</v>
      </c>
      <c r="G66" t="s">
        <v>2962</v>
      </c>
      <c r="H66" t="s">
        <v>30</v>
      </c>
      <c r="I66" t="s">
        <v>83</v>
      </c>
    </row>
    <row r="67" customHeight="1" ht="14.0">
      <c r="A67" t="s">
        <v>892</v>
      </c>
      <c r="B67" s="153" t="s">
        <v>893</v>
      </c>
      <c r="C67">
        <v>0.0</v>
      </c>
      <c r="D67">
        <v>0.0</v>
      </c>
      <c r="F67" t="s">
        <v>2942</v>
      </c>
      <c r="G67" t="s">
        <v>2943</v>
      </c>
      <c r="H67" t="s">
        <v>2944</v>
      </c>
      <c r="I67" t="s">
        <v>83</v>
      </c>
    </row>
    <row r="68" customHeight="1" ht="14.0">
      <c r="A68" t="s">
        <v>112</v>
      </c>
      <c r="B68" s="153" t="s">
        <v>113</v>
      </c>
      <c r="C68">
        <v>570.0</v>
      </c>
      <c r="D68">
        <v>198.51</v>
      </c>
      <c r="E68">
        <v>0.3483</v>
      </c>
      <c r="F68" t="s">
        <v>2942</v>
      </c>
      <c r="G68" t="s">
        <v>2962</v>
      </c>
      <c r="H68" t="s">
        <v>30</v>
      </c>
      <c r="I68" t="s">
        <v>83</v>
      </c>
    </row>
    <row r="69" customHeight="1" ht="14.0">
      <c r="A69" t="s">
        <v>894</v>
      </c>
      <c r="B69" s="153" t="s">
        <v>895</v>
      </c>
      <c r="C69">
        <v>0.0</v>
      </c>
      <c r="D69">
        <v>0.0</v>
      </c>
      <c r="F69" t="s">
        <v>2942</v>
      </c>
      <c r="G69" t="s">
        <v>2943</v>
      </c>
      <c r="H69" t="s">
        <v>2944</v>
      </c>
      <c r="I69" t="s">
        <v>83</v>
      </c>
    </row>
    <row r="70" customHeight="1" ht="14.0">
      <c r="A70" t="s">
        <v>106</v>
      </c>
      <c r="B70" s="153" t="s">
        <v>107</v>
      </c>
      <c r="C70">
        <v>462.0</v>
      </c>
      <c r="D70">
        <v>165.88</v>
      </c>
      <c r="E70">
        <v>0.359</v>
      </c>
      <c r="F70" t="s">
        <v>2942</v>
      </c>
      <c r="G70" t="s">
        <v>2962</v>
      </c>
      <c r="H70" t="s">
        <v>30</v>
      </c>
      <c r="I70" t="s">
        <v>83</v>
      </c>
    </row>
    <row r="71" customHeight="1" ht="14.0">
      <c r="A71" t="s">
        <v>2995</v>
      </c>
      <c r="B71" s="153" t="s">
        <v>2996</v>
      </c>
      <c r="C71">
        <v>0.0</v>
      </c>
      <c r="D71">
        <v>0.0</v>
      </c>
      <c r="F71" t="s">
        <v>2942</v>
      </c>
      <c r="G71" t="s">
        <v>2943</v>
      </c>
      <c r="H71" t="s">
        <v>2944</v>
      </c>
      <c r="I71" t="s">
        <v>83</v>
      </c>
    </row>
    <row r="72" customHeight="1" ht="14.0">
      <c r="A72" t="s">
        <v>124</v>
      </c>
      <c r="B72" s="153" t="s">
        <v>125</v>
      </c>
      <c r="C72">
        <v>773.0</v>
      </c>
      <c r="D72">
        <v>258.56</v>
      </c>
      <c r="E72">
        <v>0.3345</v>
      </c>
      <c r="F72" t="s">
        <v>2942</v>
      </c>
      <c r="G72" t="s">
        <v>2962</v>
      </c>
      <c r="H72" t="s">
        <v>30</v>
      </c>
      <c r="I72" t="s">
        <v>83</v>
      </c>
    </row>
    <row r="73" customHeight="1" ht="14.0">
      <c r="A73" t="s">
        <v>84</v>
      </c>
      <c r="B73" s="153" t="s">
        <v>85</v>
      </c>
      <c r="C73">
        <v>660.0</v>
      </c>
      <c r="D73">
        <v>230.95</v>
      </c>
      <c r="E73">
        <v>0.3499</v>
      </c>
      <c r="F73" t="s">
        <v>2942</v>
      </c>
      <c r="G73" t="s">
        <v>2962</v>
      </c>
      <c r="H73" t="s">
        <v>30</v>
      </c>
      <c r="I73" t="s">
        <v>83</v>
      </c>
    </row>
    <row r="74" customHeight="1" ht="14.0">
      <c r="A74" t="s">
        <v>94</v>
      </c>
      <c r="B74" s="153" t="s">
        <v>95</v>
      </c>
      <c r="C74">
        <v>996.0</v>
      </c>
      <c r="D74">
        <v>333.24</v>
      </c>
      <c r="E74">
        <v>0.3346</v>
      </c>
      <c r="F74" t="s">
        <v>2942</v>
      </c>
      <c r="G74" t="s">
        <v>2962</v>
      </c>
      <c r="H74" t="s">
        <v>30</v>
      </c>
      <c r="I74" t="s">
        <v>83</v>
      </c>
    </row>
    <row r="75" customHeight="1" ht="14.0">
      <c r="A75" t="s">
        <v>896</v>
      </c>
      <c r="B75" s="153" t="s">
        <v>897</v>
      </c>
      <c r="C75">
        <v>0.0</v>
      </c>
      <c r="D75">
        <v>0.0</v>
      </c>
      <c r="F75" t="s">
        <v>2942</v>
      </c>
      <c r="G75" t="s">
        <v>2943</v>
      </c>
      <c r="H75" t="s">
        <v>2944</v>
      </c>
      <c r="I75" t="s">
        <v>83</v>
      </c>
    </row>
    <row r="76" customHeight="1" ht="14.0">
      <c r="A76" t="s">
        <v>90</v>
      </c>
      <c r="B76" s="153" t="s">
        <v>91</v>
      </c>
      <c r="C76">
        <v>636.0</v>
      </c>
      <c r="D76">
        <v>212.74</v>
      </c>
      <c r="E76">
        <v>0.3345</v>
      </c>
      <c r="F76" t="s">
        <v>2942</v>
      </c>
      <c r="G76" t="s">
        <v>2962</v>
      </c>
      <c r="H76" t="s">
        <v>30</v>
      </c>
      <c r="I76" t="s">
        <v>83</v>
      </c>
    </row>
    <row r="77" customHeight="1" ht="14.0">
      <c r="A77" t="s">
        <v>898</v>
      </c>
      <c r="B77" s="153" t="s">
        <v>899</v>
      </c>
      <c r="C77">
        <v>0.0</v>
      </c>
      <c r="D77">
        <v>0.0</v>
      </c>
      <c r="F77" t="s">
        <v>2942</v>
      </c>
      <c r="G77" t="s">
        <v>2943</v>
      </c>
      <c r="H77" t="s">
        <v>2944</v>
      </c>
      <c r="I77" t="s">
        <v>83</v>
      </c>
    </row>
    <row r="78" customHeight="1" ht="14.0">
      <c r="A78" t="s">
        <v>2997</v>
      </c>
      <c r="B78" s="153" t="s">
        <v>2998</v>
      </c>
      <c r="C78">
        <v>0.0</v>
      </c>
      <c r="D78">
        <v>0.0</v>
      </c>
      <c r="F78" t="s">
        <v>2942</v>
      </c>
      <c r="G78" t="s">
        <v>2962</v>
      </c>
      <c r="H78" t="s">
        <v>2944</v>
      </c>
      <c r="I78" t="s">
        <v>83</v>
      </c>
    </row>
    <row r="79" customHeight="1" ht="14.0">
      <c r="A79" t="s">
        <v>134</v>
      </c>
      <c r="B79" s="153" t="s">
        <v>135</v>
      </c>
      <c r="C79">
        <v>0.0</v>
      </c>
      <c r="D79">
        <v>0.0</v>
      </c>
      <c r="F79" t="s">
        <v>2942</v>
      </c>
      <c r="G79" t="s">
        <v>2962</v>
      </c>
      <c r="H79" t="s">
        <v>30</v>
      </c>
      <c r="I79" t="s">
        <v>83</v>
      </c>
    </row>
    <row r="80" customHeight="1" ht="14.0">
      <c r="A80" t="s">
        <v>100</v>
      </c>
      <c r="B80" s="153" t="s">
        <v>101</v>
      </c>
      <c r="C80">
        <v>0.0</v>
      </c>
      <c r="D80">
        <v>0.0</v>
      </c>
      <c r="F80" t="s">
        <v>2942</v>
      </c>
      <c r="G80" t="s">
        <v>2962</v>
      </c>
      <c r="H80" t="s">
        <v>30</v>
      </c>
      <c r="I80" t="s">
        <v>83</v>
      </c>
    </row>
    <row r="81" customHeight="1" ht="14.0">
      <c r="A81" t="s">
        <v>96</v>
      </c>
      <c r="B81" s="153" t="s">
        <v>97</v>
      </c>
      <c r="C81">
        <v>201.0</v>
      </c>
      <c r="D81">
        <v>72.35</v>
      </c>
      <c r="E81">
        <v>0.36</v>
      </c>
      <c r="F81" t="s">
        <v>2942</v>
      </c>
      <c r="G81" t="s">
        <v>2962</v>
      </c>
      <c r="H81" t="s">
        <v>30</v>
      </c>
      <c r="I81" t="s">
        <v>83</v>
      </c>
    </row>
    <row r="82" customHeight="1" ht="14.0">
      <c r="A82" t="s">
        <v>130</v>
      </c>
      <c r="B82" s="153" t="s">
        <v>131</v>
      </c>
      <c r="C82">
        <v>70.0</v>
      </c>
      <c r="D82">
        <v>24.3</v>
      </c>
      <c r="E82">
        <v>0.3471</v>
      </c>
      <c r="F82" t="s">
        <v>2942</v>
      </c>
      <c r="G82" t="s">
        <v>2962</v>
      </c>
      <c r="H82" t="s">
        <v>30</v>
      </c>
      <c r="I82" t="s">
        <v>83</v>
      </c>
    </row>
    <row r="83" customHeight="1" ht="14.0">
      <c r="A83" t="s">
        <v>900</v>
      </c>
      <c r="B83" s="153" t="s">
        <v>901</v>
      </c>
      <c r="C83">
        <v>0.0</v>
      </c>
      <c r="D83">
        <v>0.0</v>
      </c>
      <c r="F83" t="s">
        <v>2942</v>
      </c>
      <c r="G83" t="s">
        <v>2943</v>
      </c>
      <c r="H83" t="s">
        <v>2963</v>
      </c>
      <c r="I83" t="s">
        <v>83</v>
      </c>
    </row>
    <row r="84" customHeight="1" ht="14.0">
      <c r="A84" t="s">
        <v>98</v>
      </c>
      <c r="B84" s="153" t="s">
        <v>99</v>
      </c>
      <c r="C84">
        <v>821.0</v>
      </c>
      <c r="D84">
        <v>274.63</v>
      </c>
      <c r="E84">
        <v>0.3345</v>
      </c>
      <c r="F84" t="s">
        <v>2942</v>
      </c>
      <c r="G84" t="s">
        <v>2962</v>
      </c>
      <c r="H84" t="s">
        <v>30</v>
      </c>
      <c r="I84" t="s">
        <v>83</v>
      </c>
    </row>
    <row r="85" customHeight="1" ht="14.0">
      <c r="A85" t="s">
        <v>104</v>
      </c>
      <c r="B85" s="153" t="s">
        <v>105</v>
      </c>
      <c r="C85">
        <v>12.0</v>
      </c>
      <c r="D85">
        <v>4.31</v>
      </c>
      <c r="E85">
        <v>0.3592</v>
      </c>
      <c r="F85" t="s">
        <v>2942</v>
      </c>
      <c r="G85" t="s">
        <v>2962</v>
      </c>
      <c r="H85" t="s">
        <v>30</v>
      </c>
      <c r="I85" t="s">
        <v>83</v>
      </c>
    </row>
    <row r="86" customHeight="1" ht="14.0">
      <c r="A86" t="s">
        <v>88</v>
      </c>
      <c r="B86" s="153" t="s">
        <v>89</v>
      </c>
      <c r="C86">
        <v>666.0</v>
      </c>
      <c r="D86">
        <v>233.05</v>
      </c>
      <c r="E86">
        <v>0.3499</v>
      </c>
      <c r="F86" t="s">
        <v>2942</v>
      </c>
      <c r="G86" t="s">
        <v>2962</v>
      </c>
      <c r="H86" t="s">
        <v>30</v>
      </c>
      <c r="I86" t="s">
        <v>83</v>
      </c>
    </row>
    <row r="87" customHeight="1" ht="14.0">
      <c r="A87" t="s">
        <v>110</v>
      </c>
      <c r="B87" s="153" t="s">
        <v>111</v>
      </c>
      <c r="C87">
        <v>809.0</v>
      </c>
      <c r="D87">
        <v>270.62</v>
      </c>
      <c r="E87">
        <v>0.3345</v>
      </c>
      <c r="F87" t="s">
        <v>2942</v>
      </c>
      <c r="G87" t="s">
        <v>2962</v>
      </c>
      <c r="H87" t="s">
        <v>30</v>
      </c>
      <c r="I87" t="s">
        <v>83</v>
      </c>
    </row>
    <row r="88" customHeight="1" ht="14.0">
      <c r="A88" t="s">
        <v>132</v>
      </c>
      <c r="B88" s="153" t="s">
        <v>133</v>
      </c>
      <c r="C88">
        <v>648.0</v>
      </c>
      <c r="D88">
        <v>216.7</v>
      </c>
      <c r="E88">
        <v>0.3344</v>
      </c>
      <c r="F88" t="s">
        <v>2942</v>
      </c>
      <c r="G88" t="s">
        <v>2962</v>
      </c>
      <c r="H88" t="s">
        <v>30</v>
      </c>
      <c r="I88" t="s">
        <v>83</v>
      </c>
    </row>
    <row r="89" customHeight="1" ht="14.0">
      <c r="A89" t="s">
        <v>902</v>
      </c>
      <c r="B89" s="153" t="s">
        <v>903</v>
      </c>
      <c r="C89">
        <v>0.0</v>
      </c>
      <c r="D89">
        <v>0.0</v>
      </c>
      <c r="F89" t="s">
        <v>2942</v>
      </c>
      <c r="G89" t="s">
        <v>2943</v>
      </c>
      <c r="H89" t="s">
        <v>2963</v>
      </c>
      <c r="I89" t="s">
        <v>83</v>
      </c>
    </row>
    <row r="90" customHeight="1" ht="14.0">
      <c r="A90" t="s">
        <v>904</v>
      </c>
      <c r="B90" s="153" t="s">
        <v>905</v>
      </c>
      <c r="C90">
        <v>0.0</v>
      </c>
      <c r="D90">
        <v>0.0</v>
      </c>
      <c r="F90" t="s">
        <v>2942</v>
      </c>
      <c r="G90" t="s">
        <v>2943</v>
      </c>
      <c r="H90" t="s">
        <v>2963</v>
      </c>
      <c r="I90" t="s">
        <v>83</v>
      </c>
    </row>
    <row r="91" customHeight="1" ht="14.0">
      <c r="A91" t="s">
        <v>907</v>
      </c>
      <c r="B91" s="153" t="s">
        <v>908</v>
      </c>
      <c r="C91">
        <v>0.0</v>
      </c>
      <c r="D91">
        <v>0.0</v>
      </c>
      <c r="F91" t="s">
        <v>2942</v>
      </c>
      <c r="G91" t="s">
        <v>2962</v>
      </c>
      <c r="H91" t="s">
        <v>2963</v>
      </c>
      <c r="I91" t="s">
        <v>83</v>
      </c>
    </row>
    <row r="92" customHeight="1" ht="14.0">
      <c r="A92" t="s">
        <v>118</v>
      </c>
      <c r="B92" s="153" t="s">
        <v>119</v>
      </c>
      <c r="C92">
        <v>461.0</v>
      </c>
      <c r="D92">
        <v>161.31</v>
      </c>
      <c r="E92">
        <v>0.3499</v>
      </c>
      <c r="F92" t="s">
        <v>2942</v>
      </c>
      <c r="G92" t="s">
        <v>2962</v>
      </c>
      <c r="H92" t="s">
        <v>30</v>
      </c>
      <c r="I92" t="s">
        <v>83</v>
      </c>
    </row>
    <row r="93" customHeight="1" ht="14.0">
      <c r="A93" t="s">
        <v>114</v>
      </c>
      <c r="B93" s="153" t="s">
        <v>115</v>
      </c>
      <c r="C93">
        <v>186.0</v>
      </c>
      <c r="D93">
        <v>67.01</v>
      </c>
      <c r="E93">
        <v>0.3603</v>
      </c>
      <c r="F93" t="s">
        <v>2942</v>
      </c>
      <c r="G93" t="s">
        <v>2962</v>
      </c>
      <c r="H93" t="s">
        <v>30</v>
      </c>
      <c r="I93" t="s">
        <v>83</v>
      </c>
    </row>
    <row r="94" customHeight="1" ht="14.0">
      <c r="A94" t="s">
        <v>128</v>
      </c>
      <c r="B94" s="153" t="s">
        <v>129</v>
      </c>
      <c r="C94">
        <v>90.0</v>
      </c>
      <c r="D94">
        <v>30.19</v>
      </c>
      <c r="E94">
        <v>0.3354</v>
      </c>
      <c r="F94" t="s">
        <v>2942</v>
      </c>
      <c r="G94" t="s">
        <v>2962</v>
      </c>
      <c r="H94" t="s">
        <v>30</v>
      </c>
      <c r="I94" t="s">
        <v>83</v>
      </c>
    </row>
    <row r="95" customHeight="1" ht="14.0">
      <c r="A95" t="s">
        <v>122</v>
      </c>
      <c r="B95" s="153" t="s">
        <v>123</v>
      </c>
      <c r="C95">
        <v>120.0</v>
      </c>
      <c r="D95">
        <v>39.51</v>
      </c>
      <c r="E95">
        <v>0.3293</v>
      </c>
      <c r="F95" t="s">
        <v>2942</v>
      </c>
      <c r="G95" t="s">
        <v>2962</v>
      </c>
      <c r="H95" t="s">
        <v>30</v>
      </c>
      <c r="I95" t="s">
        <v>83</v>
      </c>
    </row>
    <row r="96" customHeight="1" ht="14.0">
      <c r="A96" t="s">
        <v>2999</v>
      </c>
      <c r="B96" s="153" t="s">
        <v>3000</v>
      </c>
      <c r="C96">
        <v>0.0</v>
      </c>
      <c r="D96">
        <v>0.0</v>
      </c>
      <c r="F96" t="s">
        <v>2942</v>
      </c>
      <c r="G96" t="s">
        <v>2943</v>
      </c>
      <c r="H96" t="s">
        <v>2944</v>
      </c>
      <c r="I96" t="s">
        <v>228</v>
      </c>
    </row>
    <row r="97" customHeight="1" ht="14.0">
      <c r="A97" t="s">
        <v>3001</v>
      </c>
      <c r="B97" s="153" t="s">
        <v>3002</v>
      </c>
      <c r="C97">
        <v>0.0</v>
      </c>
      <c r="D97">
        <v>0.0</v>
      </c>
      <c r="F97" t="s">
        <v>2942</v>
      </c>
      <c r="G97" t="s">
        <v>2943</v>
      </c>
      <c r="H97" t="s">
        <v>2944</v>
      </c>
      <c r="I97" t="s">
        <v>2977</v>
      </c>
    </row>
    <row r="98" customHeight="1" ht="14.0">
      <c r="A98" t="s">
        <v>3003</v>
      </c>
      <c r="B98" s="153" t="s">
        <v>3004</v>
      </c>
      <c r="C98">
        <v>0.0</v>
      </c>
      <c r="D98">
        <v>0.0</v>
      </c>
      <c r="F98" t="s">
        <v>2942</v>
      </c>
      <c r="G98" t="s">
        <v>2943</v>
      </c>
      <c r="H98" t="s">
        <v>2944</v>
      </c>
      <c r="I98" t="s">
        <v>2977</v>
      </c>
    </row>
    <row r="99" customHeight="1" ht="14.0">
      <c r="A99" t="s">
        <v>911</v>
      </c>
      <c r="B99" s="153" t="s">
        <v>912</v>
      </c>
      <c r="C99">
        <v>185.0</v>
      </c>
      <c r="D99">
        <v>917.04</v>
      </c>
      <c r="E99">
        <v>4.957</v>
      </c>
      <c r="F99" t="s">
        <v>2942</v>
      </c>
      <c r="G99" t="s">
        <v>2962</v>
      </c>
      <c r="H99" t="s">
        <v>3005</v>
      </c>
      <c r="I99" t="s">
        <v>3006</v>
      </c>
    </row>
    <row r="100" customHeight="1" ht="14.0">
      <c r="A100" t="s">
        <v>913</v>
      </c>
      <c r="B100" s="153" t="s">
        <v>914</v>
      </c>
      <c r="C100">
        <v>0.0</v>
      </c>
      <c r="D100">
        <v>0.0</v>
      </c>
      <c r="F100" t="s">
        <v>2942</v>
      </c>
      <c r="G100" t="s">
        <v>2943</v>
      </c>
      <c r="H100" t="s">
        <v>2944</v>
      </c>
      <c r="I100" t="s">
        <v>2977</v>
      </c>
    </row>
    <row r="101" customHeight="1" ht="14.0">
      <c r="A101" t="s">
        <v>456</v>
      </c>
      <c r="B101" s="153" t="s">
        <v>457</v>
      </c>
      <c r="C101">
        <v>1.0</v>
      </c>
      <c r="D101">
        <v>32.21</v>
      </c>
      <c r="E101">
        <v>32.21</v>
      </c>
      <c r="F101" t="s">
        <v>2942</v>
      </c>
      <c r="G101" t="s">
        <v>2962</v>
      </c>
      <c r="H101" t="s">
        <v>30</v>
      </c>
      <c r="I101" t="s">
        <v>453</v>
      </c>
    </row>
    <row r="102" customHeight="1" ht="14.0">
      <c r="A102" t="s">
        <v>3007</v>
      </c>
      <c r="B102" s="153" t="s">
        <v>3008</v>
      </c>
      <c r="C102">
        <v>3.0</v>
      </c>
      <c r="D102">
        <v>365.29</v>
      </c>
      <c r="E102">
        <v>121.7633</v>
      </c>
      <c r="F102" t="s">
        <v>2942</v>
      </c>
      <c r="G102" t="s">
        <v>2962</v>
      </c>
      <c r="H102" t="s">
        <v>30</v>
      </c>
      <c r="I102" t="s">
        <v>453</v>
      </c>
    </row>
    <row r="103" customHeight="1" ht="14.0">
      <c r="A103" t="s">
        <v>454</v>
      </c>
      <c r="B103" s="153" t="s">
        <v>455</v>
      </c>
      <c r="C103">
        <v>1.0</v>
      </c>
      <c r="D103">
        <v>66.97</v>
      </c>
      <c r="E103">
        <v>66.97</v>
      </c>
      <c r="F103" t="s">
        <v>2942</v>
      </c>
      <c r="G103" t="s">
        <v>2962</v>
      </c>
      <c r="H103" t="s">
        <v>30</v>
      </c>
      <c r="I103" t="s">
        <v>453</v>
      </c>
    </row>
    <row r="104" customHeight="1" ht="14.0">
      <c r="A104" t="s">
        <v>3009</v>
      </c>
      <c r="B104" s="153" t="s">
        <v>916</v>
      </c>
      <c r="C104">
        <v>5.0</v>
      </c>
      <c r="D104">
        <v>66.47</v>
      </c>
      <c r="E104">
        <v>13.294</v>
      </c>
      <c r="F104" t="s">
        <v>2942</v>
      </c>
      <c r="G104" t="s">
        <v>2962</v>
      </c>
      <c r="I104" t="s">
        <v>197</v>
      </c>
    </row>
    <row r="105" customHeight="1" ht="14.0">
      <c r="A105" t="s">
        <v>3010</v>
      </c>
      <c r="B105" s="153" t="s">
        <v>3011</v>
      </c>
      <c r="C105">
        <v>0.0</v>
      </c>
      <c r="D105">
        <v>0.0</v>
      </c>
      <c r="F105" t="s">
        <v>2942</v>
      </c>
      <c r="G105" t="s">
        <v>2943</v>
      </c>
      <c r="H105" t="s">
        <v>2944</v>
      </c>
      <c r="I105" t="s">
        <v>3012</v>
      </c>
    </row>
    <row r="106" customHeight="1" ht="14.0">
      <c r="A106" t="s">
        <v>3013</v>
      </c>
      <c r="B106" s="153" t="s">
        <v>3014</v>
      </c>
      <c r="C106">
        <v>0.0</v>
      </c>
      <c r="D106">
        <v>0.0</v>
      </c>
      <c r="F106" t="s">
        <v>2942</v>
      </c>
      <c r="G106" t="s">
        <v>2943</v>
      </c>
      <c r="H106" t="s">
        <v>2944</v>
      </c>
      <c r="I106" t="s">
        <v>3012</v>
      </c>
    </row>
    <row r="107" customHeight="1" ht="14.0">
      <c r="A107" t="s">
        <v>3015</v>
      </c>
      <c r="B107" s="153" t="s">
        <v>3016</v>
      </c>
      <c r="C107">
        <v>0.0</v>
      </c>
      <c r="D107">
        <v>0.0</v>
      </c>
      <c r="F107" t="s">
        <v>2942</v>
      </c>
      <c r="G107" t="s">
        <v>2943</v>
      </c>
      <c r="H107" t="s">
        <v>2944</v>
      </c>
      <c r="I107" t="s">
        <v>3012</v>
      </c>
    </row>
    <row r="108" customHeight="1" ht="14.0">
      <c r="A108" t="s">
        <v>3017</v>
      </c>
      <c r="B108" s="153" t="s">
        <v>3018</v>
      </c>
      <c r="C108">
        <v>0.0</v>
      </c>
      <c r="D108">
        <v>0.0</v>
      </c>
      <c r="F108" t="s">
        <v>2942</v>
      </c>
      <c r="G108" t="s">
        <v>2943</v>
      </c>
      <c r="H108" t="s">
        <v>2944</v>
      </c>
      <c r="I108" t="s">
        <v>3012</v>
      </c>
    </row>
    <row r="109" customHeight="1" ht="14.0">
      <c r="A109" t="s">
        <v>3019</v>
      </c>
      <c r="B109" s="153" t="s">
        <v>3020</v>
      </c>
      <c r="C109">
        <v>0.0</v>
      </c>
      <c r="D109">
        <v>0.0</v>
      </c>
      <c r="F109" t="s">
        <v>2942</v>
      </c>
      <c r="G109" t="s">
        <v>2943</v>
      </c>
      <c r="H109" t="s">
        <v>2944</v>
      </c>
      <c r="I109" t="s">
        <v>3021</v>
      </c>
    </row>
    <row r="110" customHeight="1" ht="14.0">
      <c r="A110" t="s">
        <v>3022</v>
      </c>
      <c r="B110" s="153" t="s">
        <v>3023</v>
      </c>
      <c r="C110">
        <v>0.0</v>
      </c>
      <c r="D110">
        <v>0.0</v>
      </c>
      <c r="F110" t="s">
        <v>2942</v>
      </c>
      <c r="G110" t="s">
        <v>2943</v>
      </c>
      <c r="H110" t="s">
        <v>2944</v>
      </c>
      <c r="I110" t="s">
        <v>3024</v>
      </c>
    </row>
    <row r="111" customHeight="1" ht="14.0">
      <c r="A111" t="s">
        <v>3025</v>
      </c>
      <c r="B111" s="153" t="s">
        <v>3026</v>
      </c>
      <c r="C111">
        <v>0.0</v>
      </c>
      <c r="D111">
        <v>0.0</v>
      </c>
      <c r="F111" t="s">
        <v>2942</v>
      </c>
      <c r="G111" t="s">
        <v>2943</v>
      </c>
      <c r="H111" t="s">
        <v>2944</v>
      </c>
      <c r="I111" t="s">
        <v>453</v>
      </c>
    </row>
    <row r="112" customHeight="1" ht="14.0">
      <c r="A112" t="s">
        <v>3027</v>
      </c>
      <c r="B112" s="153" t="s">
        <v>3028</v>
      </c>
      <c r="C112">
        <v>0.0</v>
      </c>
      <c r="D112">
        <v>0.0</v>
      </c>
      <c r="F112" t="s">
        <v>2942</v>
      </c>
      <c r="G112" t="s">
        <v>2943</v>
      </c>
      <c r="H112" t="s">
        <v>2944</v>
      </c>
      <c r="I112" t="s">
        <v>453</v>
      </c>
    </row>
    <row r="113" customHeight="1" ht="14.0">
      <c r="A113" t="s">
        <v>3029</v>
      </c>
      <c r="B113" s="153" t="s">
        <v>3030</v>
      </c>
      <c r="C113">
        <v>0.0</v>
      </c>
      <c r="D113">
        <v>0.0</v>
      </c>
      <c r="F113" t="s">
        <v>2942</v>
      </c>
      <c r="G113" t="s">
        <v>2943</v>
      </c>
      <c r="H113" t="s">
        <v>2944</v>
      </c>
      <c r="I113" t="s">
        <v>453</v>
      </c>
    </row>
    <row r="114" customHeight="1" ht="14.0">
      <c r="A114" t="s">
        <v>3031</v>
      </c>
      <c r="B114" s="153" t="s">
        <v>3032</v>
      </c>
      <c r="C114">
        <v>0.0</v>
      </c>
      <c r="D114">
        <v>0.0</v>
      </c>
      <c r="F114" t="s">
        <v>2942</v>
      </c>
      <c r="G114" t="s">
        <v>2943</v>
      </c>
      <c r="H114" t="s">
        <v>2944</v>
      </c>
      <c r="I114" t="s">
        <v>453</v>
      </c>
    </row>
    <row r="115" customHeight="1" ht="14.0">
      <c r="A115" t="s">
        <v>3033</v>
      </c>
      <c r="B115" s="153" t="s">
        <v>3034</v>
      </c>
      <c r="C115">
        <v>0.0</v>
      </c>
      <c r="D115">
        <v>0.0</v>
      </c>
      <c r="F115" t="s">
        <v>2942</v>
      </c>
      <c r="G115" t="s">
        <v>2943</v>
      </c>
      <c r="H115" t="s">
        <v>2944</v>
      </c>
      <c r="I115" t="s">
        <v>453</v>
      </c>
    </row>
    <row r="116" customHeight="1" ht="14.0">
      <c r="A116" t="s">
        <v>3035</v>
      </c>
      <c r="B116" s="153" t="s">
        <v>3036</v>
      </c>
      <c r="C116">
        <v>0.0</v>
      </c>
      <c r="D116">
        <v>0.0</v>
      </c>
      <c r="F116" t="s">
        <v>2942</v>
      </c>
      <c r="G116" t="s">
        <v>2943</v>
      </c>
      <c r="H116" t="s">
        <v>2944</v>
      </c>
      <c r="I116" t="s">
        <v>453</v>
      </c>
    </row>
    <row r="117" customHeight="1" ht="14.0">
      <c r="A117" t="s">
        <v>3037</v>
      </c>
      <c r="B117" s="153" t="s">
        <v>3038</v>
      </c>
      <c r="C117">
        <v>0.0</v>
      </c>
      <c r="D117">
        <v>0.0</v>
      </c>
      <c r="F117" t="s">
        <v>2942</v>
      </c>
      <c r="G117" t="s">
        <v>2943</v>
      </c>
      <c r="H117" t="s">
        <v>2944</v>
      </c>
      <c r="I117" t="s">
        <v>453</v>
      </c>
    </row>
    <row r="118" customHeight="1" ht="14.0">
      <c r="A118" t="s">
        <v>486</v>
      </c>
      <c r="B118" s="153" t="s">
        <v>487</v>
      </c>
      <c r="C118">
        <v>3.0</v>
      </c>
      <c r="D118">
        <v>185.76</v>
      </c>
      <c r="E118">
        <v>61.92</v>
      </c>
      <c r="F118" t="s">
        <v>2942</v>
      </c>
      <c r="G118" t="s">
        <v>2962</v>
      </c>
      <c r="H118" t="s">
        <v>30</v>
      </c>
      <c r="I118" t="s">
        <v>453</v>
      </c>
    </row>
    <row r="119" customHeight="1" ht="14.0">
      <c r="A119" t="s">
        <v>3039</v>
      </c>
      <c r="B119" s="153" t="s">
        <v>3040</v>
      </c>
      <c r="C119">
        <v>18.0</v>
      </c>
      <c r="D119">
        <v>123.94</v>
      </c>
      <c r="E119">
        <v>6.8856</v>
      </c>
      <c r="F119" t="s">
        <v>2942</v>
      </c>
      <c r="G119" t="s">
        <v>2962</v>
      </c>
      <c r="I119" t="s">
        <v>197</v>
      </c>
    </row>
    <row r="120" customHeight="1" ht="14.0">
      <c r="A120" t="s">
        <v>3041</v>
      </c>
      <c r="B120" s="153" t="s">
        <v>3042</v>
      </c>
      <c r="C120">
        <v>0.0</v>
      </c>
      <c r="D120">
        <v>0.0</v>
      </c>
      <c r="F120" t="s">
        <v>2942</v>
      </c>
      <c r="G120" t="s">
        <v>2943</v>
      </c>
      <c r="H120" t="s">
        <v>2944</v>
      </c>
      <c r="I120" t="s">
        <v>3012</v>
      </c>
    </row>
    <row r="121" customHeight="1" ht="14.0">
      <c r="A121" t="s">
        <v>3043</v>
      </c>
      <c r="B121" s="153" t="s">
        <v>3044</v>
      </c>
      <c r="C121">
        <v>0.0</v>
      </c>
      <c r="D121">
        <v>0.0</v>
      </c>
      <c r="F121" t="s">
        <v>2942</v>
      </c>
      <c r="G121" t="s">
        <v>2943</v>
      </c>
      <c r="H121" t="s">
        <v>2944</v>
      </c>
      <c r="I121" t="s">
        <v>3012</v>
      </c>
    </row>
    <row r="122" customHeight="1" ht="14.0">
      <c r="A122" t="s">
        <v>3045</v>
      </c>
      <c r="B122" s="153" t="s">
        <v>3046</v>
      </c>
      <c r="C122">
        <v>0.0</v>
      </c>
      <c r="D122">
        <v>0.0</v>
      </c>
      <c r="F122" t="s">
        <v>2942</v>
      </c>
      <c r="G122" t="s">
        <v>2943</v>
      </c>
      <c r="H122" t="s">
        <v>2944</v>
      </c>
      <c r="I122" t="s">
        <v>3012</v>
      </c>
    </row>
    <row r="123" customHeight="1" ht="14.0">
      <c r="A123" t="s">
        <v>3047</v>
      </c>
      <c r="B123" s="153" t="s">
        <v>3048</v>
      </c>
      <c r="C123">
        <v>0.0</v>
      </c>
      <c r="D123">
        <v>0.0</v>
      </c>
      <c r="F123" t="s">
        <v>2942</v>
      </c>
      <c r="G123" t="s">
        <v>2943</v>
      </c>
      <c r="H123" t="s">
        <v>2944</v>
      </c>
      <c r="I123" t="s">
        <v>3012</v>
      </c>
    </row>
    <row r="124" customHeight="1" ht="14.0">
      <c r="A124" t="s">
        <v>3049</v>
      </c>
      <c r="B124" s="153" t="s">
        <v>3050</v>
      </c>
      <c r="C124">
        <v>0.0</v>
      </c>
      <c r="D124">
        <v>0.0</v>
      </c>
      <c r="F124" t="s">
        <v>2942</v>
      </c>
      <c r="G124" t="s">
        <v>2943</v>
      </c>
      <c r="H124" t="s">
        <v>2944</v>
      </c>
      <c r="I124" t="s">
        <v>3012</v>
      </c>
    </row>
    <row r="125" customHeight="1" ht="14.0">
      <c r="A125" t="s">
        <v>3051</v>
      </c>
      <c r="B125" s="153" t="s">
        <v>3052</v>
      </c>
      <c r="C125">
        <v>0.0</v>
      </c>
      <c r="D125">
        <v>0.0</v>
      </c>
      <c r="F125" t="s">
        <v>2942</v>
      </c>
      <c r="G125" t="s">
        <v>2943</v>
      </c>
      <c r="H125" t="s">
        <v>2944</v>
      </c>
      <c r="I125" t="s">
        <v>3012</v>
      </c>
    </row>
    <row r="126" customHeight="1" ht="14.0">
      <c r="A126" t="s">
        <v>3053</v>
      </c>
      <c r="B126" s="153" t="s">
        <v>3054</v>
      </c>
      <c r="C126">
        <v>0.0</v>
      </c>
      <c r="D126">
        <v>0.0</v>
      </c>
      <c r="F126" t="s">
        <v>2942</v>
      </c>
      <c r="G126" t="s">
        <v>2943</v>
      </c>
      <c r="H126" t="s">
        <v>2944</v>
      </c>
      <c r="I126" t="s">
        <v>3012</v>
      </c>
    </row>
    <row r="127" customHeight="1" ht="14.0">
      <c r="A127" t="s">
        <v>3055</v>
      </c>
      <c r="B127" s="153" t="s">
        <v>3056</v>
      </c>
      <c r="C127">
        <v>0.0</v>
      </c>
      <c r="D127">
        <v>0.0</v>
      </c>
      <c r="F127" t="s">
        <v>2942</v>
      </c>
      <c r="G127" t="s">
        <v>2943</v>
      </c>
      <c r="H127" t="s">
        <v>2944</v>
      </c>
      <c r="I127" t="s">
        <v>3012</v>
      </c>
    </row>
    <row r="128" customHeight="1" ht="14.0">
      <c r="A128" t="s">
        <v>3057</v>
      </c>
      <c r="B128" s="153" t="s">
        <v>3058</v>
      </c>
      <c r="C128">
        <v>0.0</v>
      </c>
      <c r="D128">
        <v>0.0</v>
      </c>
      <c r="F128" t="s">
        <v>2942</v>
      </c>
      <c r="G128" t="s">
        <v>2943</v>
      </c>
      <c r="H128" t="s">
        <v>2944</v>
      </c>
      <c r="I128" t="s">
        <v>3059</v>
      </c>
    </row>
    <row r="129" customHeight="1" ht="14.0">
      <c r="A129" t="s">
        <v>3060</v>
      </c>
      <c r="B129" s="153" t="s">
        <v>3061</v>
      </c>
      <c r="C129">
        <v>0.0</v>
      </c>
      <c r="D129">
        <v>0.0</v>
      </c>
      <c r="F129" t="s">
        <v>2942</v>
      </c>
      <c r="G129" t="s">
        <v>2943</v>
      </c>
      <c r="H129" t="s">
        <v>2944</v>
      </c>
      <c r="I129" t="s">
        <v>3059</v>
      </c>
    </row>
    <row r="130" customHeight="1" ht="14.0">
      <c r="A130" t="s">
        <v>3062</v>
      </c>
      <c r="B130" s="153" t="s">
        <v>3063</v>
      </c>
      <c r="C130">
        <v>0.0</v>
      </c>
      <c r="D130">
        <v>0.0</v>
      </c>
      <c r="F130" t="s">
        <v>2942</v>
      </c>
      <c r="G130" t="s">
        <v>2943</v>
      </c>
      <c r="H130" t="s">
        <v>2944</v>
      </c>
      <c r="I130" t="s">
        <v>3024</v>
      </c>
    </row>
    <row r="131" customHeight="1" ht="14.0">
      <c r="A131" t="s">
        <v>3064</v>
      </c>
      <c r="B131" s="153" t="s">
        <v>3065</v>
      </c>
      <c r="C131">
        <v>0.0</v>
      </c>
      <c r="D131">
        <v>0.0</v>
      </c>
      <c r="F131" t="s">
        <v>2942</v>
      </c>
      <c r="G131" t="s">
        <v>2943</v>
      </c>
      <c r="H131" t="s">
        <v>2944</v>
      </c>
      <c r="I131" t="s">
        <v>3059</v>
      </c>
    </row>
    <row r="132" customHeight="1" ht="14.0">
      <c r="A132" t="s">
        <v>3066</v>
      </c>
      <c r="B132" s="153" t="s">
        <v>3067</v>
      </c>
      <c r="C132">
        <v>0.0</v>
      </c>
      <c r="D132">
        <v>0.0</v>
      </c>
      <c r="F132" t="s">
        <v>2942</v>
      </c>
      <c r="G132" t="s">
        <v>2943</v>
      </c>
      <c r="H132" t="s">
        <v>2944</v>
      </c>
      <c r="I132" t="s">
        <v>453</v>
      </c>
    </row>
    <row r="133" customHeight="1" ht="14.0">
      <c r="A133" t="s">
        <v>3068</v>
      </c>
      <c r="B133" s="153" t="s">
        <v>3069</v>
      </c>
      <c r="C133">
        <v>0.0</v>
      </c>
      <c r="D133">
        <v>0.0</v>
      </c>
      <c r="F133" t="s">
        <v>2942</v>
      </c>
      <c r="G133" t="s">
        <v>2943</v>
      </c>
      <c r="H133" t="s">
        <v>2944</v>
      </c>
      <c r="I133" t="s">
        <v>453</v>
      </c>
    </row>
    <row r="134" customHeight="1" ht="14.0">
      <c r="A134" t="s">
        <v>3070</v>
      </c>
      <c r="B134" s="153" t="s">
        <v>3071</v>
      </c>
      <c r="C134">
        <v>0.0</v>
      </c>
      <c r="D134">
        <v>0.0</v>
      </c>
      <c r="F134" t="s">
        <v>2942</v>
      </c>
      <c r="G134" t="s">
        <v>2943</v>
      </c>
      <c r="H134" t="s">
        <v>2944</v>
      </c>
      <c r="I134" t="s">
        <v>453</v>
      </c>
    </row>
    <row r="135" customHeight="1" ht="14.0">
      <c r="A135" t="s">
        <v>3072</v>
      </c>
      <c r="B135" s="153" t="s">
        <v>3073</v>
      </c>
      <c r="C135">
        <v>0.0</v>
      </c>
      <c r="D135">
        <v>0.0</v>
      </c>
      <c r="F135" t="s">
        <v>2942</v>
      </c>
      <c r="G135" t="s">
        <v>2943</v>
      </c>
      <c r="H135" t="s">
        <v>2944</v>
      </c>
      <c r="I135" t="s">
        <v>453</v>
      </c>
    </row>
    <row r="136" customHeight="1" ht="14.0">
      <c r="A136" t="s">
        <v>3074</v>
      </c>
      <c r="B136" s="153" t="s">
        <v>3075</v>
      </c>
      <c r="C136">
        <v>0.0</v>
      </c>
      <c r="D136">
        <v>0.0</v>
      </c>
      <c r="F136" t="s">
        <v>2942</v>
      </c>
      <c r="G136" t="s">
        <v>2943</v>
      </c>
      <c r="H136" t="s">
        <v>2944</v>
      </c>
      <c r="I136" t="s">
        <v>453</v>
      </c>
    </row>
    <row r="137" customHeight="1" ht="14.0">
      <c r="A137" t="s">
        <v>3076</v>
      </c>
      <c r="B137" s="153" t="s">
        <v>3077</v>
      </c>
      <c r="C137">
        <v>0.0</v>
      </c>
      <c r="D137">
        <v>0.0</v>
      </c>
      <c r="F137" t="s">
        <v>2942</v>
      </c>
      <c r="G137" t="s">
        <v>2943</v>
      </c>
      <c r="H137" t="s">
        <v>2944</v>
      </c>
      <c r="I137" t="s">
        <v>453</v>
      </c>
    </row>
    <row r="138" customHeight="1" ht="14.0">
      <c r="A138" t="s">
        <v>3078</v>
      </c>
      <c r="B138" s="153" t="s">
        <v>3079</v>
      </c>
      <c r="C138">
        <v>0.0</v>
      </c>
      <c r="D138">
        <v>0.0</v>
      </c>
      <c r="F138" t="s">
        <v>2942</v>
      </c>
      <c r="G138" t="s">
        <v>2943</v>
      </c>
      <c r="H138" t="s">
        <v>2944</v>
      </c>
      <c r="I138" t="s">
        <v>453</v>
      </c>
    </row>
    <row r="139" customHeight="1" ht="14.0">
      <c r="A139" t="s">
        <v>918</v>
      </c>
      <c r="B139" s="153" t="s">
        <v>919</v>
      </c>
      <c r="C139">
        <v>0.0</v>
      </c>
      <c r="D139">
        <v>0.0</v>
      </c>
      <c r="F139" t="s">
        <v>2942</v>
      </c>
      <c r="G139" t="s">
        <v>2943</v>
      </c>
      <c r="H139" t="s">
        <v>2944</v>
      </c>
      <c r="I139" t="s">
        <v>453</v>
      </c>
    </row>
    <row r="140" customHeight="1" ht="14.0">
      <c r="A140" t="s">
        <v>920</v>
      </c>
      <c r="B140" s="153" t="s">
        <v>921</v>
      </c>
      <c r="C140">
        <v>0.0</v>
      </c>
      <c r="D140">
        <v>0.0</v>
      </c>
      <c r="F140" t="s">
        <v>2942</v>
      </c>
      <c r="G140" t="s">
        <v>2943</v>
      </c>
      <c r="H140" t="s">
        <v>2944</v>
      </c>
      <c r="I140" t="s">
        <v>453</v>
      </c>
    </row>
    <row r="141" customHeight="1" ht="14.0">
      <c r="A141" t="s">
        <v>922</v>
      </c>
      <c r="B141" s="153" t="s">
        <v>923</v>
      </c>
      <c r="C141">
        <v>0.0</v>
      </c>
      <c r="D141">
        <v>0.0</v>
      </c>
      <c r="F141" t="s">
        <v>2942</v>
      </c>
      <c r="G141" t="s">
        <v>2943</v>
      </c>
      <c r="H141" t="s">
        <v>2944</v>
      </c>
      <c r="I141" t="s">
        <v>453</v>
      </c>
    </row>
    <row r="142" customHeight="1" ht="14.0">
      <c r="A142" t="s">
        <v>924</v>
      </c>
      <c r="B142" s="153" t="s">
        <v>925</v>
      </c>
      <c r="C142">
        <v>0.0</v>
      </c>
      <c r="D142">
        <v>0.0</v>
      </c>
      <c r="F142" t="s">
        <v>2942</v>
      </c>
      <c r="G142" t="s">
        <v>2943</v>
      </c>
      <c r="H142" t="s">
        <v>2944</v>
      </c>
      <c r="I142" t="s">
        <v>453</v>
      </c>
    </row>
    <row r="143" customHeight="1" ht="14.0">
      <c r="A143" t="s">
        <v>926</v>
      </c>
      <c r="B143" s="153" t="s">
        <v>927</v>
      </c>
      <c r="C143">
        <v>0.0</v>
      </c>
      <c r="D143">
        <v>0.0</v>
      </c>
      <c r="F143" t="s">
        <v>2942</v>
      </c>
      <c r="G143" t="s">
        <v>2943</v>
      </c>
      <c r="H143" t="s">
        <v>2944</v>
      </c>
      <c r="I143" t="s">
        <v>453</v>
      </c>
    </row>
    <row r="144" customHeight="1" ht="14.0">
      <c r="A144" t="s">
        <v>928</v>
      </c>
      <c r="B144" s="153" t="s">
        <v>929</v>
      </c>
      <c r="C144">
        <v>0.0</v>
      </c>
      <c r="D144">
        <v>0.0</v>
      </c>
      <c r="F144" t="s">
        <v>2942</v>
      </c>
      <c r="G144" t="s">
        <v>2943</v>
      </c>
      <c r="H144" t="s">
        <v>2944</v>
      </c>
      <c r="I144" t="s">
        <v>453</v>
      </c>
    </row>
    <row r="145" customHeight="1" ht="14.0">
      <c r="A145" t="s">
        <v>930</v>
      </c>
      <c r="B145" s="153" t="s">
        <v>931</v>
      </c>
      <c r="C145">
        <v>0.0</v>
      </c>
      <c r="D145">
        <v>0.0</v>
      </c>
      <c r="F145" t="s">
        <v>2942</v>
      </c>
      <c r="G145" t="s">
        <v>2943</v>
      </c>
      <c r="H145" t="s">
        <v>2944</v>
      </c>
      <c r="I145" t="s">
        <v>453</v>
      </c>
    </row>
    <row r="146" customHeight="1" ht="14.0">
      <c r="A146" t="s">
        <v>3080</v>
      </c>
      <c r="B146" s="153" t="s">
        <v>3081</v>
      </c>
      <c r="C146">
        <v>2.0</v>
      </c>
      <c r="D146">
        <v>71.88</v>
      </c>
      <c r="E146">
        <v>35.94</v>
      </c>
      <c r="F146" t="s">
        <v>2942</v>
      </c>
      <c r="G146" t="s">
        <v>2962</v>
      </c>
      <c r="H146" t="s">
        <v>2984</v>
      </c>
      <c r="I146" t="s">
        <v>453</v>
      </c>
    </row>
    <row r="147" customHeight="1" ht="14.0">
      <c r="A147" t="s">
        <v>3082</v>
      </c>
      <c r="B147" s="153" t="s">
        <v>3083</v>
      </c>
      <c r="C147">
        <v>0.0</v>
      </c>
      <c r="D147">
        <v>0.0</v>
      </c>
      <c r="F147" t="s">
        <v>2942</v>
      </c>
      <c r="G147" t="s">
        <v>2943</v>
      </c>
      <c r="H147" t="s">
        <v>2944</v>
      </c>
      <c r="I147" t="s">
        <v>3059</v>
      </c>
    </row>
    <row r="148" customHeight="1" ht="14.0">
      <c r="A148" t="s">
        <v>3084</v>
      </c>
      <c r="B148" s="153" t="s">
        <v>3085</v>
      </c>
      <c r="C148">
        <v>0.0</v>
      </c>
      <c r="D148">
        <v>0.0</v>
      </c>
      <c r="F148" t="s">
        <v>2942</v>
      </c>
      <c r="G148" t="s">
        <v>2943</v>
      </c>
      <c r="H148" t="s">
        <v>2944</v>
      </c>
      <c r="I148" t="s">
        <v>3059</v>
      </c>
    </row>
    <row r="149" customHeight="1" ht="14.0">
      <c r="A149" t="s">
        <v>932</v>
      </c>
      <c r="B149" s="153" t="s">
        <v>933</v>
      </c>
      <c r="C149">
        <v>0.0</v>
      </c>
      <c r="D149">
        <v>0.0</v>
      </c>
      <c r="F149" t="s">
        <v>2942</v>
      </c>
      <c r="G149" t="s">
        <v>2943</v>
      </c>
      <c r="H149" t="s">
        <v>2963</v>
      </c>
      <c r="I149" t="s">
        <v>197</v>
      </c>
    </row>
    <row r="150" customHeight="1" ht="14.0">
      <c r="A150" t="s">
        <v>3086</v>
      </c>
      <c r="B150" s="153" t="s">
        <v>3087</v>
      </c>
      <c r="C150">
        <v>0.0</v>
      </c>
      <c r="D150">
        <v>0.0</v>
      </c>
      <c r="F150" t="s">
        <v>2942</v>
      </c>
      <c r="G150" t="s">
        <v>2943</v>
      </c>
      <c r="H150" t="s">
        <v>2944</v>
      </c>
      <c r="I150" t="s">
        <v>3024</v>
      </c>
    </row>
    <row r="151" customHeight="1" ht="14.0">
      <c r="A151" t="s">
        <v>934</v>
      </c>
      <c r="B151" s="153" t="s">
        <v>935</v>
      </c>
      <c r="C151">
        <v>0.0</v>
      </c>
      <c r="D151">
        <v>0.0</v>
      </c>
      <c r="F151" t="s">
        <v>2942</v>
      </c>
      <c r="G151" t="s">
        <v>2943</v>
      </c>
      <c r="H151" t="s">
        <v>2963</v>
      </c>
      <c r="I151" t="s">
        <v>3088</v>
      </c>
    </row>
    <row r="152" customHeight="1" ht="14.0">
      <c r="A152" t="s">
        <v>3089</v>
      </c>
      <c r="B152" s="153" t="s">
        <v>3090</v>
      </c>
      <c r="C152">
        <v>0.0</v>
      </c>
      <c r="D152">
        <v>0.0</v>
      </c>
      <c r="F152" t="s">
        <v>2942</v>
      </c>
      <c r="G152" t="s">
        <v>2943</v>
      </c>
      <c r="H152" t="s">
        <v>2944</v>
      </c>
      <c r="I152" t="s">
        <v>83</v>
      </c>
    </row>
    <row r="153" customHeight="1" ht="14.0">
      <c r="A153" t="s">
        <v>3091</v>
      </c>
      <c r="B153" s="153" t="s">
        <v>3092</v>
      </c>
      <c r="C153">
        <v>0.0</v>
      </c>
      <c r="D153">
        <v>0.0</v>
      </c>
      <c r="F153" t="s">
        <v>2942</v>
      </c>
      <c r="G153" t="s">
        <v>2943</v>
      </c>
      <c r="H153" t="s">
        <v>2944</v>
      </c>
      <c r="I153" t="s">
        <v>83</v>
      </c>
    </row>
    <row r="154" customHeight="1" ht="14.0">
      <c r="A154" t="s">
        <v>3093</v>
      </c>
      <c r="B154" s="153" t="s">
        <v>3094</v>
      </c>
      <c r="C154">
        <v>0.0</v>
      </c>
      <c r="D154">
        <v>0.0</v>
      </c>
      <c r="F154" t="s">
        <v>2942</v>
      </c>
      <c r="G154" t="s">
        <v>2943</v>
      </c>
      <c r="H154" t="s">
        <v>2944</v>
      </c>
      <c r="I154" t="s">
        <v>83</v>
      </c>
    </row>
    <row r="155" customHeight="1" ht="14.0">
      <c r="A155" t="s">
        <v>3095</v>
      </c>
      <c r="B155" s="153" t="s">
        <v>3096</v>
      </c>
      <c r="C155">
        <v>0.0</v>
      </c>
      <c r="D155">
        <v>0.0</v>
      </c>
      <c r="F155" t="s">
        <v>2942</v>
      </c>
      <c r="G155" t="s">
        <v>2943</v>
      </c>
      <c r="H155" t="s">
        <v>2944</v>
      </c>
      <c r="I155" t="s">
        <v>83</v>
      </c>
    </row>
    <row r="156" customHeight="1" ht="14.0">
      <c r="A156" t="s">
        <v>936</v>
      </c>
      <c r="B156" s="153" t="s">
        <v>937</v>
      </c>
      <c r="C156">
        <v>0.0</v>
      </c>
      <c r="D156">
        <v>0.0</v>
      </c>
      <c r="F156" t="s">
        <v>2942</v>
      </c>
      <c r="G156" t="s">
        <v>2943</v>
      </c>
      <c r="H156" t="s">
        <v>2944</v>
      </c>
      <c r="I156" t="s">
        <v>83</v>
      </c>
    </row>
    <row r="157" customHeight="1" ht="14.0">
      <c r="A157" t="s">
        <v>3097</v>
      </c>
      <c r="B157" s="153" t="s">
        <v>3098</v>
      </c>
      <c r="C157">
        <v>0.0</v>
      </c>
      <c r="D157">
        <v>0.0</v>
      </c>
      <c r="F157" t="s">
        <v>2942</v>
      </c>
      <c r="G157" t="s">
        <v>2943</v>
      </c>
      <c r="H157" t="s">
        <v>2944</v>
      </c>
      <c r="I157" t="s">
        <v>83</v>
      </c>
    </row>
    <row r="158" customHeight="1" ht="14.0">
      <c r="A158" t="s">
        <v>938</v>
      </c>
      <c r="B158" s="153" t="s">
        <v>939</v>
      </c>
      <c r="C158">
        <v>0.0</v>
      </c>
      <c r="D158">
        <v>0.0</v>
      </c>
      <c r="F158" t="s">
        <v>2942</v>
      </c>
      <c r="G158" t="s">
        <v>2943</v>
      </c>
      <c r="H158" t="s">
        <v>2944</v>
      </c>
      <c r="I158" t="s">
        <v>83</v>
      </c>
    </row>
    <row r="159" customHeight="1" ht="14.0">
      <c r="A159" t="s">
        <v>3099</v>
      </c>
      <c r="B159" s="153" t="s">
        <v>3100</v>
      </c>
      <c r="C159">
        <v>0.0</v>
      </c>
      <c r="D159">
        <v>0.0</v>
      </c>
      <c r="F159" t="s">
        <v>2942</v>
      </c>
      <c r="G159" t="s">
        <v>2943</v>
      </c>
      <c r="H159" t="s">
        <v>2944</v>
      </c>
      <c r="I159" t="s">
        <v>83</v>
      </c>
    </row>
    <row r="160" customHeight="1" ht="14.0">
      <c r="A160" t="s">
        <v>3101</v>
      </c>
      <c r="B160" s="153" t="s">
        <v>3102</v>
      </c>
      <c r="C160">
        <v>0.0</v>
      </c>
      <c r="D160">
        <v>0.0</v>
      </c>
      <c r="F160" t="s">
        <v>2942</v>
      </c>
      <c r="G160" t="s">
        <v>2943</v>
      </c>
      <c r="H160" t="s">
        <v>2944</v>
      </c>
      <c r="I160" t="s">
        <v>83</v>
      </c>
    </row>
    <row r="161" customHeight="1" ht="14.0">
      <c r="A161" t="s">
        <v>3103</v>
      </c>
      <c r="B161" s="153" t="s">
        <v>3104</v>
      </c>
      <c r="C161">
        <v>0.0</v>
      </c>
      <c r="D161">
        <v>0.0</v>
      </c>
      <c r="F161" t="s">
        <v>2942</v>
      </c>
      <c r="G161" t="s">
        <v>2943</v>
      </c>
      <c r="H161" t="s">
        <v>2944</v>
      </c>
      <c r="I161" t="s">
        <v>83</v>
      </c>
    </row>
    <row r="162" customHeight="1" ht="14.0">
      <c r="A162" t="s">
        <v>3105</v>
      </c>
      <c r="B162" s="153" t="s">
        <v>3106</v>
      </c>
      <c r="C162">
        <v>0.0</v>
      </c>
      <c r="D162">
        <v>0.0</v>
      </c>
      <c r="F162" t="s">
        <v>2942</v>
      </c>
      <c r="G162" t="s">
        <v>2943</v>
      </c>
      <c r="H162" t="s">
        <v>2944</v>
      </c>
      <c r="I162" t="s">
        <v>83</v>
      </c>
    </row>
    <row r="163" customHeight="1" ht="14.0">
      <c r="A163" t="s">
        <v>3107</v>
      </c>
      <c r="B163" s="153" t="s">
        <v>3108</v>
      </c>
      <c r="C163">
        <v>0.0</v>
      </c>
      <c r="D163">
        <v>0.0</v>
      </c>
      <c r="F163" t="s">
        <v>2942</v>
      </c>
      <c r="G163" t="s">
        <v>2943</v>
      </c>
      <c r="H163" t="s">
        <v>2944</v>
      </c>
      <c r="I163" t="s">
        <v>83</v>
      </c>
    </row>
    <row r="164" customHeight="1" ht="14.0">
      <c r="A164" t="s">
        <v>940</v>
      </c>
      <c r="B164" s="153" t="s">
        <v>941</v>
      </c>
      <c r="C164">
        <v>0.0</v>
      </c>
      <c r="D164">
        <v>0.0</v>
      </c>
      <c r="F164" t="s">
        <v>2942</v>
      </c>
      <c r="G164" t="s">
        <v>2943</v>
      </c>
      <c r="H164" t="s">
        <v>2944</v>
      </c>
      <c r="I164" t="s">
        <v>83</v>
      </c>
    </row>
    <row r="165" customHeight="1" ht="14.0">
      <c r="A165" t="s">
        <v>3109</v>
      </c>
      <c r="B165" s="153" t="s">
        <v>3110</v>
      </c>
      <c r="C165">
        <v>0.0</v>
      </c>
      <c r="D165">
        <v>0.0</v>
      </c>
      <c r="F165" t="s">
        <v>2942</v>
      </c>
      <c r="G165" t="s">
        <v>2943</v>
      </c>
      <c r="H165" t="s">
        <v>2944</v>
      </c>
      <c r="I165" t="s">
        <v>83</v>
      </c>
    </row>
    <row r="166" customHeight="1" ht="14.0">
      <c r="A166" t="s">
        <v>942</v>
      </c>
      <c r="B166" s="153" t="s">
        <v>943</v>
      </c>
      <c r="C166">
        <v>0.0</v>
      </c>
      <c r="D166">
        <v>0.0</v>
      </c>
      <c r="F166" t="s">
        <v>2942</v>
      </c>
      <c r="G166" t="s">
        <v>2943</v>
      </c>
      <c r="H166" t="s">
        <v>2944</v>
      </c>
      <c r="I166" t="s">
        <v>289</v>
      </c>
    </row>
    <row r="167" customHeight="1" ht="14.0">
      <c r="A167" t="s">
        <v>3111</v>
      </c>
      <c r="B167" s="153" t="s">
        <v>3112</v>
      </c>
      <c r="C167">
        <v>0.0</v>
      </c>
      <c r="D167">
        <v>0.0</v>
      </c>
      <c r="F167" t="s">
        <v>2942</v>
      </c>
      <c r="G167" t="s">
        <v>2943</v>
      </c>
      <c r="H167" t="s">
        <v>2944</v>
      </c>
      <c r="I167" t="s">
        <v>289</v>
      </c>
    </row>
    <row r="168" customHeight="1" ht="14.0">
      <c r="A168" t="s">
        <v>3113</v>
      </c>
      <c r="B168" s="153" t="s">
        <v>3114</v>
      </c>
      <c r="C168">
        <v>0.0</v>
      </c>
      <c r="D168">
        <v>0.0</v>
      </c>
      <c r="F168" t="s">
        <v>2942</v>
      </c>
      <c r="G168" t="s">
        <v>2943</v>
      </c>
      <c r="H168" t="s">
        <v>2944</v>
      </c>
      <c r="I168" t="s">
        <v>289</v>
      </c>
    </row>
    <row r="169" customHeight="1" ht="14.0">
      <c r="A169" t="s">
        <v>3115</v>
      </c>
      <c r="B169" s="153" t="s">
        <v>3116</v>
      </c>
      <c r="C169">
        <v>0.0</v>
      </c>
      <c r="D169">
        <v>0.0</v>
      </c>
      <c r="F169" t="s">
        <v>2942</v>
      </c>
      <c r="G169" t="s">
        <v>2943</v>
      </c>
      <c r="H169" t="s">
        <v>2944</v>
      </c>
      <c r="I169" t="s">
        <v>289</v>
      </c>
    </row>
    <row r="170" customHeight="1" ht="14.0">
      <c r="A170" t="s">
        <v>944</v>
      </c>
      <c r="B170" s="153" t="s">
        <v>945</v>
      </c>
      <c r="C170">
        <v>0.0</v>
      </c>
      <c r="D170">
        <v>0.0</v>
      </c>
      <c r="F170" t="s">
        <v>2942</v>
      </c>
      <c r="G170" t="s">
        <v>2943</v>
      </c>
      <c r="H170" t="s">
        <v>2944</v>
      </c>
      <c r="I170" t="s">
        <v>289</v>
      </c>
    </row>
    <row r="171" customHeight="1" ht="14.0">
      <c r="A171" t="s">
        <v>946</v>
      </c>
      <c r="B171" s="153" t="s">
        <v>947</v>
      </c>
      <c r="C171">
        <v>0.0</v>
      </c>
      <c r="D171">
        <v>0.0</v>
      </c>
      <c r="F171" t="s">
        <v>2942</v>
      </c>
      <c r="G171" t="s">
        <v>2943</v>
      </c>
      <c r="H171" t="s">
        <v>2944</v>
      </c>
      <c r="I171" t="s">
        <v>289</v>
      </c>
    </row>
    <row r="172" customHeight="1" ht="14.0">
      <c r="A172" t="s">
        <v>3117</v>
      </c>
      <c r="B172" s="153" t="s">
        <v>3118</v>
      </c>
      <c r="C172">
        <v>0.0</v>
      </c>
      <c r="D172">
        <v>0.0</v>
      </c>
      <c r="F172" t="s">
        <v>2942</v>
      </c>
      <c r="G172" t="s">
        <v>2943</v>
      </c>
      <c r="H172" t="s">
        <v>2944</v>
      </c>
      <c r="I172" t="s">
        <v>289</v>
      </c>
    </row>
    <row r="173" customHeight="1" ht="14.0">
      <c r="A173" t="s">
        <v>948</v>
      </c>
      <c r="B173" s="153" t="s">
        <v>949</v>
      </c>
      <c r="C173">
        <v>0.0</v>
      </c>
      <c r="D173">
        <v>0.0</v>
      </c>
      <c r="F173" t="s">
        <v>2942</v>
      </c>
      <c r="G173" t="s">
        <v>2943</v>
      </c>
      <c r="H173" t="s">
        <v>2944</v>
      </c>
      <c r="I173" t="s">
        <v>289</v>
      </c>
    </row>
    <row r="174" customHeight="1" ht="14.0">
      <c r="A174" t="s">
        <v>3119</v>
      </c>
      <c r="B174" s="153" t="s">
        <v>3120</v>
      </c>
      <c r="C174">
        <v>0.0</v>
      </c>
      <c r="D174">
        <v>0.0</v>
      </c>
      <c r="F174" t="s">
        <v>2942</v>
      </c>
      <c r="G174" t="s">
        <v>2943</v>
      </c>
      <c r="H174" t="s">
        <v>2944</v>
      </c>
      <c r="I174" t="s">
        <v>289</v>
      </c>
    </row>
    <row r="175" customHeight="1" ht="14.0">
      <c r="A175" t="s">
        <v>3121</v>
      </c>
      <c r="B175" s="153" t="s">
        <v>3122</v>
      </c>
      <c r="C175">
        <v>0.0</v>
      </c>
      <c r="D175">
        <v>0.0</v>
      </c>
      <c r="F175" t="s">
        <v>2942</v>
      </c>
      <c r="G175" t="s">
        <v>2943</v>
      </c>
      <c r="H175" t="s">
        <v>2944</v>
      </c>
      <c r="I175" t="s">
        <v>289</v>
      </c>
    </row>
    <row r="176" customHeight="1" ht="14.0">
      <c r="A176" t="s">
        <v>3123</v>
      </c>
      <c r="B176" s="153" t="s">
        <v>3124</v>
      </c>
      <c r="C176">
        <v>0.0</v>
      </c>
      <c r="D176">
        <v>0.0</v>
      </c>
      <c r="F176" t="s">
        <v>2942</v>
      </c>
      <c r="G176" t="s">
        <v>2943</v>
      </c>
      <c r="H176" t="s">
        <v>2944</v>
      </c>
      <c r="I176" t="s">
        <v>289</v>
      </c>
    </row>
    <row r="177" customHeight="1" ht="14.0">
      <c r="A177" t="s">
        <v>950</v>
      </c>
      <c r="B177" s="153" t="s">
        <v>951</v>
      </c>
      <c r="C177">
        <v>0.0</v>
      </c>
      <c r="D177">
        <v>0.0</v>
      </c>
      <c r="F177" t="s">
        <v>2942</v>
      </c>
      <c r="G177" t="s">
        <v>2943</v>
      </c>
      <c r="H177" t="s">
        <v>2944</v>
      </c>
      <c r="I177" t="s">
        <v>289</v>
      </c>
    </row>
    <row r="178" customHeight="1" ht="14.0">
      <c r="A178" t="s">
        <v>952</v>
      </c>
      <c r="B178" s="153" t="s">
        <v>953</v>
      </c>
      <c r="C178">
        <v>0.0</v>
      </c>
      <c r="D178">
        <v>0.0</v>
      </c>
      <c r="F178" t="s">
        <v>2942</v>
      </c>
      <c r="G178" t="s">
        <v>2943</v>
      </c>
      <c r="H178" t="s">
        <v>2944</v>
      </c>
      <c r="I178" t="s">
        <v>289</v>
      </c>
    </row>
    <row r="179" customHeight="1" ht="14.0">
      <c r="A179" t="s">
        <v>954</v>
      </c>
      <c r="B179" s="153" t="s">
        <v>955</v>
      </c>
      <c r="C179">
        <v>0.0</v>
      </c>
      <c r="D179">
        <v>0.0</v>
      </c>
      <c r="F179" t="s">
        <v>2942</v>
      </c>
      <c r="G179" t="s">
        <v>2943</v>
      </c>
      <c r="H179" t="s">
        <v>2944</v>
      </c>
      <c r="I179" t="s">
        <v>289</v>
      </c>
    </row>
    <row r="180" customHeight="1" ht="14.0">
      <c r="A180" t="s">
        <v>956</v>
      </c>
      <c r="B180" s="153" t="s">
        <v>957</v>
      </c>
      <c r="C180">
        <v>0.0</v>
      </c>
      <c r="D180">
        <v>0.0</v>
      </c>
      <c r="F180" t="s">
        <v>2942</v>
      </c>
      <c r="G180" t="s">
        <v>2943</v>
      </c>
      <c r="H180" t="s">
        <v>2944</v>
      </c>
      <c r="I180" t="s">
        <v>289</v>
      </c>
    </row>
    <row r="181" customHeight="1" ht="14.0">
      <c r="A181" t="s">
        <v>958</v>
      </c>
      <c r="B181" s="153" t="s">
        <v>959</v>
      </c>
      <c r="C181">
        <v>0.0</v>
      </c>
      <c r="D181">
        <v>0.0</v>
      </c>
      <c r="F181" t="s">
        <v>2942</v>
      </c>
      <c r="G181" t="s">
        <v>2943</v>
      </c>
      <c r="H181" t="s">
        <v>2944</v>
      </c>
      <c r="I181" t="s">
        <v>289</v>
      </c>
    </row>
    <row r="182" customHeight="1" ht="14.0">
      <c r="A182" t="s">
        <v>960</v>
      </c>
      <c r="B182" s="153" t="s">
        <v>961</v>
      </c>
      <c r="C182">
        <v>0.0</v>
      </c>
      <c r="D182">
        <v>0.0</v>
      </c>
      <c r="F182" t="s">
        <v>2942</v>
      </c>
      <c r="G182" t="s">
        <v>2943</v>
      </c>
      <c r="H182" t="s">
        <v>2944</v>
      </c>
      <c r="I182" t="s">
        <v>3125</v>
      </c>
    </row>
    <row r="183" customHeight="1" ht="14.0">
      <c r="A183" t="s">
        <v>962</v>
      </c>
      <c r="B183" s="153" t="s">
        <v>963</v>
      </c>
      <c r="C183">
        <v>0.0</v>
      </c>
      <c r="D183">
        <v>0.0</v>
      </c>
      <c r="F183" t="s">
        <v>2942</v>
      </c>
      <c r="G183" t="s">
        <v>2943</v>
      </c>
      <c r="H183" t="s">
        <v>2944</v>
      </c>
      <c r="I183" t="s">
        <v>3125</v>
      </c>
    </row>
    <row r="184" customHeight="1" ht="14.0">
      <c r="A184" t="s">
        <v>964</v>
      </c>
      <c r="B184" s="153" t="s">
        <v>965</v>
      </c>
      <c r="C184">
        <v>0.0</v>
      </c>
      <c r="D184">
        <v>0.0</v>
      </c>
      <c r="F184" t="s">
        <v>2942</v>
      </c>
      <c r="G184" t="s">
        <v>2943</v>
      </c>
      <c r="H184" t="s">
        <v>2944</v>
      </c>
      <c r="I184" t="s">
        <v>3125</v>
      </c>
    </row>
    <row r="185" customHeight="1" ht="14.0">
      <c r="A185" t="s">
        <v>3126</v>
      </c>
      <c r="B185" s="153" t="s">
        <v>3127</v>
      </c>
      <c r="C185">
        <v>0.0</v>
      </c>
      <c r="D185">
        <v>0.0</v>
      </c>
      <c r="F185" t="s">
        <v>2942</v>
      </c>
      <c r="G185" t="s">
        <v>2943</v>
      </c>
      <c r="H185" t="s">
        <v>2944</v>
      </c>
      <c r="I185" t="s">
        <v>3125</v>
      </c>
    </row>
    <row r="186" customHeight="1" ht="14.0">
      <c r="A186" t="s">
        <v>966</v>
      </c>
      <c r="B186" s="153" t="s">
        <v>967</v>
      </c>
      <c r="C186">
        <v>0.0</v>
      </c>
      <c r="D186">
        <v>0.0</v>
      </c>
      <c r="F186" t="s">
        <v>2942</v>
      </c>
      <c r="G186" t="s">
        <v>2943</v>
      </c>
      <c r="H186" t="s">
        <v>2944</v>
      </c>
      <c r="I186" t="s">
        <v>3125</v>
      </c>
    </row>
    <row r="187" customHeight="1" ht="14.0">
      <c r="A187" t="s">
        <v>968</v>
      </c>
      <c r="B187" s="153" t="s">
        <v>969</v>
      </c>
      <c r="C187">
        <v>0.0</v>
      </c>
      <c r="D187">
        <v>0.0</v>
      </c>
      <c r="F187" t="s">
        <v>2942</v>
      </c>
      <c r="G187" t="s">
        <v>2943</v>
      </c>
      <c r="H187" t="s">
        <v>2944</v>
      </c>
      <c r="I187" t="s">
        <v>3125</v>
      </c>
    </row>
    <row r="188" customHeight="1" ht="14.0">
      <c r="A188" t="s">
        <v>970</v>
      </c>
      <c r="B188" s="153" t="s">
        <v>971</v>
      </c>
      <c r="C188">
        <v>0.0</v>
      </c>
      <c r="D188">
        <v>0.0</v>
      </c>
      <c r="F188" t="s">
        <v>2942</v>
      </c>
      <c r="G188" t="s">
        <v>2943</v>
      </c>
      <c r="H188" t="s">
        <v>2944</v>
      </c>
      <c r="I188" t="s">
        <v>3125</v>
      </c>
    </row>
    <row r="189" customHeight="1" ht="14.0">
      <c r="A189" t="s">
        <v>972</v>
      </c>
      <c r="B189" s="153" t="s">
        <v>973</v>
      </c>
      <c r="C189">
        <v>0.0</v>
      </c>
      <c r="D189">
        <v>0.0</v>
      </c>
      <c r="F189" t="s">
        <v>2942</v>
      </c>
      <c r="G189" t="s">
        <v>2943</v>
      </c>
      <c r="H189" t="s">
        <v>2944</v>
      </c>
      <c r="I189" t="s">
        <v>3125</v>
      </c>
    </row>
    <row r="190" customHeight="1" ht="14.0">
      <c r="A190" t="s">
        <v>974</v>
      </c>
      <c r="B190" s="153" t="s">
        <v>975</v>
      </c>
      <c r="C190">
        <v>0.0</v>
      </c>
      <c r="D190">
        <v>0.0</v>
      </c>
      <c r="F190" t="s">
        <v>2942</v>
      </c>
      <c r="G190" t="s">
        <v>2943</v>
      </c>
      <c r="H190" t="s">
        <v>2944</v>
      </c>
      <c r="I190" t="s">
        <v>3125</v>
      </c>
    </row>
    <row r="191" customHeight="1" ht="14.0">
      <c r="A191" t="s">
        <v>976</v>
      </c>
      <c r="B191" s="153" t="s">
        <v>977</v>
      </c>
      <c r="C191">
        <v>0.0</v>
      </c>
      <c r="D191">
        <v>0.0</v>
      </c>
      <c r="F191" t="s">
        <v>2942</v>
      </c>
      <c r="G191" t="s">
        <v>2943</v>
      </c>
      <c r="H191" t="s">
        <v>2944</v>
      </c>
      <c r="I191" t="s">
        <v>3125</v>
      </c>
    </row>
    <row r="192" customHeight="1" ht="14.0">
      <c r="A192" t="s">
        <v>978</v>
      </c>
      <c r="B192" s="153" t="s">
        <v>979</v>
      </c>
      <c r="C192">
        <v>0.0</v>
      </c>
      <c r="D192">
        <v>0.0</v>
      </c>
      <c r="F192" t="s">
        <v>2942</v>
      </c>
      <c r="G192" t="s">
        <v>2943</v>
      </c>
      <c r="H192" t="s">
        <v>2944</v>
      </c>
      <c r="I192" t="s">
        <v>3125</v>
      </c>
    </row>
    <row r="193" customHeight="1" ht="14.0">
      <c r="A193" t="s">
        <v>980</v>
      </c>
      <c r="B193" s="153" t="s">
        <v>981</v>
      </c>
      <c r="C193">
        <v>0.0</v>
      </c>
      <c r="D193">
        <v>0.0</v>
      </c>
      <c r="F193" t="s">
        <v>2942</v>
      </c>
      <c r="G193" t="s">
        <v>2943</v>
      </c>
      <c r="H193" t="s">
        <v>2944</v>
      </c>
      <c r="I193" t="s">
        <v>3125</v>
      </c>
    </row>
    <row r="194" customHeight="1" ht="14.0">
      <c r="A194" t="s">
        <v>982</v>
      </c>
      <c r="B194" s="153" t="s">
        <v>983</v>
      </c>
      <c r="C194">
        <v>0.0</v>
      </c>
      <c r="D194">
        <v>0.0</v>
      </c>
      <c r="F194" t="s">
        <v>2942</v>
      </c>
      <c r="G194" t="s">
        <v>2943</v>
      </c>
      <c r="H194" t="s">
        <v>2944</v>
      </c>
      <c r="I194" t="s">
        <v>3125</v>
      </c>
    </row>
    <row r="195" customHeight="1" ht="14.0">
      <c r="A195" t="s">
        <v>984</v>
      </c>
      <c r="B195" s="153" t="s">
        <v>985</v>
      </c>
      <c r="C195">
        <v>0.0</v>
      </c>
      <c r="D195">
        <v>0.0</v>
      </c>
      <c r="F195" t="s">
        <v>2942</v>
      </c>
      <c r="G195" t="s">
        <v>2943</v>
      </c>
      <c r="H195" t="s">
        <v>2944</v>
      </c>
      <c r="I195" t="s">
        <v>3125</v>
      </c>
    </row>
    <row r="196" customHeight="1" ht="14.0">
      <c r="A196" t="s">
        <v>986</v>
      </c>
      <c r="B196" s="153" t="s">
        <v>987</v>
      </c>
      <c r="C196">
        <v>0.0</v>
      </c>
      <c r="D196">
        <v>0.0</v>
      </c>
      <c r="F196" t="s">
        <v>2942</v>
      </c>
      <c r="G196" t="s">
        <v>2943</v>
      </c>
      <c r="H196" t="s">
        <v>2944</v>
      </c>
      <c r="I196" t="s">
        <v>3125</v>
      </c>
    </row>
    <row r="197" customHeight="1" ht="14.0">
      <c r="A197" t="s">
        <v>988</v>
      </c>
      <c r="B197" s="153" t="s">
        <v>989</v>
      </c>
      <c r="C197">
        <v>0.0</v>
      </c>
      <c r="D197">
        <v>0.0</v>
      </c>
      <c r="F197" t="s">
        <v>2942</v>
      </c>
      <c r="G197" t="s">
        <v>2943</v>
      </c>
      <c r="H197" t="s">
        <v>2944</v>
      </c>
      <c r="I197" t="s">
        <v>3125</v>
      </c>
    </row>
    <row r="198" customHeight="1" ht="14.0">
      <c r="A198" t="s">
        <v>3128</v>
      </c>
      <c r="B198" s="153" t="s">
        <v>3129</v>
      </c>
      <c r="C198">
        <v>0.0</v>
      </c>
      <c r="D198">
        <v>0.0</v>
      </c>
      <c r="F198" t="s">
        <v>2942</v>
      </c>
      <c r="G198" t="s">
        <v>2943</v>
      </c>
      <c r="H198" t="s">
        <v>2944</v>
      </c>
      <c r="I198" t="s">
        <v>289</v>
      </c>
    </row>
    <row r="199" customHeight="1" ht="14.0">
      <c r="A199" t="s">
        <v>3130</v>
      </c>
      <c r="B199" s="153" t="s">
        <v>3131</v>
      </c>
      <c r="C199">
        <v>0.0</v>
      </c>
      <c r="D199">
        <v>0.0</v>
      </c>
      <c r="F199" t="s">
        <v>2942</v>
      </c>
      <c r="G199" t="s">
        <v>2943</v>
      </c>
      <c r="H199" t="s">
        <v>2944</v>
      </c>
      <c r="I199" t="s">
        <v>289</v>
      </c>
    </row>
    <row r="200" customHeight="1" ht="14.0">
      <c r="A200" t="s">
        <v>3132</v>
      </c>
      <c r="B200" s="153" t="s">
        <v>3133</v>
      </c>
      <c r="C200">
        <v>0.0</v>
      </c>
      <c r="D200">
        <v>0.0</v>
      </c>
      <c r="F200" t="s">
        <v>2942</v>
      </c>
      <c r="G200" t="s">
        <v>2943</v>
      </c>
      <c r="H200" t="s">
        <v>2944</v>
      </c>
      <c r="I200" t="s">
        <v>3134</v>
      </c>
    </row>
    <row r="201" customHeight="1" ht="14.0">
      <c r="A201" t="s">
        <v>990</v>
      </c>
      <c r="B201" s="153" t="s">
        <v>991</v>
      </c>
      <c r="C201">
        <v>0.0</v>
      </c>
      <c r="D201">
        <v>0.0</v>
      </c>
      <c r="F201" t="s">
        <v>2942</v>
      </c>
      <c r="G201" t="s">
        <v>2943</v>
      </c>
      <c r="H201" t="s">
        <v>2963</v>
      </c>
      <c r="I201" t="s">
        <v>3088</v>
      </c>
    </row>
    <row r="202" customHeight="1" ht="14.0">
      <c r="A202" t="s">
        <v>3135</v>
      </c>
      <c r="B202" s="153" t="s">
        <v>3136</v>
      </c>
      <c r="C202">
        <v>8.0</v>
      </c>
      <c r="D202">
        <v>138.72</v>
      </c>
      <c r="E202">
        <v>17.34</v>
      </c>
      <c r="F202" t="s">
        <v>2942</v>
      </c>
      <c r="G202" t="s">
        <v>2962</v>
      </c>
      <c r="I202" t="s">
        <v>197</v>
      </c>
    </row>
    <row r="203" customHeight="1" ht="14.0">
      <c r="A203" t="s">
        <v>3137</v>
      </c>
      <c r="B203" s="153" t="s">
        <v>3138</v>
      </c>
      <c r="C203">
        <v>5.0</v>
      </c>
      <c r="D203">
        <v>67.45</v>
      </c>
      <c r="E203">
        <v>13.49</v>
      </c>
      <c r="F203" t="s">
        <v>2942</v>
      </c>
      <c r="G203" t="s">
        <v>2962</v>
      </c>
      <c r="I203" t="s">
        <v>197</v>
      </c>
    </row>
    <row r="204" customHeight="1" ht="14.0">
      <c r="A204" t="s">
        <v>992</v>
      </c>
      <c r="B204" s="153" t="s">
        <v>993</v>
      </c>
      <c r="C204">
        <v>0.0</v>
      </c>
      <c r="D204">
        <v>0.0</v>
      </c>
      <c r="F204" t="s">
        <v>2942</v>
      </c>
      <c r="G204" t="s">
        <v>2943</v>
      </c>
      <c r="H204" t="s">
        <v>2963</v>
      </c>
      <c r="I204" t="s">
        <v>197</v>
      </c>
    </row>
    <row r="205" customHeight="1" ht="14.0">
      <c r="A205" t="s">
        <v>3139</v>
      </c>
      <c r="B205" s="153" t="s">
        <v>3140</v>
      </c>
      <c r="C205">
        <v>0.0</v>
      </c>
      <c r="D205">
        <v>0.0</v>
      </c>
      <c r="F205" t="s">
        <v>2942</v>
      </c>
      <c r="G205" t="s">
        <v>2943</v>
      </c>
      <c r="H205" t="s">
        <v>2963</v>
      </c>
      <c r="I205" t="s">
        <v>197</v>
      </c>
    </row>
    <row r="206" customHeight="1" ht="14.0">
      <c r="A206" t="s">
        <v>3141</v>
      </c>
      <c r="B206" s="153" t="s">
        <v>3142</v>
      </c>
      <c r="C206">
        <v>0.0</v>
      </c>
      <c r="D206">
        <v>0.0</v>
      </c>
      <c r="F206" t="s">
        <v>2994</v>
      </c>
      <c r="G206" t="s">
        <v>2943</v>
      </c>
      <c r="H206" t="s">
        <v>2944</v>
      </c>
      <c r="I206" t="s">
        <v>3143</v>
      </c>
    </row>
    <row r="207" customHeight="1" ht="14.0">
      <c r="A207" t="s">
        <v>994</v>
      </c>
      <c r="B207" s="153">
        <v>37301.0</v>
      </c>
      <c r="C207">
        <v>0.0</v>
      </c>
      <c r="D207">
        <v>0.0</v>
      </c>
      <c r="F207" t="s">
        <v>2942</v>
      </c>
      <c r="G207" t="s">
        <v>2943</v>
      </c>
      <c r="H207" t="s">
        <v>2963</v>
      </c>
      <c r="I207" t="s">
        <v>3143</v>
      </c>
    </row>
    <row r="208" customHeight="1" ht="14.0">
      <c r="A208" t="s">
        <v>995</v>
      </c>
      <c r="B208" s="153">
        <v>37327.0</v>
      </c>
      <c r="C208">
        <v>38.0</v>
      </c>
      <c r="D208">
        <v>247.9</v>
      </c>
      <c r="E208">
        <v>6.5237</v>
      </c>
      <c r="F208" t="s">
        <v>2942</v>
      </c>
      <c r="G208" t="s">
        <v>2962</v>
      </c>
      <c r="H208" t="s">
        <v>2963</v>
      </c>
      <c r="I208" t="s">
        <v>3143</v>
      </c>
    </row>
    <row r="209" customHeight="1" ht="14.0">
      <c r="A209" t="s">
        <v>996</v>
      </c>
      <c r="B209" s="153">
        <v>37302.0</v>
      </c>
      <c r="C209">
        <v>19.0</v>
      </c>
      <c r="D209">
        <v>138.15</v>
      </c>
      <c r="E209">
        <v>7.2711</v>
      </c>
      <c r="F209" t="s">
        <v>2942</v>
      </c>
      <c r="G209" t="s">
        <v>2962</v>
      </c>
      <c r="H209" t="s">
        <v>2963</v>
      </c>
      <c r="I209" t="s">
        <v>3143</v>
      </c>
    </row>
    <row r="210" customHeight="1" ht="14.0">
      <c r="A210" t="s">
        <v>997</v>
      </c>
      <c r="B210" s="153">
        <v>37303.0</v>
      </c>
      <c r="C210">
        <v>0.0</v>
      </c>
      <c r="D210">
        <v>0.0</v>
      </c>
      <c r="F210" t="s">
        <v>2942</v>
      </c>
      <c r="G210" t="s">
        <v>2943</v>
      </c>
      <c r="H210" t="s">
        <v>2963</v>
      </c>
      <c r="I210" t="s">
        <v>3143</v>
      </c>
    </row>
    <row r="211" customHeight="1" ht="14.0">
      <c r="A211" t="s">
        <v>998</v>
      </c>
      <c r="B211" s="153">
        <v>37304.0</v>
      </c>
      <c r="C211">
        <v>0.0</v>
      </c>
      <c r="D211">
        <v>0.0</v>
      </c>
      <c r="F211" t="s">
        <v>2942</v>
      </c>
      <c r="G211" t="s">
        <v>2943</v>
      </c>
      <c r="H211" t="s">
        <v>2963</v>
      </c>
      <c r="I211" t="s">
        <v>3143</v>
      </c>
    </row>
    <row r="212" customHeight="1" ht="14.0">
      <c r="A212" t="s">
        <v>999</v>
      </c>
      <c r="B212" s="153">
        <v>37305.0</v>
      </c>
      <c r="C212">
        <v>0.0</v>
      </c>
      <c r="D212">
        <v>0.0</v>
      </c>
      <c r="F212" t="s">
        <v>2942</v>
      </c>
      <c r="G212" t="s">
        <v>2943</v>
      </c>
      <c r="H212" t="s">
        <v>2963</v>
      </c>
      <c r="I212" t="s">
        <v>3143</v>
      </c>
    </row>
    <row r="213" customHeight="1" ht="14.0">
      <c r="A213" t="s">
        <v>3144</v>
      </c>
      <c r="B213" s="153">
        <v>37306.0</v>
      </c>
      <c r="C213">
        <v>0.0</v>
      </c>
      <c r="D213">
        <v>0.0</v>
      </c>
      <c r="F213" t="s">
        <v>2942</v>
      </c>
      <c r="G213" t="s">
        <v>2943</v>
      </c>
      <c r="H213" t="s">
        <v>2963</v>
      </c>
      <c r="I213" t="s">
        <v>3143</v>
      </c>
    </row>
    <row r="214" customHeight="1" ht="14.0">
      <c r="A214" t="s">
        <v>1000</v>
      </c>
      <c r="B214" s="153">
        <v>37307.0</v>
      </c>
      <c r="C214">
        <v>23.0</v>
      </c>
      <c r="D214">
        <v>167.24</v>
      </c>
      <c r="E214">
        <v>7.2713</v>
      </c>
      <c r="F214" t="s">
        <v>2942</v>
      </c>
      <c r="G214" t="s">
        <v>2962</v>
      </c>
      <c r="H214" t="s">
        <v>2963</v>
      </c>
      <c r="I214" t="s">
        <v>3143</v>
      </c>
    </row>
    <row r="215" customHeight="1" ht="14.0">
      <c r="A215" t="s">
        <v>1001</v>
      </c>
      <c r="B215" s="153">
        <v>37308.0</v>
      </c>
      <c r="C215">
        <v>0.0</v>
      </c>
      <c r="D215">
        <v>0.0</v>
      </c>
      <c r="F215" t="s">
        <v>2942</v>
      </c>
      <c r="G215" t="s">
        <v>2943</v>
      </c>
      <c r="H215" t="s">
        <v>2963</v>
      </c>
      <c r="I215" t="s">
        <v>3143</v>
      </c>
    </row>
    <row r="216" customHeight="1" ht="14.0">
      <c r="A216" t="s">
        <v>3145</v>
      </c>
      <c r="B216" s="153">
        <v>37309.0</v>
      </c>
      <c r="C216">
        <v>0.0</v>
      </c>
      <c r="D216">
        <v>0.0</v>
      </c>
      <c r="F216" t="s">
        <v>2942</v>
      </c>
      <c r="G216" t="s">
        <v>2943</v>
      </c>
      <c r="H216" t="s">
        <v>2963</v>
      </c>
      <c r="I216" t="s">
        <v>3143</v>
      </c>
    </row>
    <row r="217" customHeight="1" ht="14.0">
      <c r="A217" t="s">
        <v>1002</v>
      </c>
      <c r="B217" s="153">
        <v>37310.0</v>
      </c>
      <c r="C217">
        <v>9.0</v>
      </c>
      <c r="D217">
        <v>65.45</v>
      </c>
      <c r="E217">
        <v>7.2722</v>
      </c>
      <c r="F217" t="s">
        <v>2942</v>
      </c>
      <c r="G217" t="s">
        <v>2962</v>
      </c>
      <c r="H217" t="s">
        <v>2963</v>
      </c>
      <c r="I217" t="s">
        <v>3143</v>
      </c>
    </row>
    <row r="218" customHeight="1" ht="14.0">
      <c r="A218" t="s">
        <v>1003</v>
      </c>
      <c r="B218" s="153">
        <v>37311.0</v>
      </c>
      <c r="C218">
        <v>0.0</v>
      </c>
      <c r="D218">
        <v>0.0</v>
      </c>
      <c r="F218" t="s">
        <v>2942</v>
      </c>
      <c r="G218" t="s">
        <v>2943</v>
      </c>
      <c r="H218" t="s">
        <v>2963</v>
      </c>
      <c r="I218" t="s">
        <v>3143</v>
      </c>
    </row>
    <row r="219" customHeight="1" ht="14.0">
      <c r="A219" t="s">
        <v>1004</v>
      </c>
      <c r="B219" s="153">
        <v>37312.0</v>
      </c>
      <c r="C219">
        <v>4.0</v>
      </c>
      <c r="D219">
        <v>29.08</v>
      </c>
      <c r="E219">
        <v>7.27</v>
      </c>
      <c r="F219" t="s">
        <v>2942</v>
      </c>
      <c r="G219" t="s">
        <v>2962</v>
      </c>
      <c r="H219" t="s">
        <v>2963</v>
      </c>
      <c r="I219" t="s">
        <v>3143</v>
      </c>
    </row>
    <row r="220" customHeight="1" ht="14.0">
      <c r="A220" t="s">
        <v>1005</v>
      </c>
      <c r="B220" s="153">
        <v>37313.0</v>
      </c>
      <c r="C220">
        <v>0.0</v>
      </c>
      <c r="D220">
        <v>0.0</v>
      </c>
      <c r="F220" t="s">
        <v>2942</v>
      </c>
      <c r="G220" t="s">
        <v>2943</v>
      </c>
      <c r="H220" t="s">
        <v>2963</v>
      </c>
      <c r="I220" t="s">
        <v>3143</v>
      </c>
    </row>
    <row r="221" customHeight="1" ht="14.0">
      <c r="A221" t="s">
        <v>1006</v>
      </c>
      <c r="B221" s="153">
        <v>37314.0</v>
      </c>
      <c r="C221">
        <v>14.0</v>
      </c>
      <c r="D221">
        <v>101.81</v>
      </c>
      <c r="E221">
        <v>7.2721</v>
      </c>
      <c r="F221" t="s">
        <v>2942</v>
      </c>
      <c r="G221" t="s">
        <v>2962</v>
      </c>
      <c r="H221" t="s">
        <v>2963</v>
      </c>
      <c r="I221" t="s">
        <v>3143</v>
      </c>
    </row>
    <row r="222" customHeight="1" ht="14.0">
      <c r="A222" t="s">
        <v>1007</v>
      </c>
      <c r="B222" s="153">
        <v>37315.0</v>
      </c>
      <c r="C222">
        <v>0.0</v>
      </c>
      <c r="D222">
        <v>0.0</v>
      </c>
      <c r="F222" t="s">
        <v>2942</v>
      </c>
      <c r="G222" t="s">
        <v>2943</v>
      </c>
      <c r="H222" t="s">
        <v>2963</v>
      </c>
      <c r="I222" t="s">
        <v>3143</v>
      </c>
    </row>
    <row r="223" customHeight="1" ht="14.0">
      <c r="A223" t="s">
        <v>3146</v>
      </c>
      <c r="B223" s="153">
        <v>37316.0</v>
      </c>
      <c r="C223">
        <v>0.0</v>
      </c>
      <c r="D223">
        <v>0.0</v>
      </c>
      <c r="F223" t="s">
        <v>2942</v>
      </c>
      <c r="G223" t="s">
        <v>2943</v>
      </c>
      <c r="I223" t="s">
        <v>3143</v>
      </c>
    </row>
    <row r="224" customHeight="1" ht="14.0">
      <c r="A224" t="s">
        <v>1008</v>
      </c>
      <c r="B224" s="153">
        <v>37317.0</v>
      </c>
      <c r="C224">
        <v>3.0</v>
      </c>
      <c r="D224">
        <v>25.11</v>
      </c>
      <c r="E224">
        <v>8.37</v>
      </c>
      <c r="F224" t="s">
        <v>2942</v>
      </c>
      <c r="G224" t="s">
        <v>2962</v>
      </c>
      <c r="H224" t="s">
        <v>2963</v>
      </c>
      <c r="I224" t="s">
        <v>3143</v>
      </c>
    </row>
    <row r="225" customHeight="1" ht="14.0">
      <c r="A225" t="s">
        <v>1009</v>
      </c>
      <c r="B225" s="153">
        <v>37318.0</v>
      </c>
      <c r="C225">
        <v>13.0</v>
      </c>
      <c r="D225">
        <v>94.55</v>
      </c>
      <c r="E225">
        <v>7.2731</v>
      </c>
      <c r="F225" t="s">
        <v>2942</v>
      </c>
      <c r="G225" t="s">
        <v>2962</v>
      </c>
      <c r="H225" t="s">
        <v>2963</v>
      </c>
      <c r="I225" t="s">
        <v>3143</v>
      </c>
    </row>
    <row r="226" customHeight="1" ht="14.0">
      <c r="A226" t="s">
        <v>1010</v>
      </c>
      <c r="B226" s="153">
        <v>37319.0</v>
      </c>
      <c r="C226">
        <v>0.0</v>
      </c>
      <c r="D226">
        <v>0.0</v>
      </c>
      <c r="F226" t="s">
        <v>2942</v>
      </c>
      <c r="G226" t="s">
        <v>2943</v>
      </c>
      <c r="H226" t="s">
        <v>2963</v>
      </c>
      <c r="I226" t="s">
        <v>3143</v>
      </c>
    </row>
    <row r="227" customHeight="1" ht="14.0">
      <c r="A227" t="s">
        <v>3147</v>
      </c>
      <c r="B227" s="153">
        <v>37320.0</v>
      </c>
      <c r="C227">
        <v>0.0</v>
      </c>
      <c r="D227">
        <v>0.0</v>
      </c>
      <c r="F227" t="s">
        <v>2942</v>
      </c>
      <c r="G227" t="s">
        <v>2943</v>
      </c>
      <c r="I227" t="s">
        <v>3143</v>
      </c>
    </row>
    <row r="228" customHeight="1" ht="14.0">
      <c r="A228" t="s">
        <v>1011</v>
      </c>
      <c r="B228" s="153">
        <v>37321.0</v>
      </c>
      <c r="C228">
        <v>43.0</v>
      </c>
      <c r="D228">
        <v>359.48</v>
      </c>
      <c r="E228">
        <v>8.36</v>
      </c>
      <c r="F228" t="s">
        <v>2942</v>
      </c>
      <c r="G228" t="s">
        <v>2962</v>
      </c>
      <c r="H228" t="s">
        <v>2963</v>
      </c>
      <c r="I228" t="s">
        <v>3143</v>
      </c>
    </row>
    <row r="229" customHeight="1" ht="14.0">
      <c r="A229" t="s">
        <v>3148</v>
      </c>
      <c r="B229" s="153">
        <v>37322.0</v>
      </c>
      <c r="C229">
        <v>0.0</v>
      </c>
      <c r="D229">
        <v>0.0</v>
      </c>
      <c r="F229" t="s">
        <v>2942</v>
      </c>
      <c r="G229" t="s">
        <v>2943</v>
      </c>
      <c r="I229" t="s">
        <v>3143</v>
      </c>
    </row>
    <row r="230" customHeight="1" ht="14.0">
      <c r="A230" t="s">
        <v>3149</v>
      </c>
      <c r="B230" s="153">
        <v>37323.0</v>
      </c>
      <c r="C230">
        <v>0.0</v>
      </c>
      <c r="D230">
        <v>0.0</v>
      </c>
      <c r="F230" t="s">
        <v>2942</v>
      </c>
      <c r="G230" t="s">
        <v>2943</v>
      </c>
      <c r="I230" t="s">
        <v>3143</v>
      </c>
    </row>
    <row r="231" customHeight="1" ht="14.0">
      <c r="A231" t="s">
        <v>3150</v>
      </c>
      <c r="B231" s="153">
        <v>37324.0</v>
      </c>
      <c r="C231">
        <v>0.0</v>
      </c>
      <c r="D231">
        <v>0.0</v>
      </c>
      <c r="F231" t="s">
        <v>2942</v>
      </c>
      <c r="G231" t="s">
        <v>2943</v>
      </c>
      <c r="I231" t="s">
        <v>3143</v>
      </c>
    </row>
    <row r="232" customHeight="1" ht="14.0">
      <c r="A232" t="s">
        <v>3151</v>
      </c>
      <c r="B232" s="153">
        <v>37325.0</v>
      </c>
      <c r="C232">
        <v>0.0</v>
      </c>
      <c r="D232">
        <v>0.0</v>
      </c>
      <c r="F232" t="s">
        <v>2942</v>
      </c>
      <c r="G232" t="s">
        <v>2943</v>
      </c>
      <c r="I232" t="s">
        <v>3143</v>
      </c>
    </row>
    <row r="233" customHeight="1" ht="14.0">
      <c r="A233" t="s">
        <v>3152</v>
      </c>
      <c r="B233" s="153">
        <v>37326.0</v>
      </c>
      <c r="C233">
        <v>0.0</v>
      </c>
      <c r="D233">
        <v>0.0</v>
      </c>
      <c r="F233" t="s">
        <v>2942</v>
      </c>
      <c r="G233" t="s">
        <v>2943</v>
      </c>
      <c r="I233" t="s">
        <v>3143</v>
      </c>
    </row>
    <row r="234" customHeight="1" ht="14.0">
      <c r="A234" t="s">
        <v>1012</v>
      </c>
      <c r="B234" s="153" t="s">
        <v>1013</v>
      </c>
      <c r="C234">
        <v>0.0</v>
      </c>
      <c r="D234">
        <v>0.0</v>
      </c>
      <c r="F234" t="s">
        <v>2942</v>
      </c>
      <c r="G234" t="s">
        <v>2943</v>
      </c>
      <c r="H234" t="s">
        <v>2963</v>
      </c>
      <c r="I234" t="s">
        <v>3153</v>
      </c>
    </row>
    <row r="235" customHeight="1" ht="14.0">
      <c r="A235" t="s">
        <v>1014</v>
      </c>
      <c r="B235" s="153" t="s">
        <v>1015</v>
      </c>
      <c r="C235">
        <v>54.0</v>
      </c>
      <c r="D235">
        <v>316.67</v>
      </c>
      <c r="E235">
        <v>5.8643</v>
      </c>
      <c r="F235" t="s">
        <v>2942</v>
      </c>
      <c r="G235" t="s">
        <v>2962</v>
      </c>
      <c r="H235" t="s">
        <v>2963</v>
      </c>
      <c r="I235" t="s">
        <v>3153</v>
      </c>
    </row>
    <row r="236" customHeight="1" ht="14.0">
      <c r="A236" t="s">
        <v>1016</v>
      </c>
      <c r="B236" s="153" t="s">
        <v>1017</v>
      </c>
      <c r="C236">
        <v>332.0</v>
      </c>
      <c r="D236">
        <v>2653.77</v>
      </c>
      <c r="E236">
        <v>7.9933</v>
      </c>
      <c r="F236" t="s">
        <v>2942</v>
      </c>
      <c r="G236" t="s">
        <v>2962</v>
      </c>
      <c r="H236" t="s">
        <v>2963</v>
      </c>
      <c r="I236" t="s">
        <v>3154</v>
      </c>
    </row>
    <row r="237" customHeight="1" ht="14.0">
      <c r="A237" t="s">
        <v>1018</v>
      </c>
      <c r="B237" s="153" t="s">
        <v>1019</v>
      </c>
      <c r="C237">
        <v>0.0</v>
      </c>
      <c r="D237">
        <v>0.0</v>
      </c>
      <c r="F237" t="s">
        <v>2942</v>
      </c>
      <c r="G237" t="s">
        <v>2943</v>
      </c>
      <c r="H237" t="s">
        <v>2963</v>
      </c>
      <c r="I237" t="s">
        <v>3154</v>
      </c>
    </row>
    <row r="238" customHeight="1" ht="14.0">
      <c r="A238" t="s">
        <v>1020</v>
      </c>
      <c r="B238" s="153" t="s">
        <v>1021</v>
      </c>
      <c r="C238">
        <v>6158.0</v>
      </c>
      <c r="D238">
        <v>13911.06</v>
      </c>
      <c r="E238">
        <v>2.259</v>
      </c>
      <c r="F238" t="s">
        <v>2942</v>
      </c>
      <c r="G238" t="s">
        <v>2962</v>
      </c>
      <c r="H238" t="s">
        <v>3155</v>
      </c>
      <c r="I238" t="s">
        <v>3153</v>
      </c>
    </row>
    <row r="239" customHeight="1" ht="14.0">
      <c r="A239" t="s">
        <v>1022</v>
      </c>
      <c r="B239" s="153" t="s">
        <v>1023</v>
      </c>
      <c r="C239">
        <v>3786.0</v>
      </c>
      <c r="D239">
        <v>8649.13</v>
      </c>
      <c r="E239">
        <v>2.2845</v>
      </c>
      <c r="F239" t="s">
        <v>2942</v>
      </c>
      <c r="G239" t="s">
        <v>2962</v>
      </c>
      <c r="H239" t="s">
        <v>3155</v>
      </c>
      <c r="I239" t="s">
        <v>3153</v>
      </c>
    </row>
    <row r="240" customHeight="1" ht="14.0">
      <c r="A240" t="s">
        <v>1024</v>
      </c>
      <c r="B240" s="153" t="s">
        <v>1025</v>
      </c>
      <c r="C240">
        <v>2068.0</v>
      </c>
      <c r="D240">
        <v>4535.41</v>
      </c>
      <c r="E240">
        <v>2.1931</v>
      </c>
      <c r="F240" t="s">
        <v>2942</v>
      </c>
      <c r="G240" t="s">
        <v>2962</v>
      </c>
      <c r="H240" t="s">
        <v>3155</v>
      </c>
      <c r="I240" t="s">
        <v>3153</v>
      </c>
    </row>
    <row r="241" customHeight="1" ht="14.0">
      <c r="A241" t="s">
        <v>1026</v>
      </c>
      <c r="B241" s="153" t="s">
        <v>1027</v>
      </c>
      <c r="C241">
        <v>5360.0</v>
      </c>
      <c r="D241">
        <v>12148.36</v>
      </c>
      <c r="E241">
        <v>2.2665</v>
      </c>
      <c r="F241" t="s">
        <v>2942</v>
      </c>
      <c r="G241" t="s">
        <v>2962</v>
      </c>
      <c r="H241" t="s">
        <v>3155</v>
      </c>
      <c r="I241" t="s">
        <v>3153</v>
      </c>
    </row>
    <row r="242" customHeight="1" ht="14.0">
      <c r="A242" t="s">
        <v>1028</v>
      </c>
      <c r="B242" s="153" t="s">
        <v>1029</v>
      </c>
      <c r="C242">
        <v>1.0</v>
      </c>
      <c r="D242">
        <v>2.3</v>
      </c>
      <c r="E242">
        <v>2.3</v>
      </c>
      <c r="F242" t="s">
        <v>2942</v>
      </c>
      <c r="G242" t="s">
        <v>2943</v>
      </c>
      <c r="H242" t="s">
        <v>2944</v>
      </c>
      <c r="I242" t="s">
        <v>3153</v>
      </c>
    </row>
    <row r="243" customHeight="1" ht="14.0">
      <c r="A243" t="s">
        <v>1030</v>
      </c>
      <c r="B243" s="153" t="s">
        <v>1031</v>
      </c>
      <c r="C243">
        <v>5661.0</v>
      </c>
      <c r="D243">
        <v>12814.44</v>
      </c>
      <c r="E243">
        <v>2.2636</v>
      </c>
      <c r="F243" t="s">
        <v>2942</v>
      </c>
      <c r="G243" t="s">
        <v>2962</v>
      </c>
      <c r="H243" t="s">
        <v>3155</v>
      </c>
      <c r="I243" t="s">
        <v>3153</v>
      </c>
    </row>
    <row r="244" customHeight="1" ht="14.0">
      <c r="A244" t="s">
        <v>1032</v>
      </c>
      <c r="B244" s="153" t="s">
        <v>1033</v>
      </c>
      <c r="C244">
        <v>5.0</v>
      </c>
      <c r="D244">
        <v>511.03</v>
      </c>
      <c r="E244">
        <v>102.206</v>
      </c>
      <c r="F244" t="s">
        <v>2942</v>
      </c>
      <c r="G244" t="s">
        <v>2962</v>
      </c>
      <c r="H244" t="s">
        <v>3155</v>
      </c>
      <c r="I244" t="s">
        <v>3153</v>
      </c>
    </row>
    <row r="245" customHeight="1" ht="14.0">
      <c r="A245" t="s">
        <v>3156</v>
      </c>
      <c r="B245" s="153" t="s">
        <v>3157</v>
      </c>
      <c r="C245">
        <v>0.0</v>
      </c>
      <c r="D245">
        <v>0.0</v>
      </c>
      <c r="F245" t="s">
        <v>2942</v>
      </c>
      <c r="G245" t="s">
        <v>2943</v>
      </c>
      <c r="H245" t="s">
        <v>2944</v>
      </c>
      <c r="I245" t="s">
        <v>3158</v>
      </c>
    </row>
    <row r="246" customHeight="1" ht="14.0">
      <c r="A246" t="s">
        <v>1034</v>
      </c>
      <c r="B246" s="153" t="s">
        <v>1035</v>
      </c>
      <c r="C246">
        <v>0.0</v>
      </c>
      <c r="D246">
        <v>0.0</v>
      </c>
      <c r="F246" t="s">
        <v>2942</v>
      </c>
      <c r="G246" t="s">
        <v>2962</v>
      </c>
      <c r="H246" t="s">
        <v>2963</v>
      </c>
      <c r="I246" t="s">
        <v>3153</v>
      </c>
    </row>
    <row r="247" customHeight="1" ht="14.0">
      <c r="A247" t="s">
        <v>1036</v>
      </c>
      <c r="B247" s="153" t="s">
        <v>1037</v>
      </c>
      <c r="C247">
        <v>0.0</v>
      </c>
      <c r="D247">
        <v>0.0</v>
      </c>
      <c r="F247" t="s">
        <v>2942</v>
      </c>
      <c r="G247" t="s">
        <v>2962</v>
      </c>
      <c r="H247" t="s">
        <v>2963</v>
      </c>
      <c r="I247" t="s">
        <v>3153</v>
      </c>
    </row>
    <row r="248" customHeight="1" ht="14.0">
      <c r="A248" t="s">
        <v>1038</v>
      </c>
      <c r="B248" s="153" t="s">
        <v>1039</v>
      </c>
      <c r="C248">
        <v>0.0</v>
      </c>
      <c r="D248">
        <v>0.0</v>
      </c>
      <c r="F248" t="s">
        <v>2942</v>
      </c>
      <c r="G248" t="s">
        <v>2943</v>
      </c>
      <c r="H248" t="s">
        <v>2944</v>
      </c>
      <c r="I248" t="s">
        <v>3153</v>
      </c>
    </row>
    <row r="249" customHeight="1" ht="14.0">
      <c r="A249" t="s">
        <v>1040</v>
      </c>
      <c r="B249" s="153" t="s">
        <v>1041</v>
      </c>
      <c r="C249">
        <v>879.0</v>
      </c>
      <c r="D249">
        <v>4673.89</v>
      </c>
      <c r="E249">
        <v>5.3173</v>
      </c>
      <c r="F249" t="s">
        <v>2942</v>
      </c>
      <c r="G249" t="s">
        <v>2962</v>
      </c>
      <c r="H249" t="s">
        <v>3155</v>
      </c>
      <c r="I249" t="s">
        <v>3153</v>
      </c>
    </row>
    <row r="250" customHeight="1" ht="14.0">
      <c r="A250" t="s">
        <v>1042</v>
      </c>
      <c r="B250" s="153" t="s">
        <v>1043</v>
      </c>
      <c r="C250">
        <v>666.0</v>
      </c>
      <c r="D250">
        <v>3445.3</v>
      </c>
      <c r="E250">
        <v>5.1731</v>
      </c>
      <c r="F250" t="s">
        <v>2942</v>
      </c>
      <c r="G250" t="s">
        <v>2962</v>
      </c>
      <c r="H250" t="s">
        <v>3155</v>
      </c>
      <c r="I250" t="s">
        <v>3153</v>
      </c>
    </row>
    <row r="251" customHeight="1" ht="14.0">
      <c r="A251" t="s">
        <v>1044</v>
      </c>
      <c r="B251" s="153" t="s">
        <v>1045</v>
      </c>
      <c r="C251">
        <v>0.0</v>
      </c>
      <c r="D251">
        <v>0.0</v>
      </c>
      <c r="F251" t="s">
        <v>2942</v>
      </c>
      <c r="G251" t="s">
        <v>2943</v>
      </c>
      <c r="H251" t="s">
        <v>2944</v>
      </c>
      <c r="I251" t="s">
        <v>3153</v>
      </c>
    </row>
    <row r="252" customHeight="1" ht="14.0">
      <c r="A252" t="s">
        <v>1046</v>
      </c>
      <c r="B252" s="153" t="s">
        <v>1047</v>
      </c>
      <c r="C252">
        <v>769.0</v>
      </c>
      <c r="D252">
        <v>3914.86</v>
      </c>
      <c r="E252">
        <v>5.0908</v>
      </c>
      <c r="F252" t="s">
        <v>2942</v>
      </c>
      <c r="G252" t="s">
        <v>2962</v>
      </c>
      <c r="H252" t="s">
        <v>3155</v>
      </c>
      <c r="I252" t="s">
        <v>3153</v>
      </c>
    </row>
    <row r="253" customHeight="1" ht="14.0">
      <c r="A253" t="s">
        <v>1048</v>
      </c>
      <c r="B253" s="153" t="s">
        <v>1049</v>
      </c>
      <c r="C253">
        <v>1250.0</v>
      </c>
      <c r="D253">
        <v>6452.93</v>
      </c>
      <c r="E253">
        <v>5.1623</v>
      </c>
      <c r="F253" t="s">
        <v>2942</v>
      </c>
      <c r="G253" t="s">
        <v>2962</v>
      </c>
      <c r="H253" t="s">
        <v>3155</v>
      </c>
      <c r="I253" t="s">
        <v>3153</v>
      </c>
    </row>
    <row r="254" customHeight="1" ht="14.0">
      <c r="A254" t="s">
        <v>1052</v>
      </c>
      <c r="B254" s="153" t="s">
        <v>1053</v>
      </c>
      <c r="C254">
        <v>0.0</v>
      </c>
      <c r="D254">
        <v>0.0</v>
      </c>
      <c r="F254" t="s">
        <v>2942</v>
      </c>
      <c r="G254" t="s">
        <v>2943</v>
      </c>
      <c r="H254" t="s">
        <v>2944</v>
      </c>
      <c r="I254" t="s">
        <v>3153</v>
      </c>
    </row>
    <row r="255" customHeight="1" ht="14.0">
      <c r="A255" t="s">
        <v>1050</v>
      </c>
      <c r="B255" s="153" t="s">
        <v>1051</v>
      </c>
      <c r="C255">
        <v>2.0</v>
      </c>
      <c r="D255">
        <v>14.25</v>
      </c>
      <c r="E255">
        <v>7.125</v>
      </c>
      <c r="F255" t="s">
        <v>2942</v>
      </c>
      <c r="G255" t="s">
        <v>2962</v>
      </c>
      <c r="H255" t="s">
        <v>2963</v>
      </c>
      <c r="I255" t="s">
        <v>3153</v>
      </c>
    </row>
    <row r="256" customHeight="1" ht="14.0">
      <c r="A256" t="s">
        <v>1054</v>
      </c>
      <c r="B256" s="153" t="s">
        <v>1055</v>
      </c>
      <c r="C256">
        <v>0.0</v>
      </c>
      <c r="D256">
        <v>0.0</v>
      </c>
      <c r="F256" t="s">
        <v>2942</v>
      </c>
      <c r="G256" t="s">
        <v>2943</v>
      </c>
      <c r="H256" t="s">
        <v>2944</v>
      </c>
      <c r="I256" t="s">
        <v>3153</v>
      </c>
    </row>
    <row r="257" customHeight="1" ht="14.0">
      <c r="A257" t="s">
        <v>1056</v>
      </c>
      <c r="B257" s="153" t="s">
        <v>1057</v>
      </c>
      <c r="C257">
        <v>294.0</v>
      </c>
      <c r="D257">
        <v>1520.85</v>
      </c>
      <c r="E257">
        <v>5.173</v>
      </c>
      <c r="F257" t="s">
        <v>2942</v>
      </c>
      <c r="G257" t="s">
        <v>2962</v>
      </c>
      <c r="H257" t="s">
        <v>3155</v>
      </c>
      <c r="I257" t="s">
        <v>3153</v>
      </c>
    </row>
    <row r="258" customHeight="1" ht="14.0">
      <c r="A258" t="s">
        <v>1058</v>
      </c>
      <c r="B258" s="153" t="s">
        <v>1059</v>
      </c>
      <c r="C258">
        <v>1.0</v>
      </c>
      <c r="D258">
        <v>177.17</v>
      </c>
      <c r="E258">
        <v>177.17</v>
      </c>
      <c r="F258" t="s">
        <v>2942</v>
      </c>
      <c r="G258" t="s">
        <v>2962</v>
      </c>
      <c r="H258" t="s">
        <v>3155</v>
      </c>
      <c r="I258" t="s">
        <v>3153</v>
      </c>
    </row>
    <row r="259" customHeight="1" ht="14.0">
      <c r="A259" t="s">
        <v>3159</v>
      </c>
      <c r="B259" s="153" t="s">
        <v>3160</v>
      </c>
      <c r="C259">
        <v>0.0</v>
      </c>
      <c r="D259">
        <v>0.0</v>
      </c>
      <c r="F259" t="s">
        <v>2994</v>
      </c>
      <c r="G259" t="s">
        <v>2962</v>
      </c>
      <c r="H259" t="s">
        <v>3161</v>
      </c>
      <c r="I259" t="s">
        <v>83</v>
      </c>
    </row>
    <row r="260" customHeight="1" ht="14.0">
      <c r="A260" t="s">
        <v>3162</v>
      </c>
      <c r="B260" s="153" t="s">
        <v>3163</v>
      </c>
      <c r="C260">
        <v>2.0</v>
      </c>
      <c r="D260">
        <v>144.0</v>
      </c>
      <c r="E260">
        <v>72.0</v>
      </c>
      <c r="F260" t="s">
        <v>2994</v>
      </c>
      <c r="G260" t="s">
        <v>2962</v>
      </c>
      <c r="H260" t="s">
        <v>3161</v>
      </c>
      <c r="I260" t="s">
        <v>3164</v>
      </c>
    </row>
    <row r="261" customHeight="1" ht="14.0">
      <c r="A261" t="s">
        <v>3165</v>
      </c>
      <c r="B261" s="153" t="s">
        <v>3166</v>
      </c>
      <c r="C261">
        <v>1.0</v>
      </c>
      <c r="D261">
        <v>111.38</v>
      </c>
      <c r="E261">
        <v>111.38</v>
      </c>
      <c r="F261" t="s">
        <v>2994</v>
      </c>
      <c r="G261" t="s">
        <v>2962</v>
      </c>
      <c r="H261" t="s">
        <v>3161</v>
      </c>
      <c r="I261" t="s">
        <v>3167</v>
      </c>
    </row>
    <row r="262" customHeight="1" ht="14.0">
      <c r="A262" t="s">
        <v>3168</v>
      </c>
      <c r="B262" s="153" t="s">
        <v>3169</v>
      </c>
      <c r="C262">
        <v>300.0</v>
      </c>
      <c r="D262">
        <v>1632.73</v>
      </c>
      <c r="E262">
        <v>5.4424</v>
      </c>
      <c r="F262" t="s">
        <v>2942</v>
      </c>
      <c r="G262" t="s">
        <v>2962</v>
      </c>
      <c r="H262" t="s">
        <v>2984</v>
      </c>
      <c r="I262" t="s">
        <v>3170</v>
      </c>
    </row>
    <row r="263" customHeight="1" ht="14.0">
      <c r="A263" t="s">
        <v>3171</v>
      </c>
      <c r="B263" s="153" t="s">
        <v>3172</v>
      </c>
      <c r="C263">
        <v>0.0</v>
      </c>
      <c r="D263">
        <v>0.0</v>
      </c>
      <c r="F263" t="s">
        <v>2942</v>
      </c>
      <c r="G263" t="s">
        <v>2943</v>
      </c>
      <c r="H263" t="s">
        <v>2944</v>
      </c>
      <c r="I263" t="s">
        <v>3173</v>
      </c>
    </row>
    <row r="264" customHeight="1" ht="14.0">
      <c r="A264" t="s">
        <v>3174</v>
      </c>
      <c r="B264" s="153" t="s">
        <v>3175</v>
      </c>
      <c r="C264">
        <v>0.0</v>
      </c>
      <c r="D264">
        <v>0.0</v>
      </c>
      <c r="F264" t="s">
        <v>2942</v>
      </c>
      <c r="G264" t="s">
        <v>2943</v>
      </c>
      <c r="H264" t="s">
        <v>2944</v>
      </c>
      <c r="I264" t="s">
        <v>3176</v>
      </c>
    </row>
    <row r="265" customHeight="1" ht="14.0">
      <c r="A265" t="s">
        <v>3177</v>
      </c>
      <c r="B265" s="153" t="s">
        <v>3178</v>
      </c>
      <c r="C265">
        <v>0.0</v>
      </c>
      <c r="D265">
        <v>0.0</v>
      </c>
      <c r="F265" t="s">
        <v>2942</v>
      </c>
      <c r="G265" t="s">
        <v>2943</v>
      </c>
      <c r="H265" t="s">
        <v>2944</v>
      </c>
      <c r="I265" t="s">
        <v>3179</v>
      </c>
    </row>
    <row r="266" customHeight="1" ht="14.0">
      <c r="A266" t="s">
        <v>3180</v>
      </c>
      <c r="B266" s="153" t="s">
        <v>3181</v>
      </c>
      <c r="C266">
        <v>400.0</v>
      </c>
      <c r="D266">
        <v>2176.98</v>
      </c>
      <c r="E266">
        <v>5.4425</v>
      </c>
      <c r="F266" t="s">
        <v>2942</v>
      </c>
      <c r="G266" t="s">
        <v>2962</v>
      </c>
      <c r="H266" t="s">
        <v>2984</v>
      </c>
      <c r="I266" t="s">
        <v>3170</v>
      </c>
    </row>
    <row r="267" customHeight="1" ht="14.0">
      <c r="A267" t="s">
        <v>1060</v>
      </c>
      <c r="B267" s="153" t="s">
        <v>1061</v>
      </c>
      <c r="C267">
        <v>0.0</v>
      </c>
      <c r="D267">
        <v>0.0</v>
      </c>
      <c r="F267" t="s">
        <v>2942</v>
      </c>
      <c r="G267" t="s">
        <v>2943</v>
      </c>
      <c r="H267" t="s">
        <v>2944</v>
      </c>
      <c r="I267" t="s">
        <v>3179</v>
      </c>
    </row>
    <row r="268" customHeight="1" ht="14.0">
      <c r="A268" t="s">
        <v>1062</v>
      </c>
      <c r="B268" s="153" t="s">
        <v>1063</v>
      </c>
      <c r="C268">
        <v>0.0</v>
      </c>
      <c r="D268">
        <v>0.0</v>
      </c>
      <c r="F268" t="s">
        <v>2942</v>
      </c>
      <c r="G268" t="s">
        <v>2943</v>
      </c>
      <c r="H268" t="s">
        <v>2944</v>
      </c>
      <c r="I268" t="s">
        <v>3179</v>
      </c>
    </row>
    <row r="269" customHeight="1" ht="14.0">
      <c r="A269" t="s">
        <v>1064</v>
      </c>
      <c r="B269" s="153" t="s">
        <v>1065</v>
      </c>
      <c r="C269">
        <v>0.0</v>
      </c>
      <c r="D269">
        <v>0.0</v>
      </c>
      <c r="F269" t="s">
        <v>2942</v>
      </c>
      <c r="G269" t="s">
        <v>2943</v>
      </c>
      <c r="H269" t="s">
        <v>2944</v>
      </c>
      <c r="I269" t="s">
        <v>3179</v>
      </c>
    </row>
    <row r="270" customHeight="1" ht="14.0">
      <c r="A270" t="s">
        <v>3182</v>
      </c>
      <c r="B270" s="153" t="s">
        <v>3183</v>
      </c>
      <c r="C270">
        <v>0.0</v>
      </c>
      <c r="D270">
        <v>0.0</v>
      </c>
      <c r="F270" t="s">
        <v>2942</v>
      </c>
      <c r="G270" t="s">
        <v>2943</v>
      </c>
      <c r="H270" t="s">
        <v>2944</v>
      </c>
      <c r="I270" t="s">
        <v>3176</v>
      </c>
    </row>
    <row r="271" customHeight="1" ht="14.0">
      <c r="A271" t="s">
        <v>3184</v>
      </c>
      <c r="B271" s="153" t="s">
        <v>3185</v>
      </c>
      <c r="C271">
        <v>452.0</v>
      </c>
      <c r="D271">
        <v>2459.99</v>
      </c>
      <c r="E271">
        <v>5.4425</v>
      </c>
      <c r="F271" t="s">
        <v>2942</v>
      </c>
      <c r="G271" t="s">
        <v>2962</v>
      </c>
      <c r="H271" t="s">
        <v>2984</v>
      </c>
      <c r="I271" t="s">
        <v>3170</v>
      </c>
    </row>
    <row r="272" customHeight="1" ht="14.0">
      <c r="A272" t="s">
        <v>3186</v>
      </c>
      <c r="B272" s="153" t="s">
        <v>3187</v>
      </c>
      <c r="C272">
        <v>0.0</v>
      </c>
      <c r="D272">
        <v>0.0</v>
      </c>
      <c r="F272" t="s">
        <v>2942</v>
      </c>
      <c r="G272" t="s">
        <v>2943</v>
      </c>
      <c r="H272" t="s">
        <v>2944</v>
      </c>
      <c r="I272" t="s">
        <v>3179</v>
      </c>
    </row>
    <row r="273" customHeight="1" ht="14.0">
      <c r="A273" t="s">
        <v>1066</v>
      </c>
      <c r="B273" s="153" t="s">
        <v>1067</v>
      </c>
      <c r="C273">
        <v>0.0</v>
      </c>
      <c r="D273">
        <v>0.0</v>
      </c>
      <c r="F273" t="s">
        <v>2942</v>
      </c>
      <c r="G273" t="s">
        <v>2943</v>
      </c>
      <c r="H273" t="s">
        <v>2944</v>
      </c>
      <c r="I273" t="s">
        <v>3021</v>
      </c>
    </row>
    <row r="274" customHeight="1" ht="14.0">
      <c r="A274" t="s">
        <v>3188</v>
      </c>
      <c r="B274" s="153" t="s">
        <v>3189</v>
      </c>
      <c r="C274">
        <v>389.0</v>
      </c>
      <c r="D274">
        <v>2117.12</v>
      </c>
      <c r="E274">
        <v>5.4425</v>
      </c>
      <c r="F274" t="s">
        <v>2942</v>
      </c>
      <c r="G274" t="s">
        <v>2962</v>
      </c>
      <c r="H274" t="s">
        <v>2984</v>
      </c>
      <c r="I274" t="s">
        <v>3170</v>
      </c>
    </row>
    <row r="275" customHeight="1" ht="14.0">
      <c r="A275" t="s">
        <v>3190</v>
      </c>
      <c r="B275" s="153" t="s">
        <v>3191</v>
      </c>
      <c r="C275">
        <v>405.0</v>
      </c>
      <c r="D275">
        <v>2204.21</v>
      </c>
      <c r="E275">
        <v>5.4425</v>
      </c>
      <c r="F275" t="s">
        <v>2942</v>
      </c>
      <c r="G275" t="s">
        <v>2962</v>
      </c>
      <c r="H275" t="s">
        <v>2984</v>
      </c>
      <c r="I275" t="s">
        <v>3170</v>
      </c>
    </row>
    <row r="276" customHeight="1" ht="14.0">
      <c r="A276" t="s">
        <v>3192</v>
      </c>
      <c r="B276" s="153" t="s">
        <v>3193</v>
      </c>
      <c r="C276">
        <v>392.0</v>
      </c>
      <c r="D276">
        <v>2133.44</v>
      </c>
      <c r="E276">
        <v>5.4424</v>
      </c>
      <c r="F276" t="s">
        <v>2942</v>
      </c>
      <c r="G276" t="s">
        <v>2962</v>
      </c>
      <c r="H276" t="s">
        <v>2984</v>
      </c>
      <c r="I276" t="s">
        <v>3170</v>
      </c>
    </row>
    <row r="277" customHeight="1" ht="14.0">
      <c r="A277" t="s">
        <v>1068</v>
      </c>
      <c r="B277" s="153" t="s">
        <v>1069</v>
      </c>
      <c r="C277">
        <v>36.0</v>
      </c>
      <c r="D277">
        <v>14.82</v>
      </c>
      <c r="E277">
        <v>0.4117</v>
      </c>
      <c r="F277" t="s">
        <v>2942</v>
      </c>
      <c r="G277" t="s">
        <v>2962</v>
      </c>
      <c r="H277" t="s">
        <v>2963</v>
      </c>
      <c r="I277" t="s">
        <v>83</v>
      </c>
    </row>
    <row r="278" customHeight="1" ht="14.0">
      <c r="A278" t="s">
        <v>1070</v>
      </c>
      <c r="B278" s="153" t="s">
        <v>1071</v>
      </c>
      <c r="C278">
        <v>723.0</v>
      </c>
      <c r="D278">
        <v>307.47</v>
      </c>
      <c r="E278">
        <v>0.4253</v>
      </c>
      <c r="F278" t="s">
        <v>2942</v>
      </c>
      <c r="G278" t="s">
        <v>2962</v>
      </c>
      <c r="H278" t="s">
        <v>2963</v>
      </c>
      <c r="I278" t="s">
        <v>83</v>
      </c>
    </row>
    <row r="279" customHeight="1" ht="14.0">
      <c r="A279" t="s">
        <v>1072</v>
      </c>
      <c r="B279" s="153" t="s">
        <v>1073</v>
      </c>
      <c r="C279">
        <v>3.0</v>
      </c>
      <c r="D279">
        <v>0.98</v>
      </c>
      <c r="E279">
        <v>0.3267</v>
      </c>
      <c r="F279" t="s">
        <v>2942</v>
      </c>
      <c r="G279" t="s">
        <v>2962</v>
      </c>
      <c r="H279" t="s">
        <v>2963</v>
      </c>
      <c r="I279" t="s">
        <v>83</v>
      </c>
    </row>
    <row r="280" customHeight="1" ht="14.0">
      <c r="A280" t="s">
        <v>1074</v>
      </c>
      <c r="B280" s="153" t="s">
        <v>1075</v>
      </c>
      <c r="C280">
        <v>0.0</v>
      </c>
      <c r="D280">
        <v>0.0</v>
      </c>
      <c r="F280" t="s">
        <v>2942</v>
      </c>
      <c r="G280" t="s">
        <v>2962</v>
      </c>
      <c r="H280" t="s">
        <v>2963</v>
      </c>
      <c r="I280" t="s">
        <v>83</v>
      </c>
    </row>
    <row r="281" customHeight="1" ht="14.0">
      <c r="A281" t="s">
        <v>1076</v>
      </c>
      <c r="B281" s="153" t="s">
        <v>1077</v>
      </c>
      <c r="C281">
        <v>351.0</v>
      </c>
      <c r="D281">
        <v>149.11</v>
      </c>
      <c r="E281">
        <v>0.4248</v>
      </c>
      <c r="F281" t="s">
        <v>2942</v>
      </c>
      <c r="G281" t="s">
        <v>2962</v>
      </c>
      <c r="H281" t="s">
        <v>2963</v>
      </c>
      <c r="I281" t="s">
        <v>83</v>
      </c>
    </row>
    <row r="282" customHeight="1" ht="14.0">
      <c r="A282" t="s">
        <v>1078</v>
      </c>
      <c r="B282" s="153" t="s">
        <v>1079</v>
      </c>
      <c r="C282">
        <v>674.0</v>
      </c>
      <c r="D282">
        <v>286.6</v>
      </c>
      <c r="E282">
        <v>0.4252</v>
      </c>
      <c r="F282" t="s">
        <v>2942</v>
      </c>
      <c r="G282" t="s">
        <v>2962</v>
      </c>
      <c r="H282" t="s">
        <v>2963</v>
      </c>
      <c r="I282" t="s">
        <v>83</v>
      </c>
    </row>
    <row r="283" customHeight="1" ht="14.0">
      <c r="A283" t="s">
        <v>3194</v>
      </c>
      <c r="B283" s="153" t="s">
        <v>1081</v>
      </c>
      <c r="C283">
        <v>144.0</v>
      </c>
      <c r="D283">
        <v>5670.88</v>
      </c>
      <c r="E283">
        <v>39.3811</v>
      </c>
      <c r="F283" t="s">
        <v>2942</v>
      </c>
      <c r="G283" t="s">
        <v>2962</v>
      </c>
      <c r="H283" t="s">
        <v>2963</v>
      </c>
      <c r="I283" t="s">
        <v>197</v>
      </c>
    </row>
    <row r="284" customHeight="1" ht="14.0">
      <c r="A284" t="s">
        <v>3195</v>
      </c>
      <c r="B284" s="153" t="s">
        <v>3196</v>
      </c>
      <c r="C284">
        <v>1033.0</v>
      </c>
      <c r="D284">
        <v>2266.67</v>
      </c>
      <c r="E284">
        <v>2.1943</v>
      </c>
      <c r="F284" t="s">
        <v>3197</v>
      </c>
      <c r="G284" t="s">
        <v>2962</v>
      </c>
      <c r="H284" t="s">
        <v>3198</v>
      </c>
    </row>
    <row r="285" customHeight="1" ht="14.0">
      <c r="A285" t="s">
        <v>3199</v>
      </c>
      <c r="B285" s="153" t="s">
        <v>3200</v>
      </c>
      <c r="C285">
        <v>0.0</v>
      </c>
      <c r="D285">
        <v>0.0</v>
      </c>
      <c r="F285" t="s">
        <v>3197</v>
      </c>
      <c r="G285" t="s">
        <v>2962</v>
      </c>
      <c r="H285" t="s">
        <v>3201</v>
      </c>
    </row>
    <row r="286" customHeight="1" ht="14.0">
      <c r="A286" t="s">
        <v>3202</v>
      </c>
      <c r="B286" s="153" t="s">
        <v>3203</v>
      </c>
      <c r="C286">
        <v>67.0</v>
      </c>
      <c r="D286">
        <v>2345.16</v>
      </c>
      <c r="E286">
        <v>35.0024</v>
      </c>
      <c r="F286" t="s">
        <v>3197</v>
      </c>
      <c r="G286" t="s">
        <v>2962</v>
      </c>
      <c r="H286" t="s">
        <v>3201</v>
      </c>
    </row>
    <row r="287" customHeight="1" ht="14.0">
      <c r="A287" t="s">
        <v>1082</v>
      </c>
      <c r="B287" s="153" t="s">
        <v>1083</v>
      </c>
      <c r="C287">
        <v>0.0</v>
      </c>
      <c r="D287">
        <v>0.0</v>
      </c>
      <c r="F287" t="s">
        <v>2994</v>
      </c>
      <c r="G287" t="s">
        <v>2943</v>
      </c>
      <c r="H287" t="s">
        <v>2944</v>
      </c>
      <c r="I287" t="s">
        <v>83</v>
      </c>
    </row>
    <row r="288" customHeight="1" ht="14.0">
      <c r="A288" t="s">
        <v>3204</v>
      </c>
      <c r="B288" s="153" t="s">
        <v>3205</v>
      </c>
      <c r="C288">
        <v>0.0</v>
      </c>
      <c r="D288">
        <v>0.0</v>
      </c>
      <c r="F288" t="s">
        <v>2994</v>
      </c>
      <c r="G288" t="s">
        <v>2943</v>
      </c>
      <c r="H288" t="s">
        <v>2944</v>
      </c>
      <c r="I288" t="s">
        <v>3125</v>
      </c>
    </row>
    <row r="289" customHeight="1" ht="14.0">
      <c r="A289" t="s">
        <v>3206</v>
      </c>
      <c r="B289" s="153" t="s">
        <v>3207</v>
      </c>
      <c r="C289">
        <v>0.0</v>
      </c>
      <c r="D289">
        <v>0.0</v>
      </c>
      <c r="F289" t="s">
        <v>2994</v>
      </c>
      <c r="G289" t="s">
        <v>2943</v>
      </c>
      <c r="H289" t="s">
        <v>2944</v>
      </c>
      <c r="I289" t="s">
        <v>289</v>
      </c>
    </row>
    <row r="290" customHeight="1" ht="14.0">
      <c r="A290" t="s">
        <v>3208</v>
      </c>
      <c r="B290" s="153" t="s">
        <v>3209</v>
      </c>
      <c r="C290">
        <v>60.0</v>
      </c>
      <c r="D290">
        <v>47.25</v>
      </c>
      <c r="E290">
        <v>0.7875</v>
      </c>
      <c r="F290" t="s">
        <v>2942</v>
      </c>
      <c r="G290" t="s">
        <v>2962</v>
      </c>
      <c r="H290" t="s">
        <v>3161</v>
      </c>
      <c r="I290" t="s">
        <v>83</v>
      </c>
    </row>
    <row r="291" customHeight="1" ht="14.0">
      <c r="A291" t="s">
        <v>3210</v>
      </c>
      <c r="B291" s="153" t="s">
        <v>3211</v>
      </c>
      <c r="C291">
        <v>475.0</v>
      </c>
      <c r="D291">
        <v>361.0</v>
      </c>
      <c r="E291">
        <v>0.76</v>
      </c>
      <c r="F291" t="s">
        <v>2942</v>
      </c>
      <c r="G291" t="s">
        <v>2962</v>
      </c>
      <c r="H291" t="s">
        <v>3161</v>
      </c>
      <c r="I291" t="s">
        <v>83</v>
      </c>
    </row>
    <row r="292" customHeight="1" ht="14.0">
      <c r="A292" t="s">
        <v>3212</v>
      </c>
      <c r="B292" s="153" t="s">
        <v>3213</v>
      </c>
      <c r="C292">
        <v>200.0</v>
      </c>
      <c r="D292">
        <v>156.16</v>
      </c>
      <c r="E292">
        <v>0.7808</v>
      </c>
      <c r="F292" t="s">
        <v>2942</v>
      </c>
      <c r="G292" t="s">
        <v>2962</v>
      </c>
      <c r="H292" t="s">
        <v>3161</v>
      </c>
      <c r="I292" t="s">
        <v>83</v>
      </c>
    </row>
    <row r="293" customHeight="1" ht="14.0">
      <c r="A293" t="s">
        <v>3214</v>
      </c>
      <c r="B293" s="153" t="s">
        <v>3215</v>
      </c>
      <c r="C293">
        <v>461.0</v>
      </c>
      <c r="D293">
        <v>350.36</v>
      </c>
      <c r="E293">
        <v>0.76</v>
      </c>
      <c r="F293" t="s">
        <v>2942</v>
      </c>
      <c r="G293" t="s">
        <v>2962</v>
      </c>
      <c r="H293" t="s">
        <v>3161</v>
      </c>
      <c r="I293" t="s">
        <v>83</v>
      </c>
    </row>
    <row r="294" customHeight="1" ht="14.0">
      <c r="A294" t="s">
        <v>3216</v>
      </c>
      <c r="B294" s="153" t="s">
        <v>3217</v>
      </c>
      <c r="C294">
        <v>462.0</v>
      </c>
      <c r="D294">
        <v>356.47</v>
      </c>
      <c r="E294">
        <v>0.7716</v>
      </c>
      <c r="F294" t="s">
        <v>2942</v>
      </c>
      <c r="G294" t="s">
        <v>2962</v>
      </c>
      <c r="H294" t="s">
        <v>3161</v>
      </c>
      <c r="I294" t="s">
        <v>83</v>
      </c>
    </row>
    <row r="295" customHeight="1" ht="14.0">
      <c r="A295" t="s">
        <v>3218</v>
      </c>
      <c r="B295" s="153" t="s">
        <v>3219</v>
      </c>
      <c r="C295">
        <v>336.0</v>
      </c>
      <c r="D295">
        <v>262.48</v>
      </c>
      <c r="E295">
        <v>0.7812</v>
      </c>
      <c r="F295" t="s">
        <v>2942</v>
      </c>
      <c r="G295" t="s">
        <v>2962</v>
      </c>
      <c r="H295" t="s">
        <v>3161</v>
      </c>
      <c r="I295" t="s">
        <v>83</v>
      </c>
    </row>
    <row r="296" customHeight="1" ht="14.0">
      <c r="A296" t="s">
        <v>3220</v>
      </c>
      <c r="B296" s="153" t="s">
        <v>3221</v>
      </c>
      <c r="C296">
        <v>204.0</v>
      </c>
      <c r="D296">
        <v>159.36</v>
      </c>
      <c r="E296">
        <v>0.7812</v>
      </c>
      <c r="F296" t="s">
        <v>2942</v>
      </c>
      <c r="G296" t="s">
        <v>2962</v>
      </c>
      <c r="H296" t="s">
        <v>3161</v>
      </c>
      <c r="I296" t="s">
        <v>83</v>
      </c>
    </row>
    <row r="297" customHeight="1" ht="14.0">
      <c r="A297" t="s">
        <v>3222</v>
      </c>
      <c r="B297" s="153" t="s">
        <v>3223</v>
      </c>
      <c r="C297">
        <v>500.0</v>
      </c>
      <c r="D297">
        <v>380.0</v>
      </c>
      <c r="E297">
        <v>0.76</v>
      </c>
      <c r="F297" t="s">
        <v>2942</v>
      </c>
      <c r="G297" t="s">
        <v>2962</v>
      </c>
      <c r="H297" t="s">
        <v>3161</v>
      </c>
      <c r="I297" t="s">
        <v>83</v>
      </c>
    </row>
    <row r="298" customHeight="1" ht="14.0">
      <c r="A298" t="s">
        <v>3224</v>
      </c>
      <c r="B298" s="153" t="s">
        <v>3225</v>
      </c>
      <c r="C298">
        <v>60.0</v>
      </c>
      <c r="D298">
        <v>47.25</v>
      </c>
      <c r="E298">
        <v>0.7875</v>
      </c>
      <c r="F298" t="s">
        <v>2942</v>
      </c>
      <c r="G298" t="s">
        <v>2962</v>
      </c>
      <c r="H298" t="s">
        <v>3161</v>
      </c>
      <c r="I298" t="s">
        <v>83</v>
      </c>
    </row>
    <row r="299" customHeight="1" ht="14.0">
      <c r="A299" t="s">
        <v>3226</v>
      </c>
      <c r="B299" s="153" t="s">
        <v>3227</v>
      </c>
      <c r="C299">
        <v>316.0</v>
      </c>
      <c r="D299">
        <v>243.15</v>
      </c>
      <c r="E299">
        <v>0.7695</v>
      </c>
      <c r="F299" t="s">
        <v>2942</v>
      </c>
      <c r="G299" t="s">
        <v>2962</v>
      </c>
      <c r="H299" t="s">
        <v>3161</v>
      </c>
      <c r="I299" t="s">
        <v>83</v>
      </c>
    </row>
    <row r="300" customHeight="1" ht="14.0">
      <c r="A300" t="s">
        <v>3228</v>
      </c>
      <c r="B300" s="153" t="s">
        <v>3229</v>
      </c>
      <c r="C300">
        <v>60.0</v>
      </c>
      <c r="D300">
        <v>47.25</v>
      </c>
      <c r="E300">
        <v>0.7875</v>
      </c>
      <c r="F300" t="s">
        <v>2942</v>
      </c>
      <c r="G300" t="s">
        <v>2962</v>
      </c>
      <c r="H300" t="s">
        <v>3161</v>
      </c>
      <c r="I300" t="s">
        <v>83</v>
      </c>
    </row>
    <row r="301" customHeight="1" ht="14.0">
      <c r="A301" t="s">
        <v>3230</v>
      </c>
      <c r="B301" s="153" t="s">
        <v>3231</v>
      </c>
      <c r="C301">
        <v>209.0</v>
      </c>
      <c r="D301">
        <v>162.22</v>
      </c>
      <c r="E301">
        <v>0.7762</v>
      </c>
      <c r="F301" t="s">
        <v>2942</v>
      </c>
      <c r="G301" t="s">
        <v>2962</v>
      </c>
      <c r="H301" t="s">
        <v>3161</v>
      </c>
      <c r="I301" t="s">
        <v>83</v>
      </c>
    </row>
    <row r="302" customHeight="1" ht="14.0">
      <c r="A302" t="s">
        <v>3232</v>
      </c>
      <c r="B302" s="153" t="s">
        <v>3233</v>
      </c>
      <c r="C302">
        <v>316.0</v>
      </c>
      <c r="D302">
        <v>240.16</v>
      </c>
      <c r="E302">
        <v>0.76</v>
      </c>
      <c r="F302" t="s">
        <v>2942</v>
      </c>
      <c r="G302" t="s">
        <v>2962</v>
      </c>
      <c r="H302" t="s">
        <v>3161</v>
      </c>
      <c r="I302" t="s">
        <v>83</v>
      </c>
    </row>
    <row r="303" customHeight="1" ht="14.0">
      <c r="A303" t="s">
        <v>3234</v>
      </c>
      <c r="B303" s="153" t="s">
        <v>3235</v>
      </c>
      <c r="C303">
        <v>664.0</v>
      </c>
      <c r="D303">
        <v>504.64</v>
      </c>
      <c r="E303">
        <v>0.76</v>
      </c>
      <c r="F303" t="s">
        <v>2942</v>
      </c>
      <c r="G303" t="s">
        <v>2962</v>
      </c>
      <c r="H303" t="s">
        <v>3161</v>
      </c>
      <c r="I303" t="s">
        <v>83</v>
      </c>
    </row>
    <row r="304" customHeight="1" ht="14.0">
      <c r="A304" t="s">
        <v>3236</v>
      </c>
      <c r="B304" s="153" t="s">
        <v>3237</v>
      </c>
      <c r="C304">
        <v>64.0</v>
      </c>
      <c r="D304">
        <v>50.09</v>
      </c>
      <c r="E304">
        <v>0.7827</v>
      </c>
      <c r="F304" t="s">
        <v>2942</v>
      </c>
      <c r="G304" t="s">
        <v>2962</v>
      </c>
      <c r="H304" t="s">
        <v>3161</v>
      </c>
      <c r="I304" t="s">
        <v>83</v>
      </c>
    </row>
    <row r="305" customHeight="1" ht="14.0">
      <c r="A305" t="s">
        <v>3238</v>
      </c>
      <c r="B305" s="153" t="s">
        <v>3239</v>
      </c>
      <c r="C305">
        <v>480.0</v>
      </c>
      <c r="D305">
        <v>364.8</v>
      </c>
      <c r="E305">
        <v>0.76</v>
      </c>
      <c r="F305" t="s">
        <v>2942</v>
      </c>
      <c r="G305" t="s">
        <v>2962</v>
      </c>
      <c r="H305" t="s">
        <v>3161</v>
      </c>
      <c r="I305" t="s">
        <v>83</v>
      </c>
    </row>
    <row r="306" customHeight="1" ht="14.0">
      <c r="A306" t="s">
        <v>3240</v>
      </c>
      <c r="B306" s="153" t="s">
        <v>3241</v>
      </c>
      <c r="C306">
        <v>1366.0</v>
      </c>
      <c r="D306">
        <v>1038.16</v>
      </c>
      <c r="E306">
        <v>0.76</v>
      </c>
      <c r="F306" t="s">
        <v>2942</v>
      </c>
      <c r="G306" t="s">
        <v>2962</v>
      </c>
      <c r="H306" t="s">
        <v>3161</v>
      </c>
      <c r="I306" t="s">
        <v>83</v>
      </c>
    </row>
    <row r="307" customHeight="1" ht="14.0">
      <c r="A307" t="s">
        <v>3242</v>
      </c>
      <c r="B307" s="153" t="s">
        <v>3243</v>
      </c>
      <c r="C307">
        <v>102.0</v>
      </c>
      <c r="D307">
        <v>79.65</v>
      </c>
      <c r="E307">
        <v>0.7809</v>
      </c>
      <c r="F307" t="s">
        <v>2942</v>
      </c>
      <c r="G307" t="s">
        <v>2962</v>
      </c>
      <c r="H307" t="s">
        <v>3161</v>
      </c>
      <c r="I307" t="s">
        <v>83</v>
      </c>
    </row>
    <row r="308" customHeight="1" ht="14.0">
      <c r="A308" t="s">
        <v>3244</v>
      </c>
      <c r="B308" s="153" t="s">
        <v>3245</v>
      </c>
      <c r="C308">
        <v>451.0</v>
      </c>
      <c r="D308">
        <v>351.24</v>
      </c>
      <c r="E308">
        <v>0.7788</v>
      </c>
      <c r="F308" t="s">
        <v>2942</v>
      </c>
      <c r="G308" t="s">
        <v>2962</v>
      </c>
      <c r="H308" t="s">
        <v>3161</v>
      </c>
      <c r="I308" t="s">
        <v>83</v>
      </c>
    </row>
    <row r="309" customHeight="1" ht="14.0">
      <c r="A309" t="s">
        <v>3246</v>
      </c>
      <c r="B309" s="153" t="s">
        <v>3247</v>
      </c>
      <c r="C309">
        <v>558.0</v>
      </c>
      <c r="D309">
        <v>424.08</v>
      </c>
      <c r="E309">
        <v>0.76</v>
      </c>
      <c r="F309" t="s">
        <v>2942</v>
      </c>
      <c r="G309" t="s">
        <v>2962</v>
      </c>
      <c r="H309" t="s">
        <v>3161</v>
      </c>
      <c r="I309" t="s">
        <v>83</v>
      </c>
    </row>
    <row r="310" customHeight="1" ht="14.0">
      <c r="A310" t="s">
        <v>3248</v>
      </c>
      <c r="B310" s="153" t="s">
        <v>3249</v>
      </c>
      <c r="C310">
        <v>120.0</v>
      </c>
      <c r="D310">
        <v>93.86</v>
      </c>
      <c r="E310">
        <v>0.7822</v>
      </c>
      <c r="F310" t="s">
        <v>2942</v>
      </c>
      <c r="G310" t="s">
        <v>2962</v>
      </c>
      <c r="H310" t="s">
        <v>3161</v>
      </c>
      <c r="I310" t="s">
        <v>83</v>
      </c>
    </row>
    <row r="311" customHeight="1" ht="14.0">
      <c r="A311" t="s">
        <v>3250</v>
      </c>
      <c r="B311" s="153" t="s">
        <v>3251</v>
      </c>
      <c r="C311">
        <v>174.0</v>
      </c>
      <c r="D311">
        <v>132.24</v>
      </c>
      <c r="E311">
        <v>0.76</v>
      </c>
      <c r="F311" t="s">
        <v>2942</v>
      </c>
      <c r="G311" t="s">
        <v>2962</v>
      </c>
      <c r="H311" t="s">
        <v>3161</v>
      </c>
      <c r="I311" t="s">
        <v>83</v>
      </c>
    </row>
    <row r="312" customHeight="1" ht="14.0">
      <c r="A312" t="s">
        <v>3252</v>
      </c>
      <c r="B312" s="153" t="s">
        <v>3253</v>
      </c>
      <c r="C312">
        <v>713.0</v>
      </c>
      <c r="D312">
        <v>541.88</v>
      </c>
      <c r="E312">
        <v>0.76</v>
      </c>
      <c r="F312" t="s">
        <v>2942</v>
      </c>
      <c r="G312" t="s">
        <v>2962</v>
      </c>
      <c r="H312" t="s">
        <v>3161</v>
      </c>
      <c r="I312" t="s">
        <v>83</v>
      </c>
    </row>
    <row r="313" customHeight="1" ht="14.0">
      <c r="A313" t="s">
        <v>3254</v>
      </c>
      <c r="B313" s="153" t="s">
        <v>3255</v>
      </c>
      <c r="C313">
        <v>467.0</v>
      </c>
      <c r="D313">
        <v>364.57</v>
      </c>
      <c r="E313">
        <v>0.7807</v>
      </c>
      <c r="F313" t="s">
        <v>2942</v>
      </c>
      <c r="G313" t="s">
        <v>2962</v>
      </c>
      <c r="H313" t="s">
        <v>3161</v>
      </c>
      <c r="I313" t="s">
        <v>83</v>
      </c>
    </row>
    <row r="314" customHeight="1" ht="14.0">
      <c r="A314" t="s">
        <v>3256</v>
      </c>
      <c r="B314" s="153" t="s">
        <v>3257</v>
      </c>
      <c r="C314">
        <v>60.0</v>
      </c>
      <c r="D314">
        <v>47.25</v>
      </c>
      <c r="E314">
        <v>0.7875</v>
      </c>
      <c r="F314" t="s">
        <v>2942</v>
      </c>
      <c r="G314" t="s">
        <v>2962</v>
      </c>
      <c r="H314" t="s">
        <v>3161</v>
      </c>
      <c r="I314" t="s">
        <v>83</v>
      </c>
    </row>
    <row r="315" customHeight="1" ht="14.0">
      <c r="A315" t="s">
        <v>3258</v>
      </c>
      <c r="B315" s="153" t="s">
        <v>3259</v>
      </c>
      <c r="C315">
        <v>350.0</v>
      </c>
      <c r="D315">
        <v>273.27</v>
      </c>
      <c r="E315">
        <v>0.7808</v>
      </c>
      <c r="F315" t="s">
        <v>2942</v>
      </c>
      <c r="G315" t="s">
        <v>2962</v>
      </c>
      <c r="H315" t="s">
        <v>3161</v>
      </c>
      <c r="I315" t="s">
        <v>83</v>
      </c>
    </row>
    <row r="316" customHeight="1" ht="14.0">
      <c r="A316" t="s">
        <v>3260</v>
      </c>
      <c r="B316" s="153" t="s">
        <v>3261</v>
      </c>
      <c r="C316">
        <v>529.0</v>
      </c>
      <c r="D316">
        <v>411.38</v>
      </c>
      <c r="E316">
        <v>0.7777</v>
      </c>
      <c r="F316" t="s">
        <v>2942</v>
      </c>
      <c r="G316" t="s">
        <v>2962</v>
      </c>
      <c r="H316" t="s">
        <v>3161</v>
      </c>
      <c r="I316" t="s">
        <v>83</v>
      </c>
    </row>
    <row r="317" customHeight="1" ht="14.0">
      <c r="A317" t="s">
        <v>3262</v>
      </c>
      <c r="B317" s="153" t="s">
        <v>3263</v>
      </c>
      <c r="C317">
        <v>129.0</v>
      </c>
      <c r="D317">
        <v>100.72</v>
      </c>
      <c r="E317">
        <v>0.7808</v>
      </c>
      <c r="F317" t="s">
        <v>2942</v>
      </c>
      <c r="G317" t="s">
        <v>2962</v>
      </c>
      <c r="H317" t="s">
        <v>3161</v>
      </c>
      <c r="I317" t="s">
        <v>83</v>
      </c>
    </row>
    <row r="318" customHeight="1" ht="14.0">
      <c r="A318" t="s">
        <v>3264</v>
      </c>
      <c r="B318" s="153" t="s">
        <v>3265</v>
      </c>
      <c r="C318">
        <v>159.0</v>
      </c>
      <c r="D318">
        <v>124.28</v>
      </c>
      <c r="E318">
        <v>0.7816</v>
      </c>
      <c r="F318" t="s">
        <v>2942</v>
      </c>
      <c r="G318" t="s">
        <v>2962</v>
      </c>
      <c r="H318" t="s">
        <v>3161</v>
      </c>
      <c r="I318" t="s">
        <v>83</v>
      </c>
    </row>
    <row r="319" customHeight="1" ht="14.0">
      <c r="A319" t="s">
        <v>3266</v>
      </c>
      <c r="B319" s="153" t="s">
        <v>3267</v>
      </c>
      <c r="C319">
        <v>480.0</v>
      </c>
      <c r="D319">
        <v>367.54</v>
      </c>
      <c r="E319">
        <v>0.7657</v>
      </c>
      <c r="F319" t="s">
        <v>2942</v>
      </c>
      <c r="G319" t="s">
        <v>2962</v>
      </c>
      <c r="H319" t="s">
        <v>3161</v>
      </c>
      <c r="I319" t="s">
        <v>83</v>
      </c>
    </row>
    <row r="320" customHeight="1" ht="14.0">
      <c r="A320" t="s">
        <v>3268</v>
      </c>
      <c r="B320" s="153" t="s">
        <v>3269</v>
      </c>
      <c r="C320">
        <v>302.0</v>
      </c>
      <c r="D320">
        <v>235.81</v>
      </c>
      <c r="E320">
        <v>0.7808</v>
      </c>
      <c r="F320" t="s">
        <v>2942</v>
      </c>
      <c r="G320" t="s">
        <v>2962</v>
      </c>
      <c r="H320" t="s">
        <v>3161</v>
      </c>
      <c r="I320" t="s">
        <v>83</v>
      </c>
    </row>
    <row r="321" customHeight="1" ht="14.0">
      <c r="A321" t="s">
        <v>3270</v>
      </c>
      <c r="B321" s="153" t="s">
        <v>3271</v>
      </c>
      <c r="C321">
        <v>330.0</v>
      </c>
      <c r="D321">
        <v>255.39</v>
      </c>
      <c r="E321">
        <v>0.7739</v>
      </c>
      <c r="F321" t="s">
        <v>2942</v>
      </c>
      <c r="G321" t="s">
        <v>2962</v>
      </c>
      <c r="H321" t="s">
        <v>3161</v>
      </c>
      <c r="I321" t="s">
        <v>83</v>
      </c>
    </row>
    <row r="322" customHeight="1" ht="14.0">
      <c r="A322" t="s">
        <v>3272</v>
      </c>
      <c r="B322" s="153" t="s">
        <v>3273</v>
      </c>
      <c r="C322">
        <v>58.0</v>
      </c>
      <c r="D322">
        <v>45.33</v>
      </c>
      <c r="E322">
        <v>0.7816</v>
      </c>
      <c r="F322" t="s">
        <v>2942</v>
      </c>
      <c r="G322" t="s">
        <v>2962</v>
      </c>
      <c r="H322" t="s">
        <v>3161</v>
      </c>
      <c r="I322" t="s">
        <v>83</v>
      </c>
    </row>
    <row r="323" customHeight="1" ht="14.0">
      <c r="A323" t="s">
        <v>3274</v>
      </c>
      <c r="B323" s="153" t="s">
        <v>3275</v>
      </c>
      <c r="C323">
        <v>161.0</v>
      </c>
      <c r="D323">
        <v>125.8</v>
      </c>
      <c r="E323">
        <v>0.7814</v>
      </c>
      <c r="F323" t="s">
        <v>2942</v>
      </c>
      <c r="G323" t="s">
        <v>2962</v>
      </c>
      <c r="H323" t="s">
        <v>3161</v>
      </c>
      <c r="I323" t="s">
        <v>83</v>
      </c>
    </row>
    <row r="324" customHeight="1" ht="14.0">
      <c r="A324" t="s">
        <v>3276</v>
      </c>
      <c r="B324" s="153" t="s">
        <v>3277</v>
      </c>
      <c r="C324">
        <v>544.0</v>
      </c>
      <c r="D324">
        <v>413.44</v>
      </c>
      <c r="E324">
        <v>0.76</v>
      </c>
      <c r="F324" t="s">
        <v>2942</v>
      </c>
      <c r="G324" t="s">
        <v>2962</v>
      </c>
      <c r="H324" t="s">
        <v>3161</v>
      </c>
      <c r="I324" t="s">
        <v>83</v>
      </c>
    </row>
    <row r="325" customHeight="1" ht="14.0">
      <c r="A325" t="s">
        <v>3278</v>
      </c>
      <c r="B325" s="153" t="s">
        <v>3279</v>
      </c>
      <c r="C325">
        <v>187.0</v>
      </c>
      <c r="D325">
        <v>146.12</v>
      </c>
      <c r="E325">
        <v>0.7814</v>
      </c>
      <c r="F325" t="s">
        <v>2942</v>
      </c>
      <c r="G325" t="s">
        <v>2962</v>
      </c>
      <c r="H325" t="s">
        <v>3161</v>
      </c>
      <c r="I325" t="s">
        <v>83</v>
      </c>
    </row>
    <row r="326" customHeight="1" ht="14.0">
      <c r="A326" t="s">
        <v>3280</v>
      </c>
      <c r="B326" s="153" t="s">
        <v>3281</v>
      </c>
      <c r="C326">
        <v>482.0</v>
      </c>
      <c r="D326">
        <v>370.56</v>
      </c>
      <c r="E326">
        <v>0.7688</v>
      </c>
      <c r="F326" t="s">
        <v>2942</v>
      </c>
      <c r="G326" t="s">
        <v>2962</v>
      </c>
      <c r="H326" t="s">
        <v>3161</v>
      </c>
      <c r="I326" t="s">
        <v>83</v>
      </c>
    </row>
    <row r="327" customHeight="1" ht="14.0">
      <c r="A327" t="s">
        <v>3282</v>
      </c>
      <c r="B327" s="153" t="s">
        <v>3283</v>
      </c>
      <c r="C327">
        <v>459.0</v>
      </c>
      <c r="D327">
        <v>351.83</v>
      </c>
      <c r="E327">
        <v>0.7665</v>
      </c>
      <c r="F327" t="s">
        <v>2942</v>
      </c>
      <c r="G327" t="s">
        <v>2962</v>
      </c>
      <c r="H327" t="s">
        <v>3161</v>
      </c>
      <c r="I327" t="s">
        <v>83</v>
      </c>
    </row>
    <row r="328" customHeight="1" ht="14.0">
      <c r="A328" t="s">
        <v>3284</v>
      </c>
      <c r="B328" s="153" t="s">
        <v>3285</v>
      </c>
      <c r="C328">
        <v>309.0</v>
      </c>
      <c r="D328">
        <v>239.0</v>
      </c>
      <c r="E328">
        <v>0.7735</v>
      </c>
      <c r="F328" t="s">
        <v>2942</v>
      </c>
      <c r="G328" t="s">
        <v>2962</v>
      </c>
      <c r="H328" t="s">
        <v>3161</v>
      </c>
      <c r="I328" t="s">
        <v>83</v>
      </c>
    </row>
    <row r="329" customHeight="1" ht="14.0">
      <c r="A329" t="s">
        <v>3286</v>
      </c>
      <c r="B329" s="153" t="s">
        <v>3287</v>
      </c>
      <c r="C329">
        <v>625.0</v>
      </c>
      <c r="D329">
        <v>479.36</v>
      </c>
      <c r="E329">
        <v>0.767</v>
      </c>
      <c r="F329" t="s">
        <v>2942</v>
      </c>
      <c r="G329" t="s">
        <v>2962</v>
      </c>
      <c r="H329" t="s">
        <v>3161</v>
      </c>
      <c r="I329" t="s">
        <v>83</v>
      </c>
    </row>
    <row r="330" customHeight="1" ht="14.0">
      <c r="A330" t="s">
        <v>3288</v>
      </c>
      <c r="B330" s="153" t="s">
        <v>3289</v>
      </c>
      <c r="C330">
        <v>300.0</v>
      </c>
      <c r="D330">
        <v>228.0</v>
      </c>
      <c r="E330">
        <v>0.76</v>
      </c>
      <c r="F330" t="s">
        <v>2942</v>
      </c>
      <c r="G330" t="s">
        <v>2962</v>
      </c>
      <c r="H330" t="s">
        <v>3161</v>
      </c>
      <c r="I330" t="s">
        <v>83</v>
      </c>
    </row>
    <row r="331" customHeight="1" ht="14.0">
      <c r="A331" t="s">
        <v>3290</v>
      </c>
      <c r="B331" s="153" t="s">
        <v>3291</v>
      </c>
      <c r="C331">
        <v>488.0</v>
      </c>
      <c r="D331">
        <v>373.37</v>
      </c>
      <c r="E331">
        <v>0.7651</v>
      </c>
      <c r="F331" t="s">
        <v>2942</v>
      </c>
      <c r="G331" t="s">
        <v>2962</v>
      </c>
      <c r="H331" t="s">
        <v>3161</v>
      </c>
      <c r="I331" t="s">
        <v>83</v>
      </c>
    </row>
    <row r="332" customHeight="1" ht="14.0">
      <c r="A332" t="s">
        <v>3292</v>
      </c>
      <c r="B332" s="153" t="s">
        <v>3293</v>
      </c>
      <c r="C332">
        <v>162.0</v>
      </c>
      <c r="D332">
        <v>123.12</v>
      </c>
      <c r="E332">
        <v>0.76</v>
      </c>
      <c r="F332" t="s">
        <v>2942</v>
      </c>
      <c r="G332" t="s">
        <v>2962</v>
      </c>
      <c r="H332" t="s">
        <v>3161</v>
      </c>
      <c r="I332" t="s">
        <v>83</v>
      </c>
    </row>
    <row r="333" customHeight="1" ht="14.0">
      <c r="A333" t="s">
        <v>3294</v>
      </c>
      <c r="B333" s="153" t="s">
        <v>3295</v>
      </c>
      <c r="C333">
        <v>541.0</v>
      </c>
      <c r="D333">
        <v>411.16</v>
      </c>
      <c r="E333">
        <v>0.76</v>
      </c>
      <c r="F333" t="s">
        <v>2942</v>
      </c>
      <c r="G333" t="s">
        <v>2962</v>
      </c>
      <c r="H333" t="s">
        <v>3161</v>
      </c>
      <c r="I333" t="s">
        <v>83</v>
      </c>
    </row>
    <row r="334" customHeight="1" ht="14.0">
      <c r="A334" t="s">
        <v>3296</v>
      </c>
      <c r="B334" s="153" t="s">
        <v>3297</v>
      </c>
      <c r="C334">
        <v>399.0</v>
      </c>
      <c r="D334">
        <v>311.53</v>
      </c>
      <c r="E334">
        <v>0.7808</v>
      </c>
      <c r="F334" t="s">
        <v>2942</v>
      </c>
      <c r="G334" t="s">
        <v>2962</v>
      </c>
      <c r="H334" t="s">
        <v>3161</v>
      </c>
      <c r="I334" t="s">
        <v>83</v>
      </c>
    </row>
    <row r="335" customHeight="1" ht="14.0">
      <c r="A335" t="s">
        <v>3298</v>
      </c>
      <c r="B335" s="153" t="s">
        <v>3299</v>
      </c>
      <c r="C335">
        <v>390.0</v>
      </c>
      <c r="D335">
        <v>296.4</v>
      </c>
      <c r="E335">
        <v>0.76</v>
      </c>
      <c r="F335" t="s">
        <v>2942</v>
      </c>
      <c r="G335" t="s">
        <v>2962</v>
      </c>
      <c r="H335" t="s">
        <v>3161</v>
      </c>
      <c r="I335" t="s">
        <v>83</v>
      </c>
    </row>
    <row r="336" customHeight="1" ht="14.0">
      <c r="A336" t="s">
        <v>3300</v>
      </c>
      <c r="B336" s="153" t="s">
        <v>3301</v>
      </c>
      <c r="C336">
        <v>529.0</v>
      </c>
      <c r="D336">
        <v>402.04</v>
      </c>
      <c r="E336">
        <v>0.76</v>
      </c>
      <c r="F336" t="s">
        <v>2942</v>
      </c>
      <c r="G336" t="s">
        <v>2962</v>
      </c>
      <c r="H336" t="s">
        <v>3161</v>
      </c>
      <c r="I336" t="s">
        <v>83</v>
      </c>
    </row>
    <row r="337" customHeight="1" ht="14.0">
      <c r="A337" t="s">
        <v>3302</v>
      </c>
      <c r="B337" s="153" t="s">
        <v>3303</v>
      </c>
      <c r="C337">
        <v>240.0</v>
      </c>
      <c r="D337">
        <v>187.49</v>
      </c>
      <c r="E337">
        <v>0.7812</v>
      </c>
      <c r="F337" t="s">
        <v>2942</v>
      </c>
      <c r="G337" t="s">
        <v>2962</v>
      </c>
      <c r="H337" t="s">
        <v>3161</v>
      </c>
      <c r="I337" t="s">
        <v>83</v>
      </c>
    </row>
    <row r="338" customHeight="1" ht="14.0">
      <c r="A338" t="s">
        <v>3304</v>
      </c>
      <c r="B338" s="153" t="s">
        <v>3305</v>
      </c>
      <c r="C338">
        <v>3.0</v>
      </c>
      <c r="D338">
        <v>3.0</v>
      </c>
      <c r="E338">
        <v>1.0</v>
      </c>
      <c r="F338" t="s">
        <v>2942</v>
      </c>
      <c r="G338" t="s">
        <v>2943</v>
      </c>
      <c r="H338" t="s">
        <v>3161</v>
      </c>
      <c r="I338" t="s">
        <v>3125</v>
      </c>
    </row>
    <row r="339" customHeight="1" ht="14.0">
      <c r="A339" t="s">
        <v>3306</v>
      </c>
      <c r="B339" s="153" t="s">
        <v>3307</v>
      </c>
      <c r="C339">
        <v>0.0</v>
      </c>
      <c r="D339">
        <v>0.0</v>
      </c>
      <c r="F339" t="s">
        <v>2942</v>
      </c>
      <c r="G339" t="s">
        <v>2943</v>
      </c>
      <c r="H339" t="s">
        <v>3161</v>
      </c>
      <c r="I339" t="s">
        <v>3125</v>
      </c>
    </row>
    <row r="340" customHeight="1" ht="14.0">
      <c r="A340" t="s">
        <v>3308</v>
      </c>
      <c r="B340" s="153" t="s">
        <v>3309</v>
      </c>
      <c r="C340">
        <v>0.0</v>
      </c>
      <c r="D340">
        <v>0.0</v>
      </c>
      <c r="F340" t="s">
        <v>2942</v>
      </c>
      <c r="G340" t="s">
        <v>2962</v>
      </c>
      <c r="H340" t="s">
        <v>3161</v>
      </c>
      <c r="I340" t="s">
        <v>3310</v>
      </c>
    </row>
    <row r="341" customHeight="1" ht="14.0">
      <c r="A341" t="s">
        <v>3311</v>
      </c>
      <c r="B341" s="153" t="s">
        <v>3312</v>
      </c>
      <c r="C341">
        <v>66.0</v>
      </c>
      <c r="D341">
        <v>53.89</v>
      </c>
      <c r="E341">
        <v>0.8165</v>
      </c>
      <c r="F341" t="s">
        <v>2942</v>
      </c>
      <c r="G341" t="s">
        <v>2962</v>
      </c>
      <c r="H341" t="s">
        <v>3161</v>
      </c>
      <c r="I341" t="s">
        <v>3313</v>
      </c>
    </row>
    <row r="342" customHeight="1" ht="14.0">
      <c r="A342" t="s">
        <v>3314</v>
      </c>
      <c r="B342" s="153" t="s">
        <v>3315</v>
      </c>
      <c r="C342">
        <v>54.0</v>
      </c>
      <c r="D342">
        <v>44.08</v>
      </c>
      <c r="E342">
        <v>0.8163</v>
      </c>
      <c r="F342" t="s">
        <v>2942</v>
      </c>
      <c r="G342" t="s">
        <v>2962</v>
      </c>
      <c r="H342" t="s">
        <v>3161</v>
      </c>
      <c r="I342" t="s">
        <v>3313</v>
      </c>
    </row>
    <row r="343" customHeight="1" ht="14.0">
      <c r="A343" t="s">
        <v>3316</v>
      </c>
      <c r="B343" s="153" t="s">
        <v>3317</v>
      </c>
      <c r="C343">
        <v>132.0</v>
      </c>
      <c r="D343">
        <v>107.91</v>
      </c>
      <c r="E343">
        <v>0.8175</v>
      </c>
      <c r="F343" t="s">
        <v>2942</v>
      </c>
      <c r="G343" t="s">
        <v>2962</v>
      </c>
      <c r="H343" t="s">
        <v>3161</v>
      </c>
      <c r="I343" t="s">
        <v>3313</v>
      </c>
    </row>
    <row r="344" customHeight="1" ht="14.0">
      <c r="A344" t="s">
        <v>3318</v>
      </c>
      <c r="B344" s="153" t="s">
        <v>3319</v>
      </c>
      <c r="C344">
        <v>135.0</v>
      </c>
      <c r="D344">
        <v>110.45</v>
      </c>
      <c r="E344">
        <v>0.8181</v>
      </c>
      <c r="F344" t="s">
        <v>2942</v>
      </c>
      <c r="G344" t="s">
        <v>2962</v>
      </c>
      <c r="H344" t="s">
        <v>3161</v>
      </c>
      <c r="I344" t="s">
        <v>3313</v>
      </c>
    </row>
    <row r="345" customHeight="1" ht="14.0">
      <c r="A345" t="s">
        <v>3320</v>
      </c>
      <c r="B345" s="153" t="s">
        <v>3321</v>
      </c>
      <c r="C345">
        <v>180.0</v>
      </c>
      <c r="D345">
        <v>147.09</v>
      </c>
      <c r="E345">
        <v>0.8172</v>
      </c>
      <c r="F345" t="s">
        <v>2942</v>
      </c>
      <c r="G345" t="s">
        <v>2962</v>
      </c>
      <c r="H345" t="s">
        <v>3161</v>
      </c>
      <c r="I345" t="s">
        <v>3313</v>
      </c>
    </row>
    <row r="346" customHeight="1" ht="14.0">
      <c r="A346" t="s">
        <v>3322</v>
      </c>
      <c r="B346" s="153" t="s">
        <v>3323</v>
      </c>
      <c r="C346">
        <v>35.0</v>
      </c>
      <c r="D346">
        <v>28.58</v>
      </c>
      <c r="E346">
        <v>0.8166</v>
      </c>
      <c r="F346" t="s">
        <v>2942</v>
      </c>
      <c r="G346" t="s">
        <v>2962</v>
      </c>
      <c r="H346" t="s">
        <v>3161</v>
      </c>
      <c r="I346" t="s">
        <v>3313</v>
      </c>
    </row>
    <row r="347" customHeight="1" ht="14.0">
      <c r="A347" t="s">
        <v>3324</v>
      </c>
      <c r="B347" s="153" t="s">
        <v>3325</v>
      </c>
      <c r="C347">
        <v>120.0</v>
      </c>
      <c r="D347">
        <v>98.15</v>
      </c>
      <c r="E347">
        <v>0.8179</v>
      </c>
      <c r="F347" t="s">
        <v>2942</v>
      </c>
      <c r="G347" t="s">
        <v>2962</v>
      </c>
      <c r="H347" t="s">
        <v>3161</v>
      </c>
      <c r="I347" t="s">
        <v>3310</v>
      </c>
    </row>
    <row r="348" customHeight="1" ht="14.0">
      <c r="A348" t="s">
        <v>3326</v>
      </c>
      <c r="B348" s="153" t="s">
        <v>3327</v>
      </c>
      <c r="C348">
        <v>78.0</v>
      </c>
      <c r="D348">
        <v>63.72</v>
      </c>
      <c r="E348">
        <v>0.8169</v>
      </c>
      <c r="F348" t="s">
        <v>2942</v>
      </c>
      <c r="G348" t="s">
        <v>2962</v>
      </c>
      <c r="H348" t="s">
        <v>3161</v>
      </c>
      <c r="I348" t="s">
        <v>3310</v>
      </c>
    </row>
    <row r="349" customHeight="1" ht="14.0">
      <c r="A349" t="s">
        <v>3328</v>
      </c>
      <c r="B349" s="153" t="s">
        <v>3329</v>
      </c>
      <c r="C349">
        <v>18.0</v>
      </c>
      <c r="D349">
        <v>14.63</v>
      </c>
      <c r="E349">
        <v>0.8128</v>
      </c>
      <c r="F349" t="s">
        <v>2942</v>
      </c>
      <c r="G349" t="s">
        <v>2962</v>
      </c>
      <c r="H349" t="s">
        <v>3161</v>
      </c>
      <c r="I349" t="s">
        <v>3310</v>
      </c>
    </row>
    <row r="350" customHeight="1" ht="14.0">
      <c r="A350" t="s">
        <v>3330</v>
      </c>
      <c r="B350" s="153" t="s">
        <v>3331</v>
      </c>
      <c r="C350">
        <v>120.0</v>
      </c>
      <c r="D350">
        <v>98.19</v>
      </c>
      <c r="E350">
        <v>0.8183</v>
      </c>
      <c r="F350" t="s">
        <v>2942</v>
      </c>
      <c r="G350" t="s">
        <v>2962</v>
      </c>
      <c r="H350" t="s">
        <v>3161</v>
      </c>
      <c r="I350" t="s">
        <v>3332</v>
      </c>
    </row>
    <row r="351" customHeight="1" ht="14.0">
      <c r="A351" t="s">
        <v>3333</v>
      </c>
      <c r="B351" s="153" t="s">
        <v>3334</v>
      </c>
      <c r="C351">
        <v>54.0</v>
      </c>
      <c r="D351">
        <v>44.18</v>
      </c>
      <c r="E351">
        <v>0.8181</v>
      </c>
      <c r="F351" t="s">
        <v>2942</v>
      </c>
      <c r="G351" t="s">
        <v>2962</v>
      </c>
      <c r="H351" t="s">
        <v>3161</v>
      </c>
      <c r="I351" t="s">
        <v>3332</v>
      </c>
    </row>
    <row r="352" customHeight="1" ht="14.0">
      <c r="A352" t="s">
        <v>3335</v>
      </c>
      <c r="B352" s="153" t="s">
        <v>3336</v>
      </c>
      <c r="C352">
        <v>214.0</v>
      </c>
      <c r="D352">
        <v>175.01</v>
      </c>
      <c r="E352">
        <v>0.8178</v>
      </c>
      <c r="F352" t="s">
        <v>2942</v>
      </c>
      <c r="G352" t="s">
        <v>2962</v>
      </c>
      <c r="H352" t="s">
        <v>3161</v>
      </c>
      <c r="I352" t="s">
        <v>3332</v>
      </c>
    </row>
    <row r="353" customHeight="1" ht="14.0">
      <c r="A353" t="s">
        <v>3337</v>
      </c>
      <c r="B353" s="153" t="s">
        <v>3338</v>
      </c>
      <c r="C353">
        <v>228.0</v>
      </c>
      <c r="D353">
        <v>186.35</v>
      </c>
      <c r="E353">
        <v>0.8173</v>
      </c>
      <c r="F353" t="s">
        <v>2942</v>
      </c>
      <c r="G353" t="s">
        <v>2962</v>
      </c>
      <c r="H353" t="s">
        <v>3161</v>
      </c>
      <c r="I353" t="s">
        <v>3332</v>
      </c>
    </row>
    <row r="354" customHeight="1" ht="14.0">
      <c r="A354" t="s">
        <v>3339</v>
      </c>
      <c r="B354" s="153" t="s">
        <v>3340</v>
      </c>
      <c r="C354">
        <v>264.0</v>
      </c>
      <c r="D354">
        <v>215.9</v>
      </c>
      <c r="E354">
        <v>0.8178</v>
      </c>
      <c r="F354" t="s">
        <v>2942</v>
      </c>
      <c r="G354" t="s">
        <v>2962</v>
      </c>
      <c r="H354" t="s">
        <v>3161</v>
      </c>
      <c r="I354" t="s">
        <v>3332</v>
      </c>
    </row>
    <row r="355" customHeight="1" ht="14.0">
      <c r="A355" t="s">
        <v>3341</v>
      </c>
      <c r="B355" s="153" t="s">
        <v>3342</v>
      </c>
      <c r="C355">
        <v>117.0</v>
      </c>
      <c r="D355">
        <v>95.72</v>
      </c>
      <c r="E355">
        <v>0.8181</v>
      </c>
      <c r="F355" t="s">
        <v>2942</v>
      </c>
      <c r="G355" t="s">
        <v>2962</v>
      </c>
      <c r="H355" t="s">
        <v>3161</v>
      </c>
      <c r="I355" t="s">
        <v>3332</v>
      </c>
    </row>
    <row r="356" customHeight="1" ht="14.0">
      <c r="A356" t="s">
        <v>3343</v>
      </c>
      <c r="B356" s="153" t="s">
        <v>3344</v>
      </c>
      <c r="C356">
        <v>149.0</v>
      </c>
      <c r="D356">
        <v>121.91</v>
      </c>
      <c r="E356">
        <v>0.8182</v>
      </c>
      <c r="F356" t="s">
        <v>2942</v>
      </c>
      <c r="G356" t="s">
        <v>2962</v>
      </c>
      <c r="H356" t="s">
        <v>3161</v>
      </c>
      <c r="I356" t="s">
        <v>3310</v>
      </c>
    </row>
    <row r="357" customHeight="1" ht="14.0">
      <c r="A357" t="s">
        <v>3345</v>
      </c>
      <c r="B357" s="153" t="s">
        <v>3346</v>
      </c>
      <c r="C357">
        <v>159.0</v>
      </c>
      <c r="D357">
        <v>129.97</v>
      </c>
      <c r="E357">
        <v>0.8174</v>
      </c>
      <c r="F357" t="s">
        <v>2942</v>
      </c>
      <c r="G357" t="s">
        <v>2962</v>
      </c>
      <c r="H357" t="s">
        <v>3161</v>
      </c>
      <c r="I357" t="s">
        <v>3347</v>
      </c>
    </row>
    <row r="358" customHeight="1" ht="14.0">
      <c r="A358" t="s">
        <v>3348</v>
      </c>
      <c r="B358" s="153" t="s">
        <v>3349</v>
      </c>
      <c r="C358">
        <v>57.0</v>
      </c>
      <c r="D358">
        <v>46.56</v>
      </c>
      <c r="E358">
        <v>0.8168</v>
      </c>
      <c r="F358" t="s">
        <v>2942</v>
      </c>
      <c r="G358" t="s">
        <v>2962</v>
      </c>
      <c r="H358" t="s">
        <v>3161</v>
      </c>
      <c r="I358" t="s">
        <v>3347</v>
      </c>
    </row>
    <row r="359" customHeight="1" ht="14.0">
      <c r="A359" t="s">
        <v>3350</v>
      </c>
      <c r="B359" s="153" t="s">
        <v>3351</v>
      </c>
      <c r="C359">
        <v>144.0</v>
      </c>
      <c r="D359">
        <v>117.74</v>
      </c>
      <c r="E359">
        <v>0.8176</v>
      </c>
      <c r="F359" t="s">
        <v>2942</v>
      </c>
      <c r="G359" t="s">
        <v>2962</v>
      </c>
      <c r="H359" t="s">
        <v>3161</v>
      </c>
      <c r="I359" t="s">
        <v>3347</v>
      </c>
    </row>
    <row r="360" customHeight="1" ht="14.0">
      <c r="A360" t="s">
        <v>3352</v>
      </c>
      <c r="B360" s="153" t="s">
        <v>3353</v>
      </c>
      <c r="C360">
        <v>173.0</v>
      </c>
      <c r="D360">
        <v>141.47</v>
      </c>
      <c r="E360">
        <v>0.8177</v>
      </c>
      <c r="F360" t="s">
        <v>2942</v>
      </c>
      <c r="G360" t="s">
        <v>2962</v>
      </c>
      <c r="H360" t="s">
        <v>3161</v>
      </c>
      <c r="I360" t="s">
        <v>3347</v>
      </c>
    </row>
    <row r="361" customHeight="1" ht="14.0">
      <c r="A361" t="s">
        <v>3354</v>
      </c>
      <c r="B361" s="153" t="s">
        <v>3355</v>
      </c>
      <c r="C361">
        <v>66.0</v>
      </c>
      <c r="D361">
        <v>53.96</v>
      </c>
      <c r="E361">
        <v>0.8176</v>
      </c>
      <c r="F361" t="s">
        <v>2942</v>
      </c>
      <c r="G361" t="s">
        <v>2962</v>
      </c>
      <c r="H361" t="s">
        <v>3161</v>
      </c>
      <c r="I361" t="s">
        <v>3347</v>
      </c>
    </row>
    <row r="362" customHeight="1" ht="14.0">
      <c r="A362" t="s">
        <v>3356</v>
      </c>
      <c r="B362" s="153" t="s">
        <v>3357</v>
      </c>
      <c r="C362">
        <v>9.0</v>
      </c>
      <c r="D362">
        <v>7.29</v>
      </c>
      <c r="E362">
        <v>0.81</v>
      </c>
      <c r="F362" t="s">
        <v>2942</v>
      </c>
      <c r="G362" t="s">
        <v>2962</v>
      </c>
      <c r="H362" t="s">
        <v>3161</v>
      </c>
      <c r="I362" t="s">
        <v>3347</v>
      </c>
    </row>
    <row r="363" customHeight="1" ht="14.0">
      <c r="A363" t="s">
        <v>3358</v>
      </c>
      <c r="B363" s="153" t="s">
        <v>3359</v>
      </c>
      <c r="C363">
        <v>97.0</v>
      </c>
      <c r="D363">
        <v>79.34</v>
      </c>
      <c r="E363">
        <v>0.8179</v>
      </c>
      <c r="F363" t="s">
        <v>2942</v>
      </c>
      <c r="G363" t="s">
        <v>2962</v>
      </c>
      <c r="H363" t="s">
        <v>3161</v>
      </c>
      <c r="I363" t="s">
        <v>3310</v>
      </c>
    </row>
    <row r="364" customHeight="1" ht="14.0">
      <c r="A364" t="s">
        <v>3360</v>
      </c>
      <c r="B364" s="153" t="s">
        <v>3361</v>
      </c>
      <c r="C364">
        <v>1.0</v>
      </c>
      <c r="D364">
        <v>152.48</v>
      </c>
      <c r="E364">
        <v>152.48</v>
      </c>
      <c r="F364" t="s">
        <v>2994</v>
      </c>
      <c r="G364" t="s">
        <v>2962</v>
      </c>
      <c r="H364" t="s">
        <v>3161</v>
      </c>
      <c r="I364" t="s">
        <v>289</v>
      </c>
    </row>
    <row r="365" customHeight="1" ht="14.0">
      <c r="A365" t="s">
        <v>3362</v>
      </c>
      <c r="B365" s="153" t="s">
        <v>3363</v>
      </c>
      <c r="C365">
        <v>57.0</v>
      </c>
      <c r="D365">
        <v>64.41</v>
      </c>
      <c r="E365">
        <v>1.13</v>
      </c>
      <c r="F365" t="s">
        <v>2942</v>
      </c>
      <c r="G365" t="s">
        <v>2962</v>
      </c>
      <c r="I365" t="s">
        <v>197</v>
      </c>
    </row>
    <row r="366" customHeight="1" ht="14.0">
      <c r="A366" t="s">
        <v>3364</v>
      </c>
      <c r="B366" s="153" t="s">
        <v>3365</v>
      </c>
      <c r="C366">
        <v>6.0</v>
      </c>
      <c r="D366">
        <v>4.2</v>
      </c>
      <c r="E366">
        <v>0.7</v>
      </c>
      <c r="F366" t="s">
        <v>2942</v>
      </c>
      <c r="G366" t="s">
        <v>2962</v>
      </c>
      <c r="H366" t="s">
        <v>3161</v>
      </c>
      <c r="I366" t="s">
        <v>3366</v>
      </c>
    </row>
    <row r="367" customHeight="1" ht="14.0">
      <c r="A367" t="s">
        <v>3367</v>
      </c>
      <c r="B367" s="153" t="s">
        <v>3368</v>
      </c>
      <c r="C367">
        <v>4.0</v>
      </c>
      <c r="D367">
        <v>2.36</v>
      </c>
      <c r="E367">
        <v>0.59</v>
      </c>
      <c r="F367" t="s">
        <v>2942</v>
      </c>
      <c r="G367" t="s">
        <v>2962</v>
      </c>
      <c r="H367" t="s">
        <v>3161</v>
      </c>
      <c r="I367" t="s">
        <v>3366</v>
      </c>
    </row>
    <row r="368" customHeight="1" ht="14.0">
      <c r="A368" t="s">
        <v>3369</v>
      </c>
      <c r="B368" s="153" t="s">
        <v>3370</v>
      </c>
      <c r="C368">
        <v>180.0</v>
      </c>
      <c r="D368">
        <v>106.2</v>
      </c>
      <c r="E368">
        <v>0.59</v>
      </c>
      <c r="F368" t="s">
        <v>2942</v>
      </c>
      <c r="G368" t="s">
        <v>2962</v>
      </c>
      <c r="H368" t="s">
        <v>3161</v>
      </c>
      <c r="I368" t="s">
        <v>3366</v>
      </c>
    </row>
    <row r="369" customHeight="1" ht="14.0">
      <c r="A369" t="s">
        <v>3371</v>
      </c>
      <c r="B369" s="153" t="s">
        <v>3372</v>
      </c>
      <c r="C369">
        <v>78.0</v>
      </c>
      <c r="D369">
        <v>31.2</v>
      </c>
      <c r="E369">
        <v>0.4</v>
      </c>
      <c r="F369" t="s">
        <v>2942</v>
      </c>
      <c r="G369" t="s">
        <v>2962</v>
      </c>
      <c r="H369" t="s">
        <v>3161</v>
      </c>
      <c r="I369" t="s">
        <v>3366</v>
      </c>
    </row>
    <row r="370" customHeight="1" ht="14.0">
      <c r="A370" t="s">
        <v>3373</v>
      </c>
      <c r="B370" s="153" t="s">
        <v>3374</v>
      </c>
      <c r="C370">
        <v>5.0</v>
      </c>
      <c r="D370">
        <v>3.2</v>
      </c>
      <c r="E370">
        <v>0.64</v>
      </c>
      <c r="F370" t="s">
        <v>2942</v>
      </c>
      <c r="G370" t="s">
        <v>2962</v>
      </c>
      <c r="H370" t="s">
        <v>3161</v>
      </c>
      <c r="I370" t="s">
        <v>3366</v>
      </c>
    </row>
    <row r="371" customHeight="1" ht="14.0">
      <c r="A371" t="s">
        <v>3375</v>
      </c>
      <c r="B371" s="153" t="s">
        <v>3376</v>
      </c>
      <c r="C371">
        <v>192.0</v>
      </c>
      <c r="D371">
        <v>113.28</v>
      </c>
      <c r="E371">
        <v>0.59</v>
      </c>
      <c r="F371" t="s">
        <v>2942</v>
      </c>
      <c r="G371" t="s">
        <v>2962</v>
      </c>
      <c r="H371" t="s">
        <v>3161</v>
      </c>
      <c r="I371" t="s">
        <v>3366</v>
      </c>
    </row>
    <row r="372" customHeight="1" ht="14.0">
      <c r="A372" t="s">
        <v>3377</v>
      </c>
      <c r="B372" s="153" t="s">
        <v>3378</v>
      </c>
      <c r="C372">
        <v>6.0</v>
      </c>
      <c r="D372">
        <v>4.02</v>
      </c>
      <c r="E372">
        <v>0.67</v>
      </c>
      <c r="F372" t="s">
        <v>2942</v>
      </c>
      <c r="G372" t="s">
        <v>2962</v>
      </c>
      <c r="H372" t="s">
        <v>3161</v>
      </c>
      <c r="I372" t="s">
        <v>3366</v>
      </c>
    </row>
    <row r="373" customHeight="1" ht="14.0">
      <c r="A373" t="s">
        <v>3379</v>
      </c>
      <c r="B373" s="153" t="s">
        <v>3380</v>
      </c>
      <c r="C373">
        <v>30.0</v>
      </c>
      <c r="D373">
        <v>21.0</v>
      </c>
      <c r="E373">
        <v>0.7</v>
      </c>
      <c r="F373" t="s">
        <v>2942</v>
      </c>
      <c r="G373" t="s">
        <v>2962</v>
      </c>
      <c r="H373" t="s">
        <v>3161</v>
      </c>
      <c r="I373" t="s">
        <v>3366</v>
      </c>
    </row>
    <row r="374" customHeight="1" ht="14.0">
      <c r="A374" t="s">
        <v>3381</v>
      </c>
      <c r="B374" s="153" t="s">
        <v>3382</v>
      </c>
      <c r="C374">
        <v>78.0</v>
      </c>
      <c r="D374">
        <v>52.26</v>
      </c>
      <c r="E374">
        <v>0.67</v>
      </c>
      <c r="F374" t="s">
        <v>2942</v>
      </c>
      <c r="G374" t="s">
        <v>2962</v>
      </c>
      <c r="H374" t="s">
        <v>3161</v>
      </c>
      <c r="I374" t="s">
        <v>3366</v>
      </c>
    </row>
    <row r="375" customHeight="1" ht="14.0">
      <c r="A375" t="s">
        <v>3383</v>
      </c>
      <c r="B375" s="153" t="s">
        <v>3384</v>
      </c>
      <c r="C375">
        <v>36.0</v>
      </c>
      <c r="D375">
        <v>19.44</v>
      </c>
      <c r="E375">
        <v>0.54</v>
      </c>
      <c r="F375" t="s">
        <v>2942</v>
      </c>
      <c r="G375" t="s">
        <v>2962</v>
      </c>
      <c r="H375" t="s">
        <v>3161</v>
      </c>
      <c r="I375" t="s">
        <v>3366</v>
      </c>
    </row>
    <row r="376" customHeight="1" ht="14.0">
      <c r="A376" t="s">
        <v>3385</v>
      </c>
      <c r="B376" s="153" t="s">
        <v>3386</v>
      </c>
      <c r="C376">
        <v>22.0</v>
      </c>
      <c r="D376">
        <v>17.38</v>
      </c>
      <c r="E376">
        <v>0.79</v>
      </c>
      <c r="F376" t="s">
        <v>2942</v>
      </c>
      <c r="G376" t="s">
        <v>2962</v>
      </c>
      <c r="H376" t="s">
        <v>3161</v>
      </c>
      <c r="I376" t="s">
        <v>3366</v>
      </c>
    </row>
    <row r="377" customHeight="1" ht="14.0">
      <c r="A377" t="s">
        <v>3387</v>
      </c>
      <c r="B377" s="153" t="s">
        <v>3388</v>
      </c>
      <c r="C377">
        <v>12.0</v>
      </c>
      <c r="D377">
        <v>7.08</v>
      </c>
      <c r="E377">
        <v>0.59</v>
      </c>
      <c r="F377" t="s">
        <v>2942</v>
      </c>
      <c r="G377" t="s">
        <v>2962</v>
      </c>
      <c r="H377" t="s">
        <v>3161</v>
      </c>
      <c r="I377" t="s">
        <v>3366</v>
      </c>
    </row>
    <row r="378" customHeight="1" ht="14.0">
      <c r="A378" t="s">
        <v>3389</v>
      </c>
      <c r="B378" s="153" t="s">
        <v>3390</v>
      </c>
      <c r="C378">
        <v>216.0</v>
      </c>
      <c r="D378">
        <v>110.16</v>
      </c>
      <c r="E378">
        <v>0.51</v>
      </c>
      <c r="F378" t="s">
        <v>2942</v>
      </c>
      <c r="G378" t="s">
        <v>2962</v>
      </c>
      <c r="H378" t="s">
        <v>3161</v>
      </c>
      <c r="I378" t="s">
        <v>3366</v>
      </c>
    </row>
    <row r="379" customHeight="1" ht="14.0">
      <c r="A379" t="s">
        <v>3391</v>
      </c>
      <c r="B379" s="153" t="s">
        <v>3392</v>
      </c>
      <c r="C379">
        <v>144.0</v>
      </c>
      <c r="D379">
        <v>96.48</v>
      </c>
      <c r="E379">
        <v>0.67</v>
      </c>
      <c r="F379" t="s">
        <v>2942</v>
      </c>
      <c r="G379" t="s">
        <v>2962</v>
      </c>
      <c r="H379" t="s">
        <v>3161</v>
      </c>
      <c r="I379" t="s">
        <v>3366</v>
      </c>
    </row>
    <row r="380" customHeight="1" ht="14.0">
      <c r="A380" t="s">
        <v>3393</v>
      </c>
      <c r="B380" s="153" t="s">
        <v>3394</v>
      </c>
      <c r="C380">
        <v>312.0</v>
      </c>
      <c r="D380">
        <v>118.56</v>
      </c>
      <c r="E380">
        <v>0.38</v>
      </c>
      <c r="F380" t="s">
        <v>2942</v>
      </c>
      <c r="G380" t="s">
        <v>2962</v>
      </c>
      <c r="H380" t="s">
        <v>3161</v>
      </c>
      <c r="I380" t="s">
        <v>3366</v>
      </c>
    </row>
    <row r="381" customHeight="1" ht="14.0">
      <c r="A381" t="s">
        <v>3395</v>
      </c>
      <c r="B381" s="153" t="s">
        <v>3396</v>
      </c>
      <c r="C381">
        <v>222.0</v>
      </c>
      <c r="D381">
        <v>130.98</v>
      </c>
      <c r="E381">
        <v>0.59</v>
      </c>
      <c r="F381" t="s">
        <v>2942</v>
      </c>
      <c r="G381" t="s">
        <v>2962</v>
      </c>
      <c r="H381" t="s">
        <v>3161</v>
      </c>
      <c r="I381" t="s">
        <v>3366</v>
      </c>
    </row>
    <row r="382" customHeight="1" ht="14.0">
      <c r="A382" t="s">
        <v>3397</v>
      </c>
      <c r="B382" s="153" t="s">
        <v>3398</v>
      </c>
      <c r="C382">
        <v>96.0</v>
      </c>
      <c r="D382">
        <v>56.64</v>
      </c>
      <c r="E382">
        <v>0.59</v>
      </c>
      <c r="F382" t="s">
        <v>2942</v>
      </c>
      <c r="G382" t="s">
        <v>2962</v>
      </c>
      <c r="H382" t="s">
        <v>3161</v>
      </c>
      <c r="I382" t="s">
        <v>3366</v>
      </c>
    </row>
    <row r="383" customHeight="1" ht="14.0">
      <c r="A383" t="s">
        <v>3399</v>
      </c>
      <c r="B383" s="153" t="s">
        <v>3400</v>
      </c>
      <c r="C383">
        <v>22.0</v>
      </c>
      <c r="D383">
        <v>17.38</v>
      </c>
      <c r="E383">
        <v>0.79</v>
      </c>
      <c r="F383" t="s">
        <v>2942</v>
      </c>
      <c r="G383" t="s">
        <v>2962</v>
      </c>
      <c r="H383" t="s">
        <v>3161</v>
      </c>
      <c r="I383" t="s">
        <v>3366</v>
      </c>
    </row>
    <row r="384" customHeight="1" ht="14.0">
      <c r="A384" t="s">
        <v>3401</v>
      </c>
      <c r="B384" s="153" t="s">
        <v>3402</v>
      </c>
      <c r="C384">
        <v>192.0</v>
      </c>
      <c r="D384">
        <v>151.68</v>
      </c>
      <c r="E384">
        <v>0.79</v>
      </c>
      <c r="F384" t="s">
        <v>2942</v>
      </c>
      <c r="G384" t="s">
        <v>2962</v>
      </c>
      <c r="H384" t="s">
        <v>3161</v>
      </c>
      <c r="I384" t="s">
        <v>3366</v>
      </c>
    </row>
    <row r="385" customHeight="1" ht="14.0">
      <c r="A385" t="s">
        <v>3403</v>
      </c>
      <c r="B385" s="153" t="s">
        <v>3404</v>
      </c>
      <c r="C385">
        <v>168.0</v>
      </c>
      <c r="D385">
        <v>132.72</v>
      </c>
      <c r="E385">
        <v>0.79</v>
      </c>
      <c r="F385" t="s">
        <v>2942</v>
      </c>
      <c r="G385" t="s">
        <v>2962</v>
      </c>
      <c r="H385" t="s">
        <v>3161</v>
      </c>
      <c r="I385" t="s">
        <v>3366</v>
      </c>
    </row>
    <row r="386" customHeight="1" ht="14.0">
      <c r="A386" t="s">
        <v>3405</v>
      </c>
      <c r="B386" s="153" t="s">
        <v>3406</v>
      </c>
      <c r="C386">
        <v>156.0</v>
      </c>
      <c r="D386">
        <v>92.04</v>
      </c>
      <c r="E386">
        <v>0.59</v>
      </c>
      <c r="F386" t="s">
        <v>2942</v>
      </c>
      <c r="G386" t="s">
        <v>2962</v>
      </c>
      <c r="H386" t="s">
        <v>3161</v>
      </c>
      <c r="I386" t="s">
        <v>3366</v>
      </c>
    </row>
    <row r="387" customHeight="1" ht="14.0">
      <c r="A387" t="s">
        <v>3407</v>
      </c>
      <c r="B387" s="153" t="s">
        <v>3408</v>
      </c>
      <c r="C387">
        <v>83.0</v>
      </c>
      <c r="D387">
        <v>65.57</v>
      </c>
      <c r="E387">
        <v>0.79</v>
      </c>
      <c r="F387" t="s">
        <v>2942</v>
      </c>
      <c r="G387" t="s">
        <v>2962</v>
      </c>
      <c r="H387" t="s">
        <v>3161</v>
      </c>
      <c r="I387" t="s">
        <v>3366</v>
      </c>
    </row>
    <row r="388" customHeight="1" ht="14.0">
      <c r="A388" t="s">
        <v>3409</v>
      </c>
      <c r="B388" s="153" t="s">
        <v>3410</v>
      </c>
      <c r="C388">
        <v>72.0</v>
      </c>
      <c r="D388">
        <v>42.48</v>
      </c>
      <c r="E388">
        <v>0.59</v>
      </c>
      <c r="F388" t="s">
        <v>2942</v>
      </c>
      <c r="G388" t="s">
        <v>2962</v>
      </c>
      <c r="H388" t="s">
        <v>3161</v>
      </c>
      <c r="I388" t="s">
        <v>3366</v>
      </c>
    </row>
    <row r="389" customHeight="1" ht="14.0">
      <c r="A389" t="s">
        <v>3411</v>
      </c>
      <c r="B389" s="153" t="s">
        <v>3412</v>
      </c>
      <c r="C389">
        <v>270.0</v>
      </c>
      <c r="D389">
        <v>159.3</v>
      </c>
      <c r="E389">
        <v>0.59</v>
      </c>
      <c r="F389" t="s">
        <v>2942</v>
      </c>
      <c r="G389" t="s">
        <v>2962</v>
      </c>
      <c r="H389" t="s">
        <v>3161</v>
      </c>
      <c r="I389" t="s">
        <v>3366</v>
      </c>
    </row>
    <row r="390" customHeight="1" ht="14.0">
      <c r="A390" t="s">
        <v>3413</v>
      </c>
      <c r="B390" s="153" t="s">
        <v>3414</v>
      </c>
      <c r="C390">
        <v>120.0</v>
      </c>
      <c r="D390">
        <v>70.8</v>
      </c>
      <c r="E390">
        <v>0.59</v>
      </c>
      <c r="F390" t="s">
        <v>2942</v>
      </c>
      <c r="G390" t="s">
        <v>2962</v>
      </c>
      <c r="H390" t="s">
        <v>3161</v>
      </c>
      <c r="I390" t="s">
        <v>3366</v>
      </c>
    </row>
    <row r="391" customHeight="1" ht="14.0">
      <c r="A391" t="s">
        <v>3415</v>
      </c>
      <c r="B391" s="153" t="s">
        <v>3416</v>
      </c>
      <c r="C391">
        <v>24.0</v>
      </c>
      <c r="D391">
        <v>16.8</v>
      </c>
      <c r="E391">
        <v>0.7</v>
      </c>
      <c r="F391" t="s">
        <v>2942</v>
      </c>
      <c r="G391" t="s">
        <v>2962</v>
      </c>
      <c r="H391" t="s">
        <v>3161</v>
      </c>
      <c r="I391" t="s">
        <v>3366</v>
      </c>
    </row>
    <row r="392" customHeight="1" ht="14.0">
      <c r="A392" t="s">
        <v>3417</v>
      </c>
      <c r="B392" s="153" t="s">
        <v>3418</v>
      </c>
      <c r="C392">
        <v>240.0</v>
      </c>
      <c r="D392">
        <v>115.2</v>
      </c>
      <c r="E392">
        <v>0.48</v>
      </c>
      <c r="F392" t="s">
        <v>2942</v>
      </c>
      <c r="G392" t="s">
        <v>2962</v>
      </c>
      <c r="H392" t="s">
        <v>3161</v>
      </c>
      <c r="I392" t="s">
        <v>3366</v>
      </c>
    </row>
    <row r="393" customHeight="1" ht="14.0">
      <c r="A393" t="s">
        <v>3419</v>
      </c>
      <c r="B393" s="153" t="s">
        <v>3420</v>
      </c>
      <c r="C393">
        <v>276.0</v>
      </c>
      <c r="D393">
        <v>184.92</v>
      </c>
      <c r="E393">
        <v>0.67</v>
      </c>
      <c r="F393" t="s">
        <v>2942</v>
      </c>
      <c r="G393" t="s">
        <v>2962</v>
      </c>
      <c r="H393" t="s">
        <v>3161</v>
      </c>
      <c r="I393" t="s">
        <v>3366</v>
      </c>
    </row>
    <row r="394" customHeight="1" ht="14.0">
      <c r="A394" t="s">
        <v>3421</v>
      </c>
      <c r="B394" s="153" t="s">
        <v>3422</v>
      </c>
      <c r="C394">
        <v>107.0</v>
      </c>
      <c r="D394">
        <v>54.57</v>
      </c>
      <c r="E394">
        <v>0.51</v>
      </c>
      <c r="F394" t="s">
        <v>2942</v>
      </c>
      <c r="G394" t="s">
        <v>2962</v>
      </c>
      <c r="H394" t="s">
        <v>3161</v>
      </c>
      <c r="I394" t="s">
        <v>3366</v>
      </c>
    </row>
    <row r="395" customHeight="1" ht="14.0">
      <c r="A395" t="s">
        <v>3423</v>
      </c>
      <c r="B395" s="153" t="s">
        <v>3424</v>
      </c>
      <c r="C395">
        <v>0.0</v>
      </c>
      <c r="D395">
        <v>0.0</v>
      </c>
      <c r="F395" t="s">
        <v>2942</v>
      </c>
      <c r="G395" t="s">
        <v>2962</v>
      </c>
      <c r="H395" t="s">
        <v>3161</v>
      </c>
      <c r="I395" t="s">
        <v>3366</v>
      </c>
    </row>
    <row r="396" customHeight="1" ht="14.0">
      <c r="A396" t="s">
        <v>595</v>
      </c>
      <c r="B396" s="153" t="s">
        <v>596</v>
      </c>
      <c r="C396">
        <v>2.0</v>
      </c>
      <c r="D396">
        <v>279.09</v>
      </c>
      <c r="E396">
        <v>139.545</v>
      </c>
      <c r="F396" t="s">
        <v>2994</v>
      </c>
      <c r="G396" t="s">
        <v>2962</v>
      </c>
      <c r="H396" t="s">
        <v>30</v>
      </c>
      <c r="I396" t="s">
        <v>520</v>
      </c>
    </row>
    <row r="397" customHeight="1" ht="14.0">
      <c r="A397" t="s">
        <v>593</v>
      </c>
      <c r="B397" s="153" t="s">
        <v>594</v>
      </c>
      <c r="C397">
        <v>2.0</v>
      </c>
      <c r="D397">
        <v>433.45</v>
      </c>
      <c r="E397">
        <v>216.725</v>
      </c>
      <c r="F397" t="s">
        <v>2994</v>
      </c>
      <c r="G397" t="s">
        <v>2962</v>
      </c>
      <c r="H397" t="s">
        <v>30</v>
      </c>
      <c r="I397" t="s">
        <v>520</v>
      </c>
    </row>
    <row r="398" customHeight="1" ht="14.0">
      <c r="A398" t="s">
        <v>521</v>
      </c>
      <c r="B398" s="153" t="s">
        <v>522</v>
      </c>
      <c r="C398">
        <v>126.0</v>
      </c>
      <c r="D398">
        <v>364.85</v>
      </c>
      <c r="E398">
        <v>2.8956</v>
      </c>
      <c r="F398" t="s">
        <v>2942</v>
      </c>
      <c r="G398" t="s">
        <v>2962</v>
      </c>
      <c r="H398" t="s">
        <v>30</v>
      </c>
      <c r="I398" t="s">
        <v>520</v>
      </c>
    </row>
    <row r="399" customHeight="1" ht="14.0">
      <c r="A399" t="s">
        <v>523</v>
      </c>
      <c r="B399" s="153" t="s">
        <v>524</v>
      </c>
      <c r="C399">
        <v>89.0</v>
      </c>
      <c r="D399">
        <v>257.59</v>
      </c>
      <c r="E399">
        <v>2.8943</v>
      </c>
      <c r="F399" t="s">
        <v>2942</v>
      </c>
      <c r="G399" t="s">
        <v>2962</v>
      </c>
      <c r="H399" t="s">
        <v>30</v>
      </c>
      <c r="I399" t="s">
        <v>520</v>
      </c>
    </row>
    <row r="400" customHeight="1" ht="14.0">
      <c r="A400" t="s">
        <v>525</v>
      </c>
      <c r="B400" s="153" t="s">
        <v>526</v>
      </c>
      <c r="C400">
        <v>186.0</v>
      </c>
      <c r="D400">
        <v>594.2</v>
      </c>
      <c r="E400">
        <v>3.1946</v>
      </c>
      <c r="F400" t="s">
        <v>2942</v>
      </c>
      <c r="G400" t="s">
        <v>2962</v>
      </c>
      <c r="H400" t="s">
        <v>30</v>
      </c>
      <c r="I400" t="s">
        <v>520</v>
      </c>
    </row>
    <row r="401" customHeight="1" ht="14.0">
      <c r="A401" t="s">
        <v>527</v>
      </c>
      <c r="B401" s="153" t="s">
        <v>528</v>
      </c>
      <c r="C401">
        <v>1111.0</v>
      </c>
      <c r="D401">
        <v>3472.01</v>
      </c>
      <c r="E401">
        <v>3.1251</v>
      </c>
      <c r="F401" t="s">
        <v>2942</v>
      </c>
      <c r="G401" t="s">
        <v>2962</v>
      </c>
      <c r="H401" t="s">
        <v>30</v>
      </c>
      <c r="I401" t="s">
        <v>520</v>
      </c>
    </row>
    <row r="402" customHeight="1" ht="14.0">
      <c r="A402" t="s">
        <v>529</v>
      </c>
      <c r="B402" s="153" t="s">
        <v>530</v>
      </c>
      <c r="C402">
        <v>245.0</v>
      </c>
      <c r="D402">
        <v>782.51</v>
      </c>
      <c r="E402">
        <v>3.1939</v>
      </c>
      <c r="F402" t="s">
        <v>2942</v>
      </c>
      <c r="G402" t="s">
        <v>2962</v>
      </c>
      <c r="H402" t="s">
        <v>30</v>
      </c>
      <c r="I402" t="s">
        <v>520</v>
      </c>
    </row>
    <row r="403" customHeight="1" ht="14.0">
      <c r="A403" t="s">
        <v>531</v>
      </c>
      <c r="B403" s="153" t="s">
        <v>532</v>
      </c>
      <c r="C403">
        <v>62.0</v>
      </c>
      <c r="D403">
        <v>180.57</v>
      </c>
      <c r="E403">
        <v>2.9124</v>
      </c>
      <c r="F403" t="s">
        <v>2942</v>
      </c>
      <c r="G403" t="s">
        <v>2962</v>
      </c>
      <c r="H403" t="s">
        <v>30</v>
      </c>
      <c r="I403" t="s">
        <v>520</v>
      </c>
    </row>
    <row r="404" customHeight="1" ht="14.0">
      <c r="A404" t="s">
        <v>533</v>
      </c>
      <c r="B404" s="153" t="s">
        <v>534</v>
      </c>
      <c r="C404">
        <v>114.0</v>
      </c>
      <c r="D404">
        <v>376.99</v>
      </c>
      <c r="E404">
        <v>3.3069</v>
      </c>
      <c r="F404" t="s">
        <v>2942</v>
      </c>
      <c r="G404" t="s">
        <v>2962</v>
      </c>
      <c r="H404" t="s">
        <v>30</v>
      </c>
      <c r="I404" t="s">
        <v>520</v>
      </c>
    </row>
    <row r="405" customHeight="1" ht="14.0">
      <c r="A405" t="s">
        <v>535</v>
      </c>
      <c r="B405" s="153" t="s">
        <v>536</v>
      </c>
      <c r="C405">
        <v>144.0</v>
      </c>
      <c r="D405">
        <v>473.43</v>
      </c>
      <c r="E405">
        <v>3.2877</v>
      </c>
      <c r="F405" t="s">
        <v>2942</v>
      </c>
      <c r="G405" t="s">
        <v>2962</v>
      </c>
      <c r="H405" t="s">
        <v>30</v>
      </c>
      <c r="I405" t="s">
        <v>520</v>
      </c>
    </row>
    <row r="406" customHeight="1" ht="14.0">
      <c r="A406" t="s">
        <v>537</v>
      </c>
      <c r="B406" s="153" t="s">
        <v>538</v>
      </c>
      <c r="C406">
        <v>201.0</v>
      </c>
      <c r="D406">
        <v>728.34</v>
      </c>
      <c r="E406">
        <v>3.6236</v>
      </c>
      <c r="F406" t="s">
        <v>2942</v>
      </c>
      <c r="G406" t="s">
        <v>2962</v>
      </c>
      <c r="H406" t="s">
        <v>30</v>
      </c>
      <c r="I406" t="s">
        <v>520</v>
      </c>
    </row>
    <row r="407" customHeight="1" ht="14.0">
      <c r="A407" t="s">
        <v>539</v>
      </c>
      <c r="B407" s="153" t="s">
        <v>540</v>
      </c>
      <c r="C407">
        <v>292.0</v>
      </c>
      <c r="D407">
        <v>1058.01</v>
      </c>
      <c r="E407">
        <v>3.6233</v>
      </c>
      <c r="F407" t="s">
        <v>2942</v>
      </c>
      <c r="G407" t="s">
        <v>2962</v>
      </c>
      <c r="H407" t="s">
        <v>30</v>
      </c>
      <c r="I407" t="s">
        <v>520</v>
      </c>
    </row>
    <row r="408" customHeight="1" ht="14.0">
      <c r="A408" t="s">
        <v>541</v>
      </c>
      <c r="B408" s="153" t="s">
        <v>542</v>
      </c>
      <c r="C408">
        <v>221.0</v>
      </c>
      <c r="D408">
        <v>800.72</v>
      </c>
      <c r="E408">
        <v>3.6232</v>
      </c>
      <c r="F408" t="s">
        <v>2942</v>
      </c>
      <c r="G408" t="s">
        <v>2962</v>
      </c>
      <c r="H408" t="s">
        <v>30</v>
      </c>
      <c r="I408" t="s">
        <v>520</v>
      </c>
    </row>
    <row r="409" customHeight="1" ht="14.0">
      <c r="A409" t="s">
        <v>543</v>
      </c>
      <c r="B409" s="153" t="s">
        <v>544</v>
      </c>
      <c r="C409">
        <v>121.0</v>
      </c>
      <c r="D409">
        <v>397.5</v>
      </c>
      <c r="E409">
        <v>3.2851</v>
      </c>
      <c r="F409" t="s">
        <v>2942</v>
      </c>
      <c r="G409" t="s">
        <v>2962</v>
      </c>
      <c r="H409" t="s">
        <v>30</v>
      </c>
      <c r="I409" t="s">
        <v>520</v>
      </c>
    </row>
    <row r="410" customHeight="1" ht="14.0">
      <c r="A410" t="s">
        <v>545</v>
      </c>
      <c r="B410" s="153" t="s">
        <v>546</v>
      </c>
      <c r="C410">
        <v>150.0</v>
      </c>
      <c r="D410">
        <v>578.92</v>
      </c>
      <c r="E410">
        <v>3.8595</v>
      </c>
      <c r="F410" t="s">
        <v>2942</v>
      </c>
      <c r="G410" t="s">
        <v>2962</v>
      </c>
      <c r="H410" t="s">
        <v>30</v>
      </c>
      <c r="I410" t="s">
        <v>520</v>
      </c>
    </row>
    <row r="411" customHeight="1" ht="14.0">
      <c r="A411" t="s">
        <v>547</v>
      </c>
      <c r="B411" s="153" t="s">
        <v>548</v>
      </c>
      <c r="C411">
        <v>92.0</v>
      </c>
      <c r="D411">
        <v>354.99</v>
      </c>
      <c r="E411">
        <v>3.8586</v>
      </c>
      <c r="F411" t="s">
        <v>2942</v>
      </c>
      <c r="G411" t="s">
        <v>2962</v>
      </c>
      <c r="H411" t="s">
        <v>30</v>
      </c>
      <c r="I411" t="s">
        <v>520</v>
      </c>
    </row>
    <row r="412" customHeight="1" ht="14.0">
      <c r="A412" t="s">
        <v>549</v>
      </c>
      <c r="B412" s="153" t="s">
        <v>550</v>
      </c>
      <c r="C412">
        <v>182.0</v>
      </c>
      <c r="D412">
        <v>741.43</v>
      </c>
      <c r="E412">
        <v>4.0738</v>
      </c>
      <c r="F412" t="s">
        <v>2942</v>
      </c>
      <c r="G412" t="s">
        <v>2962</v>
      </c>
      <c r="H412" t="s">
        <v>30</v>
      </c>
      <c r="I412" t="s">
        <v>520</v>
      </c>
    </row>
    <row r="413" customHeight="1" ht="14.0">
      <c r="A413" t="s">
        <v>551</v>
      </c>
      <c r="B413" s="153" t="s">
        <v>552</v>
      </c>
      <c r="C413">
        <v>114.0</v>
      </c>
      <c r="D413">
        <v>469.81</v>
      </c>
      <c r="E413">
        <v>4.1211</v>
      </c>
      <c r="F413" t="s">
        <v>2942</v>
      </c>
      <c r="G413" t="s">
        <v>2962</v>
      </c>
      <c r="H413" t="s">
        <v>30</v>
      </c>
      <c r="I413" t="s">
        <v>520</v>
      </c>
    </row>
    <row r="414" customHeight="1" ht="14.0">
      <c r="A414" t="s">
        <v>553</v>
      </c>
      <c r="B414" s="153" t="s">
        <v>554</v>
      </c>
      <c r="C414">
        <v>158.0</v>
      </c>
      <c r="D414">
        <v>649.52</v>
      </c>
      <c r="E414">
        <v>4.1109</v>
      </c>
      <c r="F414" t="s">
        <v>2942</v>
      </c>
      <c r="G414" t="s">
        <v>2962</v>
      </c>
      <c r="H414" t="s">
        <v>30</v>
      </c>
      <c r="I414" t="s">
        <v>520</v>
      </c>
    </row>
    <row r="415" customHeight="1" ht="14.0">
      <c r="A415" t="s">
        <v>555</v>
      </c>
      <c r="B415" s="153" t="s">
        <v>556</v>
      </c>
      <c r="C415">
        <v>158.0</v>
      </c>
      <c r="D415">
        <v>649.66</v>
      </c>
      <c r="E415">
        <v>4.1118</v>
      </c>
      <c r="F415" t="s">
        <v>2942</v>
      </c>
      <c r="G415" t="s">
        <v>2962</v>
      </c>
      <c r="H415" t="s">
        <v>30</v>
      </c>
      <c r="I415" t="s">
        <v>520</v>
      </c>
    </row>
    <row r="416" customHeight="1" ht="14.0">
      <c r="A416" t="s">
        <v>557</v>
      </c>
      <c r="B416" s="153" t="s">
        <v>558</v>
      </c>
      <c r="C416">
        <v>99.0</v>
      </c>
      <c r="D416">
        <v>424.72</v>
      </c>
      <c r="E416">
        <v>4.2901</v>
      </c>
      <c r="F416" t="s">
        <v>2942</v>
      </c>
      <c r="G416" t="s">
        <v>2962</v>
      </c>
      <c r="H416" t="s">
        <v>30</v>
      </c>
      <c r="I416" t="s">
        <v>520</v>
      </c>
    </row>
    <row r="417" customHeight="1" ht="14.0">
      <c r="A417" t="s">
        <v>559</v>
      </c>
      <c r="B417" s="153" t="s">
        <v>560</v>
      </c>
      <c r="C417">
        <v>214.0</v>
      </c>
      <c r="D417">
        <v>956.12</v>
      </c>
      <c r="E417">
        <v>4.4679</v>
      </c>
      <c r="F417" t="s">
        <v>2942</v>
      </c>
      <c r="G417" t="s">
        <v>2962</v>
      </c>
      <c r="H417" t="s">
        <v>30</v>
      </c>
      <c r="I417" t="s">
        <v>520</v>
      </c>
    </row>
    <row r="418" customHeight="1" ht="14.0">
      <c r="A418" t="s">
        <v>561</v>
      </c>
      <c r="B418" s="153" t="s">
        <v>562</v>
      </c>
      <c r="C418">
        <v>120.0</v>
      </c>
      <c r="D418">
        <v>546.35</v>
      </c>
      <c r="E418">
        <v>4.5529</v>
      </c>
      <c r="F418" t="s">
        <v>2942</v>
      </c>
      <c r="G418" t="s">
        <v>2962</v>
      </c>
      <c r="H418" t="s">
        <v>30</v>
      </c>
      <c r="I418" t="s">
        <v>520</v>
      </c>
    </row>
    <row r="419" customHeight="1" ht="14.0">
      <c r="A419" t="s">
        <v>563</v>
      </c>
      <c r="B419" s="153" t="s">
        <v>564</v>
      </c>
      <c r="C419">
        <v>1103.0</v>
      </c>
      <c r="D419">
        <v>5078.29</v>
      </c>
      <c r="E419">
        <v>4.6041</v>
      </c>
      <c r="F419" t="s">
        <v>2942</v>
      </c>
      <c r="G419" t="s">
        <v>2962</v>
      </c>
      <c r="H419" t="s">
        <v>30</v>
      </c>
      <c r="I419" t="s">
        <v>520</v>
      </c>
    </row>
    <row r="420" customHeight="1" ht="14.0">
      <c r="A420" t="s">
        <v>565</v>
      </c>
      <c r="B420" s="153" t="s">
        <v>566</v>
      </c>
      <c r="C420">
        <v>101.0</v>
      </c>
      <c r="D420">
        <v>459.86</v>
      </c>
      <c r="E420">
        <v>4.5531</v>
      </c>
      <c r="F420" t="s">
        <v>2942</v>
      </c>
      <c r="G420" t="s">
        <v>2962</v>
      </c>
      <c r="H420" t="s">
        <v>30</v>
      </c>
      <c r="I420" t="s">
        <v>520</v>
      </c>
    </row>
    <row r="421" customHeight="1" ht="14.0">
      <c r="A421" t="s">
        <v>567</v>
      </c>
      <c r="B421" s="153" t="s">
        <v>568</v>
      </c>
      <c r="C421">
        <v>218.0</v>
      </c>
      <c r="D421">
        <v>973.43</v>
      </c>
      <c r="E421">
        <v>4.4653</v>
      </c>
      <c r="F421" t="s">
        <v>2942</v>
      </c>
      <c r="G421" t="s">
        <v>2962</v>
      </c>
      <c r="H421" t="s">
        <v>30</v>
      </c>
      <c r="I421" t="s">
        <v>520</v>
      </c>
    </row>
    <row r="422" customHeight="1" ht="14.0">
      <c r="A422" t="s">
        <v>198</v>
      </c>
      <c r="B422" s="153" t="s">
        <v>199</v>
      </c>
      <c r="C422">
        <v>19.0</v>
      </c>
      <c r="D422">
        <v>1549.32</v>
      </c>
      <c r="E422">
        <v>81.5432</v>
      </c>
      <c r="F422" t="s">
        <v>2942</v>
      </c>
      <c r="G422" t="s">
        <v>2962</v>
      </c>
      <c r="H422" t="s">
        <v>30</v>
      </c>
      <c r="I422" t="s">
        <v>197</v>
      </c>
    </row>
    <row r="423" customHeight="1" ht="14.0">
      <c r="A423" t="s">
        <v>569</v>
      </c>
      <c r="B423" s="153" t="s">
        <v>570</v>
      </c>
      <c r="C423">
        <v>193.0</v>
      </c>
      <c r="D423">
        <v>792.17</v>
      </c>
      <c r="E423">
        <v>4.1045</v>
      </c>
      <c r="F423" t="s">
        <v>2942</v>
      </c>
      <c r="G423" t="s">
        <v>2962</v>
      </c>
      <c r="H423" t="s">
        <v>30</v>
      </c>
      <c r="I423" t="s">
        <v>520</v>
      </c>
    </row>
    <row r="424" customHeight="1" ht="14.0">
      <c r="A424" t="s">
        <v>571</v>
      </c>
      <c r="B424" s="153" t="s">
        <v>572</v>
      </c>
      <c r="C424">
        <v>157.0</v>
      </c>
      <c r="D424">
        <v>644.48</v>
      </c>
      <c r="E424">
        <v>4.105</v>
      </c>
      <c r="F424" t="s">
        <v>2942</v>
      </c>
      <c r="G424" t="s">
        <v>2962</v>
      </c>
      <c r="H424" t="s">
        <v>30</v>
      </c>
      <c r="I424" t="s">
        <v>520</v>
      </c>
    </row>
    <row r="425" customHeight="1" ht="14.0">
      <c r="A425" t="s">
        <v>573</v>
      </c>
      <c r="B425" s="153" t="s">
        <v>574</v>
      </c>
      <c r="C425">
        <v>97.0</v>
      </c>
      <c r="D425">
        <v>398.23</v>
      </c>
      <c r="E425">
        <v>4.1055</v>
      </c>
      <c r="F425" t="s">
        <v>2942</v>
      </c>
      <c r="G425" t="s">
        <v>2962</v>
      </c>
      <c r="H425" t="s">
        <v>30</v>
      </c>
      <c r="I425" t="s">
        <v>520</v>
      </c>
    </row>
    <row r="426" customHeight="1" ht="14.0">
      <c r="A426" t="s">
        <v>575</v>
      </c>
      <c r="B426" s="153" t="s">
        <v>576</v>
      </c>
      <c r="C426">
        <v>238.0</v>
      </c>
      <c r="D426">
        <v>945.18</v>
      </c>
      <c r="E426">
        <v>3.9713</v>
      </c>
      <c r="F426" t="s">
        <v>2942</v>
      </c>
      <c r="G426" t="s">
        <v>2962</v>
      </c>
      <c r="H426" t="s">
        <v>30</v>
      </c>
      <c r="I426" t="s">
        <v>520</v>
      </c>
    </row>
    <row r="427" customHeight="1" ht="14.0">
      <c r="A427" t="s">
        <v>577</v>
      </c>
      <c r="B427" s="153" t="s">
        <v>578</v>
      </c>
      <c r="C427">
        <v>266.0</v>
      </c>
      <c r="D427">
        <v>1071.95</v>
      </c>
      <c r="E427">
        <v>4.0299</v>
      </c>
      <c r="F427" t="s">
        <v>2942</v>
      </c>
      <c r="G427" t="s">
        <v>2962</v>
      </c>
      <c r="H427" t="s">
        <v>30</v>
      </c>
      <c r="I427" t="s">
        <v>520</v>
      </c>
    </row>
    <row r="428" customHeight="1" ht="14.0">
      <c r="A428" t="s">
        <v>579</v>
      </c>
      <c r="B428" s="153" t="s">
        <v>580</v>
      </c>
      <c r="C428">
        <v>1074.0</v>
      </c>
      <c r="D428">
        <v>4312.88</v>
      </c>
      <c r="E428">
        <v>4.0157</v>
      </c>
      <c r="F428" t="s">
        <v>2942</v>
      </c>
      <c r="G428" t="s">
        <v>2962</v>
      </c>
      <c r="H428" t="s">
        <v>30</v>
      </c>
      <c r="I428" t="s">
        <v>520</v>
      </c>
    </row>
    <row r="429" customHeight="1" ht="14.0">
      <c r="A429" t="s">
        <v>581</v>
      </c>
      <c r="B429" s="153" t="s">
        <v>582</v>
      </c>
      <c r="C429">
        <v>292.0</v>
      </c>
      <c r="D429">
        <v>1245.63</v>
      </c>
      <c r="E429">
        <v>4.2659</v>
      </c>
      <c r="F429" t="s">
        <v>2942</v>
      </c>
      <c r="G429" t="s">
        <v>2962</v>
      </c>
      <c r="H429" t="s">
        <v>30</v>
      </c>
      <c r="I429" t="s">
        <v>520</v>
      </c>
    </row>
    <row r="430" customHeight="1" ht="14.0">
      <c r="A430" t="s">
        <v>583</v>
      </c>
      <c r="B430" s="153" t="s">
        <v>584</v>
      </c>
      <c r="C430">
        <v>180.0</v>
      </c>
      <c r="D430">
        <v>782.04</v>
      </c>
      <c r="E430">
        <v>4.3447</v>
      </c>
      <c r="F430" t="s">
        <v>2942</v>
      </c>
      <c r="G430" t="s">
        <v>2962</v>
      </c>
      <c r="H430" t="s">
        <v>30</v>
      </c>
      <c r="I430" t="s">
        <v>520</v>
      </c>
    </row>
    <row r="431" customHeight="1" ht="14.0">
      <c r="A431" t="s">
        <v>585</v>
      </c>
      <c r="B431" s="153" t="s">
        <v>586</v>
      </c>
      <c r="C431">
        <v>203.0</v>
      </c>
      <c r="D431">
        <v>890.49</v>
      </c>
      <c r="E431">
        <v>4.3867</v>
      </c>
      <c r="F431" t="s">
        <v>2942</v>
      </c>
      <c r="G431" t="s">
        <v>2962</v>
      </c>
      <c r="H431" t="s">
        <v>30</v>
      </c>
      <c r="I431" t="s">
        <v>520</v>
      </c>
    </row>
    <row r="432" customHeight="1" ht="14.0">
      <c r="A432" t="s">
        <v>587</v>
      </c>
      <c r="B432" s="153" t="s">
        <v>588</v>
      </c>
      <c r="C432">
        <v>177.0</v>
      </c>
      <c r="D432">
        <v>802.5</v>
      </c>
      <c r="E432">
        <v>4.5339</v>
      </c>
      <c r="F432" t="s">
        <v>2942</v>
      </c>
      <c r="G432" t="s">
        <v>2962</v>
      </c>
      <c r="H432" t="s">
        <v>30</v>
      </c>
      <c r="I432" t="s">
        <v>520</v>
      </c>
    </row>
    <row r="433" customHeight="1" ht="14.0">
      <c r="A433" t="s">
        <v>589</v>
      </c>
      <c r="B433" s="153" t="s">
        <v>590</v>
      </c>
      <c r="C433">
        <v>168.0</v>
      </c>
      <c r="D433">
        <v>761.67</v>
      </c>
      <c r="E433">
        <v>4.5338</v>
      </c>
      <c r="F433" t="s">
        <v>2942</v>
      </c>
      <c r="G433" t="s">
        <v>2962</v>
      </c>
      <c r="H433" t="s">
        <v>30</v>
      </c>
      <c r="I433" t="s">
        <v>520</v>
      </c>
    </row>
    <row r="434" customHeight="1" ht="14.0">
      <c r="A434" t="s">
        <v>591</v>
      </c>
      <c r="B434" s="153" t="s">
        <v>592</v>
      </c>
      <c r="C434">
        <v>207.0</v>
      </c>
      <c r="D434">
        <v>908.02</v>
      </c>
      <c r="E434">
        <v>4.3866</v>
      </c>
      <c r="F434" t="s">
        <v>2942</v>
      </c>
      <c r="G434" t="s">
        <v>2962</v>
      </c>
      <c r="H434" t="s">
        <v>30</v>
      </c>
      <c r="I434" t="s">
        <v>520</v>
      </c>
    </row>
    <row r="435" customHeight="1" ht="14.0">
      <c r="A435" t="s">
        <v>778</v>
      </c>
      <c r="B435" s="153" t="s">
        <v>779</v>
      </c>
      <c r="C435">
        <v>49.0</v>
      </c>
      <c r="D435">
        <v>768.49</v>
      </c>
      <c r="E435">
        <v>15.6835</v>
      </c>
      <c r="F435" t="s">
        <v>2942</v>
      </c>
      <c r="G435" t="s">
        <v>2962</v>
      </c>
      <c r="H435" t="s">
        <v>30</v>
      </c>
      <c r="I435" t="s">
        <v>520</v>
      </c>
    </row>
    <row r="436" customHeight="1" ht="14.0">
      <c r="A436" t="s">
        <v>1084</v>
      </c>
      <c r="B436" s="153" t="s">
        <v>1085</v>
      </c>
      <c r="C436">
        <v>1.0</v>
      </c>
      <c r="D436">
        <v>25.09</v>
      </c>
      <c r="E436">
        <v>25.09</v>
      </c>
      <c r="F436" t="s">
        <v>2942</v>
      </c>
      <c r="G436" t="s">
        <v>2962</v>
      </c>
      <c r="H436" t="s">
        <v>3005</v>
      </c>
      <c r="I436" t="s">
        <v>3006</v>
      </c>
    </row>
    <row r="437" customHeight="1" ht="14.0">
      <c r="A437" t="s">
        <v>3425</v>
      </c>
      <c r="B437" s="153" t="s">
        <v>3426</v>
      </c>
      <c r="C437">
        <v>1.0</v>
      </c>
      <c r="D437">
        <v>23.32</v>
      </c>
      <c r="E437">
        <v>23.32</v>
      </c>
      <c r="F437" t="s">
        <v>2942</v>
      </c>
      <c r="G437" t="s">
        <v>2962</v>
      </c>
      <c r="H437" t="s">
        <v>3005</v>
      </c>
      <c r="I437" t="s">
        <v>3006</v>
      </c>
    </row>
    <row r="438" customHeight="1" ht="14.0">
      <c r="A438" t="s">
        <v>1086</v>
      </c>
      <c r="B438" s="153" t="s">
        <v>1087</v>
      </c>
      <c r="C438">
        <v>0.0</v>
      </c>
      <c r="D438">
        <v>0.0</v>
      </c>
      <c r="F438" t="s">
        <v>2942</v>
      </c>
      <c r="G438" t="s">
        <v>2943</v>
      </c>
      <c r="H438" t="s">
        <v>2963</v>
      </c>
      <c r="I438" t="s">
        <v>3427</v>
      </c>
    </row>
    <row r="439" customHeight="1" ht="14.0">
      <c r="A439" t="s">
        <v>1088</v>
      </c>
      <c r="B439" s="153" t="s">
        <v>1089</v>
      </c>
      <c r="C439">
        <v>0.0</v>
      </c>
      <c r="D439">
        <v>0.0</v>
      </c>
      <c r="F439" t="s">
        <v>2942</v>
      </c>
      <c r="G439" t="s">
        <v>2943</v>
      </c>
      <c r="H439" t="s">
        <v>2963</v>
      </c>
      <c r="I439" t="s">
        <v>3427</v>
      </c>
    </row>
    <row r="440" customHeight="1" ht="14.0">
      <c r="A440" t="s">
        <v>1090</v>
      </c>
      <c r="B440" s="153" t="s">
        <v>1091</v>
      </c>
      <c r="C440">
        <v>147.0</v>
      </c>
      <c r="D440">
        <v>177.13</v>
      </c>
      <c r="E440">
        <v>1.205</v>
      </c>
      <c r="F440" t="s">
        <v>2942</v>
      </c>
      <c r="G440" t="s">
        <v>2962</v>
      </c>
      <c r="H440" t="s">
        <v>2963</v>
      </c>
      <c r="I440" t="s">
        <v>3427</v>
      </c>
    </row>
    <row r="441" customHeight="1" ht="14.0">
      <c r="A441" t="s">
        <v>1092</v>
      </c>
      <c r="B441" s="153" t="s">
        <v>1093</v>
      </c>
      <c r="C441">
        <v>306.0</v>
      </c>
      <c r="D441">
        <v>367.24</v>
      </c>
      <c r="E441">
        <v>1.2001</v>
      </c>
      <c r="F441" t="s">
        <v>2942</v>
      </c>
      <c r="G441" t="s">
        <v>2962</v>
      </c>
      <c r="H441" t="s">
        <v>2963</v>
      </c>
      <c r="I441" t="s">
        <v>3427</v>
      </c>
    </row>
    <row r="442" customHeight="1" ht="14.0">
      <c r="A442" t="s">
        <v>1094</v>
      </c>
      <c r="B442" s="153" t="s">
        <v>1095</v>
      </c>
      <c r="C442">
        <v>322.0</v>
      </c>
      <c r="D442">
        <v>386.36</v>
      </c>
      <c r="E442">
        <v>1.1999</v>
      </c>
      <c r="F442" t="s">
        <v>2942</v>
      </c>
      <c r="G442" t="s">
        <v>2962</v>
      </c>
      <c r="H442" t="s">
        <v>2963</v>
      </c>
      <c r="I442" t="s">
        <v>3427</v>
      </c>
    </row>
    <row r="443" customHeight="1" ht="14.0">
      <c r="A443" t="s">
        <v>1096</v>
      </c>
      <c r="B443" s="153" t="s">
        <v>1097</v>
      </c>
      <c r="C443">
        <v>0.0</v>
      </c>
      <c r="D443">
        <v>0.0</v>
      </c>
      <c r="F443" t="s">
        <v>2942</v>
      </c>
      <c r="G443" t="s">
        <v>2943</v>
      </c>
      <c r="H443" t="s">
        <v>2963</v>
      </c>
      <c r="I443" t="s">
        <v>3427</v>
      </c>
    </row>
    <row r="444" customHeight="1" ht="14.0">
      <c r="A444" t="s">
        <v>1098</v>
      </c>
      <c r="B444" s="153" t="s">
        <v>1099</v>
      </c>
      <c r="C444">
        <v>12.0</v>
      </c>
      <c r="D444">
        <v>15.06</v>
      </c>
      <c r="E444">
        <v>1.255</v>
      </c>
      <c r="F444" t="s">
        <v>2942</v>
      </c>
      <c r="G444" t="s">
        <v>2962</v>
      </c>
      <c r="H444" t="s">
        <v>2963</v>
      </c>
      <c r="I444" t="s">
        <v>3427</v>
      </c>
    </row>
    <row r="445" customHeight="1" ht="14.0">
      <c r="A445" t="s">
        <v>1100</v>
      </c>
      <c r="B445" s="153" t="s">
        <v>1101</v>
      </c>
      <c r="C445">
        <v>0.0</v>
      </c>
      <c r="D445">
        <v>0.0</v>
      </c>
      <c r="F445" t="s">
        <v>2942</v>
      </c>
      <c r="G445" t="s">
        <v>2943</v>
      </c>
      <c r="H445" t="s">
        <v>2963</v>
      </c>
      <c r="I445" t="s">
        <v>3427</v>
      </c>
    </row>
    <row r="446" customHeight="1" ht="14.0">
      <c r="A446" t="s">
        <v>1102</v>
      </c>
      <c r="B446" s="153" t="s">
        <v>1103</v>
      </c>
      <c r="C446">
        <v>0.0</v>
      </c>
      <c r="D446">
        <v>0.0</v>
      </c>
      <c r="F446" t="s">
        <v>2942</v>
      </c>
      <c r="G446" t="s">
        <v>2943</v>
      </c>
      <c r="H446" t="s">
        <v>2963</v>
      </c>
      <c r="I446" t="s">
        <v>3427</v>
      </c>
    </row>
    <row r="447" customHeight="1" ht="14.0">
      <c r="A447" t="s">
        <v>1104</v>
      </c>
      <c r="B447" s="153" t="s">
        <v>1105</v>
      </c>
      <c r="C447">
        <v>66.0</v>
      </c>
      <c r="D447">
        <v>2083.6</v>
      </c>
      <c r="E447">
        <v>31.5697</v>
      </c>
      <c r="F447" t="s">
        <v>2942</v>
      </c>
      <c r="G447" t="s">
        <v>2962</v>
      </c>
      <c r="H447" t="s">
        <v>2963</v>
      </c>
      <c r="I447" t="s">
        <v>197</v>
      </c>
    </row>
    <row r="448" customHeight="1" ht="14.0">
      <c r="A448" t="s">
        <v>3428</v>
      </c>
      <c r="B448" s="153" t="s">
        <v>3429</v>
      </c>
      <c r="C448">
        <v>200.0</v>
      </c>
      <c r="D448">
        <v>1055.97</v>
      </c>
      <c r="E448">
        <v>5.2799</v>
      </c>
      <c r="F448" t="s">
        <v>2942</v>
      </c>
      <c r="G448" t="s">
        <v>2962</v>
      </c>
      <c r="H448" t="s">
        <v>2963</v>
      </c>
      <c r="I448" t="s">
        <v>3427</v>
      </c>
    </row>
    <row r="449" customHeight="1" ht="14.0">
      <c r="A449" t="s">
        <v>1106</v>
      </c>
      <c r="B449" s="153" t="s">
        <v>1107</v>
      </c>
      <c r="C449">
        <v>0.0</v>
      </c>
      <c r="D449">
        <v>0.0</v>
      </c>
      <c r="F449" t="s">
        <v>2942</v>
      </c>
      <c r="G449" t="s">
        <v>2943</v>
      </c>
      <c r="H449" t="s">
        <v>2963</v>
      </c>
      <c r="I449" t="s">
        <v>3427</v>
      </c>
    </row>
    <row r="450" customHeight="1" ht="14.0">
      <c r="A450" t="s">
        <v>3430</v>
      </c>
      <c r="B450" s="153" t="s">
        <v>3431</v>
      </c>
      <c r="C450">
        <v>0.0</v>
      </c>
      <c r="D450">
        <v>0.0</v>
      </c>
      <c r="F450" t="s">
        <v>2942</v>
      </c>
      <c r="G450" t="s">
        <v>2962</v>
      </c>
      <c r="H450" t="s">
        <v>2963</v>
      </c>
    </row>
    <row r="451" customHeight="1" ht="14.0">
      <c r="A451" t="s">
        <v>1108</v>
      </c>
      <c r="B451" s="153" t="s">
        <v>1109</v>
      </c>
      <c r="C451">
        <v>369.0</v>
      </c>
      <c r="D451">
        <v>1362.12</v>
      </c>
      <c r="E451">
        <v>3.6914</v>
      </c>
      <c r="F451" t="s">
        <v>2942</v>
      </c>
      <c r="G451" t="s">
        <v>2962</v>
      </c>
      <c r="H451" t="s">
        <v>2963</v>
      </c>
      <c r="I451" t="s">
        <v>3432</v>
      </c>
    </row>
    <row r="452" customHeight="1" ht="14.0">
      <c r="A452" t="s">
        <v>1110</v>
      </c>
      <c r="B452" s="153" t="s">
        <v>1111</v>
      </c>
      <c r="C452">
        <v>746.0</v>
      </c>
      <c r="D452">
        <v>2746.4</v>
      </c>
      <c r="E452">
        <v>3.6815</v>
      </c>
      <c r="F452" t="s">
        <v>2942</v>
      </c>
      <c r="G452" t="s">
        <v>2962</v>
      </c>
      <c r="H452" t="s">
        <v>2963</v>
      </c>
      <c r="I452" t="s">
        <v>3432</v>
      </c>
    </row>
    <row r="453" customHeight="1" ht="14.0">
      <c r="A453" t="s">
        <v>1112</v>
      </c>
      <c r="B453" s="153" t="s">
        <v>1113</v>
      </c>
      <c r="C453">
        <v>749.0</v>
      </c>
      <c r="D453">
        <v>2756.3</v>
      </c>
      <c r="E453">
        <v>3.68</v>
      </c>
      <c r="F453" t="s">
        <v>2942</v>
      </c>
      <c r="G453" t="s">
        <v>2962</v>
      </c>
      <c r="H453" t="s">
        <v>2963</v>
      </c>
      <c r="I453" t="s">
        <v>3432</v>
      </c>
    </row>
    <row r="454" customHeight="1" ht="14.0">
      <c r="A454" t="s">
        <v>1114</v>
      </c>
      <c r="B454" s="153" t="s">
        <v>1115</v>
      </c>
      <c r="C454">
        <v>688.0</v>
      </c>
      <c r="D454">
        <v>2533.63</v>
      </c>
      <c r="E454">
        <v>3.6826</v>
      </c>
      <c r="F454" t="s">
        <v>2942</v>
      </c>
      <c r="G454" t="s">
        <v>2962</v>
      </c>
      <c r="H454" t="s">
        <v>2963</v>
      </c>
      <c r="I454" t="s">
        <v>3432</v>
      </c>
    </row>
    <row r="455" customHeight="1" ht="14.0">
      <c r="A455" t="s">
        <v>1116</v>
      </c>
      <c r="B455" s="153" t="s">
        <v>1117</v>
      </c>
      <c r="C455">
        <v>406.0</v>
      </c>
      <c r="D455">
        <v>1497.84</v>
      </c>
      <c r="E455">
        <v>3.6893</v>
      </c>
      <c r="F455" t="s">
        <v>2942</v>
      </c>
      <c r="G455" t="s">
        <v>2962</v>
      </c>
      <c r="H455" t="s">
        <v>2963</v>
      </c>
      <c r="I455" t="s">
        <v>3432</v>
      </c>
    </row>
    <row r="456" customHeight="1" ht="14.0">
      <c r="A456" t="s">
        <v>1118</v>
      </c>
      <c r="B456" s="153" t="s">
        <v>1119</v>
      </c>
      <c r="C456">
        <v>541.0</v>
      </c>
      <c r="D456">
        <v>1993.81</v>
      </c>
      <c r="E456">
        <v>3.6854</v>
      </c>
      <c r="F456" t="s">
        <v>2942</v>
      </c>
      <c r="G456" t="s">
        <v>2962</v>
      </c>
      <c r="H456" t="s">
        <v>2963</v>
      </c>
      <c r="I456" t="s">
        <v>3432</v>
      </c>
    </row>
    <row r="457" customHeight="1" ht="14.0">
      <c r="A457" t="s">
        <v>1120</v>
      </c>
      <c r="B457" s="153" t="s">
        <v>1121</v>
      </c>
      <c r="C457">
        <v>6.0</v>
      </c>
      <c r="D457">
        <v>10.27</v>
      </c>
      <c r="E457">
        <v>1.7117</v>
      </c>
      <c r="F457" t="s">
        <v>2942</v>
      </c>
      <c r="G457" t="s">
        <v>2943</v>
      </c>
      <c r="H457" t="s">
        <v>2963</v>
      </c>
      <c r="I457" t="s">
        <v>647</v>
      </c>
    </row>
    <row r="458" customHeight="1" ht="14.0">
      <c r="A458" t="s">
        <v>1122</v>
      </c>
      <c r="B458" s="153" t="s">
        <v>1123</v>
      </c>
      <c r="C458">
        <v>102.0</v>
      </c>
      <c r="D458">
        <v>138.77</v>
      </c>
      <c r="E458">
        <v>1.3605</v>
      </c>
      <c r="F458" t="s">
        <v>2942</v>
      </c>
      <c r="G458" t="s">
        <v>2962</v>
      </c>
      <c r="H458" t="s">
        <v>2963</v>
      </c>
      <c r="I458" t="s">
        <v>647</v>
      </c>
    </row>
    <row r="459" customHeight="1" ht="14.0">
      <c r="A459" t="s">
        <v>1124</v>
      </c>
      <c r="B459" s="153" t="s">
        <v>1125</v>
      </c>
      <c r="C459">
        <v>0.0</v>
      </c>
      <c r="D459">
        <v>0.0</v>
      </c>
      <c r="F459" t="s">
        <v>2942</v>
      </c>
      <c r="G459" t="s">
        <v>2962</v>
      </c>
      <c r="H459" t="s">
        <v>2963</v>
      </c>
      <c r="I459" t="s">
        <v>647</v>
      </c>
    </row>
    <row r="460" customHeight="1" ht="14.0">
      <c r="A460" t="s">
        <v>1126</v>
      </c>
      <c r="B460" s="153" t="s">
        <v>1127</v>
      </c>
      <c r="C460">
        <v>71.0</v>
      </c>
      <c r="D460">
        <v>121.29</v>
      </c>
      <c r="E460">
        <v>1.7083</v>
      </c>
      <c r="F460" t="s">
        <v>2942</v>
      </c>
      <c r="G460" t="s">
        <v>2962</v>
      </c>
      <c r="H460" t="s">
        <v>2963</v>
      </c>
      <c r="I460" t="s">
        <v>647</v>
      </c>
    </row>
    <row r="461" customHeight="1" ht="14.0">
      <c r="A461" t="s">
        <v>1128</v>
      </c>
      <c r="B461" s="153" t="s">
        <v>1129</v>
      </c>
      <c r="C461">
        <v>0.0</v>
      </c>
      <c r="D461">
        <v>0.0</v>
      </c>
      <c r="F461" t="s">
        <v>2942</v>
      </c>
      <c r="G461" t="s">
        <v>2943</v>
      </c>
      <c r="H461" t="s">
        <v>2963</v>
      </c>
      <c r="I461" t="s">
        <v>647</v>
      </c>
    </row>
    <row r="462" customHeight="1" ht="14.0">
      <c r="A462" t="s">
        <v>1130</v>
      </c>
      <c r="B462" s="153" t="s">
        <v>1131</v>
      </c>
      <c r="C462">
        <v>6.0</v>
      </c>
      <c r="D462">
        <v>10.26</v>
      </c>
      <c r="E462">
        <v>1.71</v>
      </c>
      <c r="F462" t="s">
        <v>2942</v>
      </c>
      <c r="G462" t="s">
        <v>2943</v>
      </c>
      <c r="H462" t="s">
        <v>2963</v>
      </c>
      <c r="I462" t="s">
        <v>647</v>
      </c>
    </row>
    <row r="463" customHeight="1" ht="14.0">
      <c r="A463" t="s">
        <v>1132</v>
      </c>
      <c r="B463" s="153" t="s">
        <v>1133</v>
      </c>
      <c r="C463">
        <v>0.0</v>
      </c>
      <c r="D463">
        <v>0.0</v>
      </c>
      <c r="F463" t="s">
        <v>2942</v>
      </c>
      <c r="G463" t="s">
        <v>2943</v>
      </c>
      <c r="H463" t="s">
        <v>2963</v>
      </c>
      <c r="I463" t="s">
        <v>647</v>
      </c>
    </row>
    <row r="464" customHeight="1" ht="14.0">
      <c r="A464" t="s">
        <v>1134</v>
      </c>
      <c r="B464" s="153" t="s">
        <v>1135</v>
      </c>
      <c r="C464">
        <v>6.0</v>
      </c>
      <c r="D464">
        <v>10.27</v>
      </c>
      <c r="E464">
        <v>1.7117</v>
      </c>
      <c r="F464" t="s">
        <v>2942</v>
      </c>
      <c r="G464" t="s">
        <v>2943</v>
      </c>
      <c r="H464" t="s">
        <v>2963</v>
      </c>
      <c r="I464" t="s">
        <v>647</v>
      </c>
    </row>
    <row r="465" customHeight="1" ht="14.0">
      <c r="A465" t="s">
        <v>1136</v>
      </c>
      <c r="B465" s="153" t="s">
        <v>1137</v>
      </c>
      <c r="C465">
        <v>3.0</v>
      </c>
      <c r="D465">
        <v>85.95</v>
      </c>
      <c r="E465">
        <v>28.65</v>
      </c>
      <c r="F465" t="s">
        <v>2942</v>
      </c>
      <c r="G465" t="s">
        <v>2962</v>
      </c>
      <c r="H465" t="s">
        <v>2963</v>
      </c>
      <c r="I465" t="s">
        <v>197</v>
      </c>
    </row>
    <row r="466" customHeight="1" ht="14.0">
      <c r="A466" t="s">
        <v>1138</v>
      </c>
      <c r="B466" s="153" t="s">
        <v>1139</v>
      </c>
      <c r="C466">
        <v>0.0</v>
      </c>
      <c r="D466">
        <v>0.0</v>
      </c>
      <c r="F466" t="s">
        <v>2942</v>
      </c>
      <c r="G466" t="s">
        <v>2943</v>
      </c>
      <c r="H466" t="s">
        <v>2963</v>
      </c>
      <c r="I466" t="s">
        <v>647</v>
      </c>
    </row>
    <row r="467" customHeight="1" ht="14.0">
      <c r="A467" t="s">
        <v>3433</v>
      </c>
      <c r="B467" s="153" t="s">
        <v>3434</v>
      </c>
      <c r="C467">
        <v>0.0</v>
      </c>
      <c r="D467">
        <v>0.0</v>
      </c>
      <c r="F467" t="s">
        <v>2942</v>
      </c>
      <c r="G467" t="s">
        <v>2943</v>
      </c>
      <c r="H467" t="s">
        <v>2944</v>
      </c>
      <c r="I467" t="s">
        <v>228</v>
      </c>
    </row>
    <row r="468" customHeight="1" ht="14.0">
      <c r="A468" t="s">
        <v>3435</v>
      </c>
      <c r="B468" s="153" t="s">
        <v>3436</v>
      </c>
      <c r="C468">
        <v>6.0</v>
      </c>
      <c r="D468">
        <v>6.86</v>
      </c>
      <c r="E468">
        <v>1.1433</v>
      </c>
      <c r="F468" t="s">
        <v>2942</v>
      </c>
      <c r="G468" t="s">
        <v>2962</v>
      </c>
      <c r="H468" t="s">
        <v>2984</v>
      </c>
      <c r="I468" t="s">
        <v>63</v>
      </c>
    </row>
    <row r="469" customHeight="1" ht="14.0">
      <c r="A469" t="s">
        <v>1140</v>
      </c>
      <c r="B469" s="153" t="s">
        <v>1141</v>
      </c>
      <c r="C469">
        <v>0.0</v>
      </c>
      <c r="D469">
        <v>0.0</v>
      </c>
      <c r="F469" t="s">
        <v>2942</v>
      </c>
      <c r="G469" t="s">
        <v>2943</v>
      </c>
      <c r="H469" t="s">
        <v>2963</v>
      </c>
      <c r="I469" t="s">
        <v>63</v>
      </c>
    </row>
    <row r="470" customHeight="1" ht="14.0">
      <c r="A470" t="s">
        <v>64</v>
      </c>
      <c r="B470" s="153" t="s">
        <v>65</v>
      </c>
      <c r="C470">
        <v>452.0</v>
      </c>
      <c r="D470">
        <v>516.39</v>
      </c>
      <c r="E470">
        <v>1.1425</v>
      </c>
      <c r="F470" t="s">
        <v>2942</v>
      </c>
      <c r="G470" t="s">
        <v>2962</v>
      </c>
      <c r="H470" t="s">
        <v>30</v>
      </c>
      <c r="I470" t="s">
        <v>63</v>
      </c>
    </row>
    <row r="471" customHeight="1" ht="14.0">
      <c r="A471" t="s">
        <v>3437</v>
      </c>
      <c r="B471" s="153" t="s">
        <v>3438</v>
      </c>
      <c r="C471">
        <v>439.0</v>
      </c>
      <c r="D471">
        <v>501.58</v>
      </c>
      <c r="E471">
        <v>1.1426</v>
      </c>
      <c r="F471" t="s">
        <v>2942</v>
      </c>
      <c r="G471" t="s">
        <v>2962</v>
      </c>
      <c r="H471" t="s">
        <v>2984</v>
      </c>
      <c r="I471" t="s">
        <v>63</v>
      </c>
    </row>
    <row r="472" customHeight="1" ht="14.0">
      <c r="A472" t="s">
        <v>1142</v>
      </c>
      <c r="B472" s="153" t="s">
        <v>1143</v>
      </c>
      <c r="C472">
        <v>475.0</v>
      </c>
      <c r="D472">
        <v>554.88</v>
      </c>
      <c r="E472">
        <v>1.1682</v>
      </c>
      <c r="F472" t="s">
        <v>2942</v>
      </c>
      <c r="G472" t="s">
        <v>2962</v>
      </c>
      <c r="H472" t="s">
        <v>2963</v>
      </c>
      <c r="I472" t="s">
        <v>63</v>
      </c>
    </row>
    <row r="473" customHeight="1" ht="14.0">
      <c r="A473" t="s">
        <v>1144</v>
      </c>
      <c r="B473" s="153" t="s">
        <v>1145</v>
      </c>
      <c r="C473">
        <v>0.0</v>
      </c>
      <c r="D473">
        <v>0.0</v>
      </c>
      <c r="F473" t="s">
        <v>2942</v>
      </c>
      <c r="G473" t="s">
        <v>2962</v>
      </c>
      <c r="H473" t="s">
        <v>2963</v>
      </c>
      <c r="I473" t="s">
        <v>63</v>
      </c>
    </row>
    <row r="474" customHeight="1" ht="14.0">
      <c r="A474" t="s">
        <v>1146</v>
      </c>
      <c r="B474" s="153" t="s">
        <v>1147</v>
      </c>
      <c r="C474">
        <v>42.0</v>
      </c>
      <c r="D474">
        <v>49.0</v>
      </c>
      <c r="E474">
        <v>1.1667</v>
      </c>
      <c r="F474" t="s">
        <v>2942</v>
      </c>
      <c r="G474" t="s">
        <v>2962</v>
      </c>
      <c r="H474" t="s">
        <v>2963</v>
      </c>
      <c r="I474" t="s">
        <v>63</v>
      </c>
    </row>
    <row r="475" customHeight="1" ht="14.0">
      <c r="A475" t="s">
        <v>73</v>
      </c>
      <c r="B475" s="153" t="s">
        <v>74</v>
      </c>
      <c r="C475">
        <v>521.0</v>
      </c>
      <c r="D475">
        <v>619.6</v>
      </c>
      <c r="E475">
        <v>1.1893</v>
      </c>
      <c r="F475" t="s">
        <v>2942</v>
      </c>
      <c r="G475" t="s">
        <v>2962</v>
      </c>
      <c r="H475" t="s">
        <v>30</v>
      </c>
      <c r="I475" t="s">
        <v>63</v>
      </c>
    </row>
    <row r="476" customHeight="1" ht="14.0">
      <c r="A476" t="s">
        <v>1148</v>
      </c>
      <c r="B476" s="153" t="s">
        <v>1149</v>
      </c>
      <c r="C476">
        <v>0.0</v>
      </c>
      <c r="D476">
        <v>0.0</v>
      </c>
      <c r="F476" t="s">
        <v>2942</v>
      </c>
      <c r="G476" t="s">
        <v>2943</v>
      </c>
      <c r="H476" t="s">
        <v>2963</v>
      </c>
      <c r="I476" t="s">
        <v>63</v>
      </c>
    </row>
    <row r="477" customHeight="1" ht="14.0">
      <c r="A477" t="s">
        <v>66</v>
      </c>
      <c r="B477" s="153" t="s">
        <v>67</v>
      </c>
      <c r="C477">
        <v>0.0</v>
      </c>
      <c r="D477">
        <v>0.0</v>
      </c>
      <c r="F477" t="s">
        <v>2942</v>
      </c>
      <c r="G477" t="s">
        <v>2962</v>
      </c>
      <c r="H477" t="s">
        <v>30</v>
      </c>
      <c r="I477" t="s">
        <v>63</v>
      </c>
    </row>
    <row r="478" customHeight="1" ht="14.0">
      <c r="A478" t="s">
        <v>69</v>
      </c>
      <c r="B478" s="153" t="s">
        <v>70</v>
      </c>
      <c r="C478">
        <v>157.0</v>
      </c>
      <c r="D478">
        <v>176.98</v>
      </c>
      <c r="E478">
        <v>1.1273</v>
      </c>
      <c r="F478" t="s">
        <v>2942</v>
      </c>
      <c r="G478" t="s">
        <v>2962</v>
      </c>
      <c r="H478" t="s">
        <v>2963</v>
      </c>
      <c r="I478" t="s">
        <v>63</v>
      </c>
    </row>
    <row r="479" customHeight="1" ht="14.0">
      <c r="A479" t="s">
        <v>3439</v>
      </c>
      <c r="B479" s="153" t="s">
        <v>3440</v>
      </c>
      <c r="C479">
        <v>220.0</v>
      </c>
      <c r="D479">
        <v>250.58</v>
      </c>
      <c r="E479">
        <v>1.139</v>
      </c>
      <c r="F479" t="s">
        <v>2942</v>
      </c>
      <c r="G479" t="s">
        <v>2962</v>
      </c>
      <c r="H479" t="s">
        <v>2984</v>
      </c>
      <c r="I479" t="s">
        <v>63</v>
      </c>
    </row>
    <row r="480" customHeight="1" ht="14.0">
      <c r="A480" t="s">
        <v>71</v>
      </c>
      <c r="B480" s="153" t="s">
        <v>72</v>
      </c>
      <c r="C480">
        <v>455.0</v>
      </c>
      <c r="D480">
        <v>541.07</v>
      </c>
      <c r="E480">
        <v>1.1892</v>
      </c>
      <c r="F480" t="s">
        <v>2942</v>
      </c>
      <c r="G480" t="s">
        <v>2962</v>
      </c>
      <c r="H480" t="s">
        <v>2963</v>
      </c>
      <c r="I480" t="s">
        <v>63</v>
      </c>
    </row>
    <row r="481" customHeight="1" ht="14.0">
      <c r="A481" t="s">
        <v>1150</v>
      </c>
      <c r="B481" s="153" t="s">
        <v>1151</v>
      </c>
      <c r="C481">
        <v>0.0</v>
      </c>
      <c r="D481">
        <v>0.0</v>
      </c>
      <c r="F481" t="s">
        <v>2942</v>
      </c>
      <c r="G481" t="s">
        <v>2962</v>
      </c>
      <c r="H481" t="s">
        <v>2963</v>
      </c>
      <c r="I481" t="s">
        <v>63</v>
      </c>
    </row>
    <row r="482" customHeight="1" ht="14.0">
      <c r="A482" t="s">
        <v>1152</v>
      </c>
      <c r="B482" s="153" t="s">
        <v>1153</v>
      </c>
      <c r="C482">
        <v>0.0</v>
      </c>
      <c r="D482">
        <v>0.0</v>
      </c>
      <c r="F482" t="s">
        <v>2942</v>
      </c>
      <c r="G482" t="s">
        <v>2943</v>
      </c>
      <c r="H482" t="s">
        <v>2944</v>
      </c>
      <c r="I482" t="s">
        <v>63</v>
      </c>
    </row>
    <row r="483" customHeight="1" ht="14.0">
      <c r="A483" t="s">
        <v>1154</v>
      </c>
      <c r="B483" s="153" t="s">
        <v>1155</v>
      </c>
      <c r="C483">
        <v>0.0</v>
      </c>
      <c r="D483">
        <v>0.0</v>
      </c>
      <c r="F483" t="s">
        <v>2942</v>
      </c>
      <c r="G483" t="s">
        <v>2943</v>
      </c>
      <c r="H483" t="s">
        <v>2944</v>
      </c>
      <c r="I483" t="s">
        <v>63</v>
      </c>
    </row>
    <row r="484" customHeight="1" ht="14.0">
      <c r="A484" t="s">
        <v>1156</v>
      </c>
      <c r="B484" s="153" t="s">
        <v>1157</v>
      </c>
      <c r="C484">
        <v>0.0</v>
      </c>
      <c r="D484">
        <v>0.0</v>
      </c>
      <c r="F484" t="s">
        <v>2942</v>
      </c>
      <c r="G484" t="s">
        <v>2943</v>
      </c>
      <c r="H484" t="s">
        <v>2944</v>
      </c>
      <c r="I484" t="s">
        <v>63</v>
      </c>
    </row>
    <row r="485" customHeight="1" ht="14.0">
      <c r="A485" t="s">
        <v>79</v>
      </c>
      <c r="B485" s="153" t="s">
        <v>80</v>
      </c>
      <c r="C485">
        <v>0.0</v>
      </c>
      <c r="D485">
        <v>0.0</v>
      </c>
      <c r="F485" t="s">
        <v>2942</v>
      </c>
      <c r="G485" t="s">
        <v>2962</v>
      </c>
      <c r="H485" t="s">
        <v>30</v>
      </c>
      <c r="I485" t="s">
        <v>63</v>
      </c>
    </row>
    <row r="486" customHeight="1" ht="14.0">
      <c r="A486" t="s">
        <v>77</v>
      </c>
      <c r="B486" s="153" t="s">
        <v>78</v>
      </c>
      <c r="C486">
        <v>3.0</v>
      </c>
      <c r="D486">
        <v>132.53</v>
      </c>
      <c r="E486">
        <v>44.1767</v>
      </c>
      <c r="F486" t="s">
        <v>2942</v>
      </c>
      <c r="G486" t="s">
        <v>2962</v>
      </c>
      <c r="H486" t="s">
        <v>30</v>
      </c>
      <c r="I486" t="s">
        <v>63</v>
      </c>
    </row>
    <row r="487" customHeight="1" ht="14.0">
      <c r="A487" t="s">
        <v>81</v>
      </c>
      <c r="B487" s="153" t="s">
        <v>82</v>
      </c>
      <c r="C487">
        <v>0.0</v>
      </c>
      <c r="D487">
        <v>0.0</v>
      </c>
      <c r="F487" t="s">
        <v>2942</v>
      </c>
      <c r="G487" t="s">
        <v>2962</v>
      </c>
      <c r="H487" t="s">
        <v>30</v>
      </c>
      <c r="I487" t="s">
        <v>63</v>
      </c>
    </row>
    <row r="488" customHeight="1" ht="14.0">
      <c r="A488" t="s">
        <v>75</v>
      </c>
      <c r="B488" s="153" t="s">
        <v>76</v>
      </c>
      <c r="C488">
        <v>32.0</v>
      </c>
      <c r="D488">
        <v>131.59</v>
      </c>
      <c r="E488">
        <v>4.1122</v>
      </c>
      <c r="F488" t="s">
        <v>2942</v>
      </c>
      <c r="G488" t="s">
        <v>2962</v>
      </c>
      <c r="H488" t="s">
        <v>30</v>
      </c>
      <c r="I488" t="s">
        <v>197</v>
      </c>
    </row>
    <row r="489" customHeight="1" ht="14.0">
      <c r="A489" t="s">
        <v>3441</v>
      </c>
      <c r="B489" s="153" t="s">
        <v>1160</v>
      </c>
      <c r="C489">
        <v>2.0</v>
      </c>
      <c r="D489">
        <v>4.19</v>
      </c>
      <c r="E489">
        <v>2.095</v>
      </c>
      <c r="F489" t="s">
        <v>2942</v>
      </c>
      <c r="G489" t="s">
        <v>2962</v>
      </c>
      <c r="I489" t="s">
        <v>197</v>
      </c>
    </row>
    <row r="490" customHeight="1" ht="14.0">
      <c r="A490" t="s">
        <v>1161</v>
      </c>
      <c r="B490" s="153" t="s">
        <v>1162</v>
      </c>
      <c r="C490">
        <v>0.0</v>
      </c>
      <c r="D490">
        <v>0.0</v>
      </c>
      <c r="F490" t="s">
        <v>2942</v>
      </c>
      <c r="G490" t="s">
        <v>2943</v>
      </c>
      <c r="H490" t="s">
        <v>2963</v>
      </c>
      <c r="I490" t="s">
        <v>3442</v>
      </c>
    </row>
    <row r="491" customHeight="1" ht="14.0">
      <c r="A491" t="s">
        <v>3443</v>
      </c>
      <c r="B491" s="153" t="s">
        <v>3444</v>
      </c>
      <c r="C491">
        <v>564.0</v>
      </c>
      <c r="D491">
        <v>310.2</v>
      </c>
      <c r="E491">
        <v>0.55</v>
      </c>
      <c r="F491" t="s">
        <v>2942</v>
      </c>
      <c r="G491" t="s">
        <v>2962</v>
      </c>
      <c r="H491" t="s">
        <v>3161</v>
      </c>
      <c r="I491" t="s">
        <v>3167</v>
      </c>
    </row>
    <row r="492" customHeight="1" ht="14.0">
      <c r="A492" t="s">
        <v>3445</v>
      </c>
      <c r="B492" s="153" t="s">
        <v>3446</v>
      </c>
      <c r="C492">
        <v>252.0</v>
      </c>
      <c r="D492">
        <v>126.0</v>
      </c>
      <c r="E492">
        <v>0.5</v>
      </c>
      <c r="F492" t="s">
        <v>2942</v>
      </c>
      <c r="G492" t="s">
        <v>2962</v>
      </c>
      <c r="H492" t="s">
        <v>3161</v>
      </c>
      <c r="I492" t="s">
        <v>3447</v>
      </c>
    </row>
    <row r="493" customHeight="1" ht="14.0">
      <c r="A493" t="s">
        <v>3448</v>
      </c>
      <c r="B493" s="153" t="s">
        <v>3449</v>
      </c>
      <c r="C493">
        <v>0.0</v>
      </c>
      <c r="D493">
        <v>0.0</v>
      </c>
      <c r="F493" t="s">
        <v>2942</v>
      </c>
      <c r="G493" t="s">
        <v>2943</v>
      </c>
      <c r="H493" t="s">
        <v>2944</v>
      </c>
      <c r="I493" t="s">
        <v>3450</v>
      </c>
    </row>
    <row r="494" customHeight="1" ht="14.0">
      <c r="A494" t="s">
        <v>3451</v>
      </c>
      <c r="B494" s="153" t="s">
        <v>3452</v>
      </c>
      <c r="C494">
        <v>0.0</v>
      </c>
      <c r="D494">
        <v>0.0</v>
      </c>
      <c r="F494" t="s">
        <v>2942</v>
      </c>
      <c r="G494" t="s">
        <v>2943</v>
      </c>
      <c r="H494" t="s">
        <v>2944</v>
      </c>
      <c r="I494" t="s">
        <v>3450</v>
      </c>
    </row>
    <row r="495" customHeight="1" ht="14.0">
      <c r="A495" t="s">
        <v>3453</v>
      </c>
      <c r="B495" s="153" t="s">
        <v>3454</v>
      </c>
      <c r="C495">
        <v>854.0</v>
      </c>
      <c r="D495">
        <v>357.55</v>
      </c>
      <c r="E495">
        <v>0.4187</v>
      </c>
      <c r="F495" t="s">
        <v>3197</v>
      </c>
      <c r="G495" t="s">
        <v>2962</v>
      </c>
      <c r="H495" t="s">
        <v>3455</v>
      </c>
    </row>
    <row r="496" customHeight="1" ht="14.0">
      <c r="A496" t="s">
        <v>2892</v>
      </c>
      <c r="B496" s="153" t="s">
        <v>2893</v>
      </c>
      <c r="C496">
        <v>800.0</v>
      </c>
      <c r="D496">
        <v>2382.07</v>
      </c>
      <c r="E496">
        <v>2.9776</v>
      </c>
      <c r="F496" t="s">
        <v>3197</v>
      </c>
      <c r="G496" t="s">
        <v>2962</v>
      </c>
      <c r="H496" t="s">
        <v>3455</v>
      </c>
    </row>
    <row r="497" customHeight="1" ht="14.0">
      <c r="A497" t="s">
        <v>2890</v>
      </c>
      <c r="B497" s="153" t="s">
        <v>2891</v>
      </c>
      <c r="C497">
        <v>22.232</v>
      </c>
      <c r="D497">
        <v>132.39</v>
      </c>
      <c r="E497">
        <v>5.9549</v>
      </c>
      <c r="F497" t="s">
        <v>3197</v>
      </c>
      <c r="G497" t="s">
        <v>2962</v>
      </c>
      <c r="H497" t="s">
        <v>3455</v>
      </c>
    </row>
    <row r="498" customHeight="1" ht="14.0">
      <c r="A498" t="s">
        <v>3456</v>
      </c>
      <c r="B498" s="153" t="s">
        <v>3457</v>
      </c>
      <c r="C498">
        <v>0.0</v>
      </c>
      <c r="D498">
        <v>0.0</v>
      </c>
      <c r="F498" t="s">
        <v>3197</v>
      </c>
      <c r="G498" t="s">
        <v>2962</v>
      </c>
      <c r="H498" t="s">
        <v>3455</v>
      </c>
    </row>
    <row r="499" customHeight="1" ht="14.0">
      <c r="A499" t="s">
        <v>3458</v>
      </c>
      <c r="B499" s="153" t="s">
        <v>3459</v>
      </c>
      <c r="C499">
        <v>300.0</v>
      </c>
      <c r="D499">
        <v>1062.69</v>
      </c>
      <c r="E499">
        <v>3.5423</v>
      </c>
      <c r="F499" t="s">
        <v>3197</v>
      </c>
      <c r="G499" t="s">
        <v>2962</v>
      </c>
      <c r="H499" t="s">
        <v>3455</v>
      </c>
    </row>
    <row r="500" customHeight="1" ht="14.0">
      <c r="A500" t="s">
        <v>3460</v>
      </c>
      <c r="B500" s="153" t="s">
        <v>3461</v>
      </c>
      <c r="C500">
        <v>728.97</v>
      </c>
      <c r="D500">
        <v>5018.41</v>
      </c>
      <c r="E500">
        <v>6.8842</v>
      </c>
      <c r="F500" t="s">
        <v>3197</v>
      </c>
      <c r="G500" t="s">
        <v>2962</v>
      </c>
      <c r="H500" t="s">
        <v>3455</v>
      </c>
    </row>
    <row r="501" customHeight="1" ht="14.0">
      <c r="A501" t="s">
        <v>3462</v>
      </c>
      <c r="B501" s="153" t="s">
        <v>3463</v>
      </c>
      <c r="C501">
        <v>277.97</v>
      </c>
      <c r="D501">
        <v>2942.2</v>
      </c>
      <c r="E501">
        <v>10.5846</v>
      </c>
      <c r="F501" t="s">
        <v>3197</v>
      </c>
      <c r="G501" t="s">
        <v>2962</v>
      </c>
      <c r="H501" t="s">
        <v>3455</v>
      </c>
    </row>
    <row r="502" customHeight="1" ht="14.0">
      <c r="A502" t="s">
        <v>3464</v>
      </c>
      <c r="B502" s="153" t="s">
        <v>3465</v>
      </c>
      <c r="C502">
        <v>0.0</v>
      </c>
      <c r="D502">
        <v>0.0</v>
      </c>
      <c r="F502" t="s">
        <v>3197</v>
      </c>
      <c r="G502" t="s">
        <v>2962</v>
      </c>
      <c r="H502" t="s">
        <v>3455</v>
      </c>
    </row>
    <row r="503" customHeight="1" ht="14.0">
      <c r="A503" t="s">
        <v>3466</v>
      </c>
      <c r="B503" s="153" t="s">
        <v>3467</v>
      </c>
      <c r="C503">
        <v>401.233</v>
      </c>
      <c r="D503">
        <v>3704.55</v>
      </c>
      <c r="E503">
        <v>9.2329</v>
      </c>
      <c r="F503" t="s">
        <v>3197</v>
      </c>
      <c r="G503" t="s">
        <v>2962</v>
      </c>
      <c r="H503" t="s">
        <v>3455</v>
      </c>
    </row>
    <row r="504" customHeight="1" ht="14.0">
      <c r="A504" t="s">
        <v>3468</v>
      </c>
      <c r="B504" s="153" t="s">
        <v>3469</v>
      </c>
      <c r="C504">
        <v>292.728</v>
      </c>
      <c r="D504">
        <v>4976.01</v>
      </c>
      <c r="E504">
        <v>16.9987</v>
      </c>
      <c r="F504" t="s">
        <v>3197</v>
      </c>
      <c r="G504" t="s">
        <v>2962</v>
      </c>
      <c r="H504" t="s">
        <v>3455</v>
      </c>
    </row>
    <row r="505" customHeight="1" ht="14.0">
      <c r="A505" t="s">
        <v>3470</v>
      </c>
      <c r="B505" s="153" t="s">
        <v>3471</v>
      </c>
      <c r="C505">
        <v>400.0</v>
      </c>
      <c r="D505">
        <v>1149.97</v>
      </c>
      <c r="E505">
        <v>2.8749</v>
      </c>
      <c r="F505" t="s">
        <v>3197</v>
      </c>
      <c r="G505" t="s">
        <v>2962</v>
      </c>
      <c r="H505" t="s">
        <v>3455</v>
      </c>
    </row>
    <row r="506" customHeight="1" ht="14.0">
      <c r="A506" t="s">
        <v>149</v>
      </c>
      <c r="B506" s="153" t="s">
        <v>150</v>
      </c>
      <c r="C506">
        <v>275.0</v>
      </c>
      <c r="D506">
        <v>350.28</v>
      </c>
      <c r="E506">
        <v>1.2737</v>
      </c>
      <c r="F506" t="s">
        <v>2942</v>
      </c>
      <c r="G506" t="s">
        <v>2962</v>
      </c>
      <c r="H506" t="s">
        <v>30</v>
      </c>
      <c r="I506" t="s">
        <v>138</v>
      </c>
    </row>
    <row r="507" customHeight="1" ht="14.0">
      <c r="A507" t="s">
        <v>147</v>
      </c>
      <c r="B507" s="153" t="s">
        <v>148</v>
      </c>
      <c r="C507">
        <v>200.0</v>
      </c>
      <c r="D507">
        <v>359.97</v>
      </c>
      <c r="E507">
        <v>1.7999</v>
      </c>
      <c r="F507" t="s">
        <v>2942</v>
      </c>
      <c r="G507" t="s">
        <v>2962</v>
      </c>
      <c r="H507" t="s">
        <v>30</v>
      </c>
      <c r="I507" t="s">
        <v>138</v>
      </c>
    </row>
    <row r="508" customHeight="1" ht="14.0">
      <c r="A508" t="s">
        <v>3472</v>
      </c>
      <c r="B508" s="153" t="s">
        <v>3473</v>
      </c>
      <c r="C508">
        <v>799.0</v>
      </c>
      <c r="D508">
        <v>1536.87</v>
      </c>
      <c r="E508">
        <v>1.9235</v>
      </c>
      <c r="F508" t="s">
        <v>2942</v>
      </c>
      <c r="G508" t="s">
        <v>2962</v>
      </c>
      <c r="H508" t="s">
        <v>2984</v>
      </c>
      <c r="I508" t="s">
        <v>138</v>
      </c>
    </row>
    <row r="509" customHeight="1" ht="14.0">
      <c r="A509" t="s">
        <v>173</v>
      </c>
      <c r="B509" s="153" t="s">
        <v>174</v>
      </c>
      <c r="C509">
        <v>646.0</v>
      </c>
      <c r="D509">
        <v>1286.84</v>
      </c>
      <c r="E509">
        <v>1.992</v>
      </c>
      <c r="F509" t="s">
        <v>2942</v>
      </c>
      <c r="G509" t="s">
        <v>2962</v>
      </c>
      <c r="H509" t="s">
        <v>30</v>
      </c>
      <c r="I509" t="s">
        <v>138</v>
      </c>
    </row>
    <row r="510" customHeight="1" ht="14.0">
      <c r="A510" t="s">
        <v>3474</v>
      </c>
      <c r="B510" s="153" t="s">
        <v>3475</v>
      </c>
      <c r="C510">
        <v>912.0</v>
      </c>
      <c r="D510">
        <v>1754.38</v>
      </c>
      <c r="E510">
        <v>1.9237</v>
      </c>
      <c r="F510" t="s">
        <v>2942</v>
      </c>
      <c r="G510" t="s">
        <v>2962</v>
      </c>
      <c r="H510" t="s">
        <v>2984</v>
      </c>
      <c r="I510" t="s">
        <v>138</v>
      </c>
    </row>
    <row r="511" customHeight="1" ht="14.0">
      <c r="A511" t="s">
        <v>177</v>
      </c>
      <c r="B511" s="153" t="s">
        <v>178</v>
      </c>
      <c r="C511">
        <v>567.0</v>
      </c>
      <c r="D511">
        <v>1129.43</v>
      </c>
      <c r="E511">
        <v>1.9919</v>
      </c>
      <c r="F511" t="s">
        <v>2942</v>
      </c>
      <c r="G511" t="s">
        <v>2962</v>
      </c>
      <c r="H511" t="s">
        <v>30</v>
      </c>
      <c r="I511" t="s">
        <v>138</v>
      </c>
    </row>
    <row r="512" customHeight="1" ht="14.0">
      <c r="A512" t="s">
        <v>171</v>
      </c>
      <c r="B512" s="153" t="s">
        <v>172</v>
      </c>
      <c r="C512">
        <v>449.0</v>
      </c>
      <c r="D512">
        <v>894.32</v>
      </c>
      <c r="E512">
        <v>1.9918</v>
      </c>
      <c r="F512" t="s">
        <v>2942</v>
      </c>
      <c r="G512" t="s">
        <v>2962</v>
      </c>
      <c r="H512" t="s">
        <v>30</v>
      </c>
      <c r="I512" t="s">
        <v>138</v>
      </c>
    </row>
    <row r="513" customHeight="1" ht="14.0">
      <c r="A513" t="s">
        <v>3476</v>
      </c>
      <c r="B513" s="153" t="s">
        <v>3477</v>
      </c>
      <c r="C513">
        <v>964.0</v>
      </c>
      <c r="D513">
        <v>1854.46</v>
      </c>
      <c r="E513">
        <v>1.9237</v>
      </c>
      <c r="F513" t="s">
        <v>2942</v>
      </c>
      <c r="G513" t="s">
        <v>2962</v>
      </c>
      <c r="H513" t="s">
        <v>2984</v>
      </c>
      <c r="I513" t="s">
        <v>138</v>
      </c>
    </row>
    <row r="514" customHeight="1" ht="14.0">
      <c r="A514" t="s">
        <v>175</v>
      </c>
      <c r="B514" s="153" t="s">
        <v>176</v>
      </c>
      <c r="C514">
        <v>574.0</v>
      </c>
      <c r="D514">
        <v>1143.38</v>
      </c>
      <c r="E514">
        <v>1.992</v>
      </c>
      <c r="F514" t="s">
        <v>2942</v>
      </c>
      <c r="G514" t="s">
        <v>2962</v>
      </c>
      <c r="H514" t="s">
        <v>2963</v>
      </c>
      <c r="I514" t="s">
        <v>138</v>
      </c>
    </row>
    <row r="515" customHeight="1" ht="14.0">
      <c r="A515" t="s">
        <v>3478</v>
      </c>
      <c r="B515" s="153" t="s">
        <v>3479</v>
      </c>
      <c r="C515">
        <v>381.0</v>
      </c>
      <c r="D515">
        <v>2380.19</v>
      </c>
      <c r="E515">
        <v>6.2472</v>
      </c>
      <c r="F515" t="s">
        <v>2942</v>
      </c>
      <c r="G515" t="s">
        <v>2962</v>
      </c>
      <c r="H515" t="s">
        <v>2984</v>
      </c>
      <c r="I515" t="s">
        <v>3442</v>
      </c>
    </row>
    <row r="516" customHeight="1" ht="14.0">
      <c r="A516" t="s">
        <v>1163</v>
      </c>
      <c r="B516" s="153" t="s">
        <v>1164</v>
      </c>
      <c r="C516">
        <v>0.0</v>
      </c>
      <c r="D516">
        <v>0.0</v>
      </c>
      <c r="F516" t="s">
        <v>2942</v>
      </c>
      <c r="G516" t="s">
        <v>2943</v>
      </c>
      <c r="H516" t="s">
        <v>2963</v>
      </c>
      <c r="I516" t="s">
        <v>3442</v>
      </c>
    </row>
    <row r="517" customHeight="1" ht="14.0">
      <c r="A517" t="s">
        <v>3480</v>
      </c>
      <c r="B517" s="153" t="s">
        <v>3481</v>
      </c>
      <c r="C517">
        <v>361.0</v>
      </c>
      <c r="D517">
        <v>2255.25</v>
      </c>
      <c r="E517">
        <v>6.2472</v>
      </c>
      <c r="F517" t="s">
        <v>2942</v>
      </c>
      <c r="G517" t="s">
        <v>2962</v>
      </c>
      <c r="H517" t="s">
        <v>2984</v>
      </c>
      <c r="I517" t="s">
        <v>3442</v>
      </c>
    </row>
    <row r="518" customHeight="1" ht="14.0">
      <c r="A518" t="s">
        <v>1165</v>
      </c>
      <c r="B518" s="153" t="s">
        <v>1166</v>
      </c>
      <c r="C518">
        <v>94.0</v>
      </c>
      <c r="D518">
        <v>555.17</v>
      </c>
      <c r="E518">
        <v>5.9061</v>
      </c>
      <c r="F518" t="s">
        <v>2942</v>
      </c>
      <c r="G518" t="s">
        <v>2962</v>
      </c>
      <c r="H518" t="s">
        <v>2984</v>
      </c>
      <c r="I518" t="s">
        <v>3442</v>
      </c>
    </row>
    <row r="519" customHeight="1" ht="14.0">
      <c r="A519" t="s">
        <v>3482</v>
      </c>
      <c r="B519" s="153" t="s">
        <v>1168</v>
      </c>
      <c r="C519">
        <v>2.0</v>
      </c>
      <c r="D519">
        <v>61.79</v>
      </c>
      <c r="E519">
        <v>30.895</v>
      </c>
      <c r="F519" t="s">
        <v>2942</v>
      </c>
      <c r="G519" t="s">
        <v>2962</v>
      </c>
      <c r="H519" t="s">
        <v>2984</v>
      </c>
      <c r="I519" t="s">
        <v>3442</v>
      </c>
    </row>
    <row r="520" customHeight="1" ht="14.0">
      <c r="A520" t="s">
        <v>3483</v>
      </c>
      <c r="B520" s="153" t="s">
        <v>3484</v>
      </c>
      <c r="C520">
        <v>263.0</v>
      </c>
      <c r="D520">
        <v>1643.18</v>
      </c>
      <c r="E520">
        <v>6.2478</v>
      </c>
      <c r="F520" t="s">
        <v>2942</v>
      </c>
      <c r="G520" t="s">
        <v>2962</v>
      </c>
      <c r="H520" t="s">
        <v>2984</v>
      </c>
      <c r="I520" t="s">
        <v>3442</v>
      </c>
    </row>
    <row r="521" customHeight="1" ht="14.0">
      <c r="A521" t="s">
        <v>1169</v>
      </c>
      <c r="B521" s="153" t="s">
        <v>1170</v>
      </c>
      <c r="C521">
        <v>0.0</v>
      </c>
      <c r="D521">
        <v>0.0</v>
      </c>
      <c r="F521" t="s">
        <v>2942</v>
      </c>
      <c r="G521" t="s">
        <v>2943</v>
      </c>
      <c r="H521" t="s">
        <v>2963</v>
      </c>
      <c r="I521" t="s">
        <v>3442</v>
      </c>
    </row>
    <row r="522" customHeight="1" ht="14.0">
      <c r="A522" t="s">
        <v>3485</v>
      </c>
      <c r="B522" s="153" t="s">
        <v>3486</v>
      </c>
      <c r="C522">
        <v>311.0</v>
      </c>
      <c r="D522">
        <v>1942.95</v>
      </c>
      <c r="E522">
        <v>6.2474</v>
      </c>
      <c r="F522" t="s">
        <v>2942</v>
      </c>
      <c r="G522" t="s">
        <v>2962</v>
      </c>
      <c r="H522" t="s">
        <v>2963</v>
      </c>
      <c r="I522" t="s">
        <v>3442</v>
      </c>
    </row>
    <row r="523" customHeight="1" ht="14.0">
      <c r="A523" t="s">
        <v>3487</v>
      </c>
      <c r="B523" s="153" t="s">
        <v>3488</v>
      </c>
      <c r="C523">
        <v>1.0</v>
      </c>
      <c r="D523">
        <v>0.0</v>
      </c>
      <c r="E523">
        <v>0.0</v>
      </c>
      <c r="F523" t="s">
        <v>2942</v>
      </c>
      <c r="G523" t="s">
        <v>2962</v>
      </c>
      <c r="H523" t="s">
        <v>3161</v>
      </c>
    </row>
    <row r="524" customHeight="1" ht="14.0">
      <c r="A524" t="s">
        <v>3489</v>
      </c>
      <c r="B524" s="153" t="s">
        <v>3490</v>
      </c>
      <c r="C524">
        <v>0.0</v>
      </c>
      <c r="D524">
        <v>0.0</v>
      </c>
      <c r="F524" t="s">
        <v>2942</v>
      </c>
      <c r="G524" t="s">
        <v>2943</v>
      </c>
      <c r="H524" t="s">
        <v>2944</v>
      </c>
      <c r="I524" t="s">
        <v>3491</v>
      </c>
    </row>
    <row r="525" customHeight="1" ht="14.0">
      <c r="A525" t="s">
        <v>3492</v>
      </c>
      <c r="B525" s="153" t="s">
        <v>3493</v>
      </c>
      <c r="C525">
        <v>0.0</v>
      </c>
      <c r="D525">
        <v>0.0</v>
      </c>
      <c r="F525" t="s">
        <v>2942</v>
      </c>
      <c r="G525" t="s">
        <v>2943</v>
      </c>
      <c r="H525" t="s">
        <v>2944</v>
      </c>
      <c r="I525" t="s">
        <v>3491</v>
      </c>
    </row>
    <row r="526" customHeight="1" ht="14.0">
      <c r="A526" t="s">
        <v>3494</v>
      </c>
      <c r="B526" s="153" t="s">
        <v>3495</v>
      </c>
      <c r="C526">
        <v>0.0</v>
      </c>
      <c r="D526">
        <v>0.0</v>
      </c>
      <c r="F526" t="s">
        <v>2942</v>
      </c>
      <c r="G526" t="s">
        <v>2943</v>
      </c>
      <c r="H526" t="s">
        <v>2944</v>
      </c>
      <c r="I526" t="s">
        <v>3491</v>
      </c>
    </row>
    <row r="527" customHeight="1" ht="14.0">
      <c r="A527" t="s">
        <v>3496</v>
      </c>
      <c r="B527" s="153" t="s">
        <v>3497</v>
      </c>
      <c r="C527">
        <v>0.0</v>
      </c>
      <c r="D527">
        <v>0.0</v>
      </c>
      <c r="F527" t="s">
        <v>2942</v>
      </c>
      <c r="G527" t="s">
        <v>2943</v>
      </c>
      <c r="H527" t="s">
        <v>2944</v>
      </c>
      <c r="I527" t="s">
        <v>3491</v>
      </c>
    </row>
    <row r="528" customHeight="1" ht="14.0">
      <c r="A528" t="s">
        <v>3498</v>
      </c>
      <c r="B528" s="153" t="s">
        <v>3499</v>
      </c>
      <c r="C528">
        <v>0.0</v>
      </c>
      <c r="D528">
        <v>0.0</v>
      </c>
      <c r="F528" t="s">
        <v>2942</v>
      </c>
      <c r="G528" t="s">
        <v>2943</v>
      </c>
      <c r="H528" t="s">
        <v>2944</v>
      </c>
      <c r="I528" t="s">
        <v>3491</v>
      </c>
    </row>
    <row r="529" customHeight="1" ht="14.0">
      <c r="A529" t="s">
        <v>3500</v>
      </c>
      <c r="B529" s="153" t="s">
        <v>3501</v>
      </c>
      <c r="C529">
        <v>0.0</v>
      </c>
      <c r="D529">
        <v>0.0</v>
      </c>
      <c r="F529" t="s">
        <v>2942</v>
      </c>
      <c r="G529" t="s">
        <v>2943</v>
      </c>
      <c r="H529" t="s">
        <v>2944</v>
      </c>
      <c r="I529" t="s">
        <v>3491</v>
      </c>
    </row>
    <row r="530" customHeight="1" ht="14.0">
      <c r="A530" t="s">
        <v>3502</v>
      </c>
      <c r="B530" s="153" t="s">
        <v>3503</v>
      </c>
      <c r="C530">
        <v>0.0</v>
      </c>
      <c r="D530">
        <v>0.0</v>
      </c>
      <c r="F530" t="s">
        <v>2942</v>
      </c>
      <c r="G530" t="s">
        <v>2943</v>
      </c>
      <c r="H530" t="s">
        <v>2944</v>
      </c>
      <c r="I530" t="s">
        <v>3491</v>
      </c>
    </row>
    <row r="531" customHeight="1" ht="14.0">
      <c r="A531" t="s">
        <v>3504</v>
      </c>
      <c r="B531" s="153" t="s">
        <v>3505</v>
      </c>
      <c r="C531">
        <v>0.0</v>
      </c>
      <c r="D531">
        <v>0.0</v>
      </c>
      <c r="F531" t="s">
        <v>2942</v>
      </c>
      <c r="G531" t="s">
        <v>2943</v>
      </c>
      <c r="H531" t="s">
        <v>2944</v>
      </c>
      <c r="I531" t="s">
        <v>3491</v>
      </c>
    </row>
    <row r="532" customHeight="1" ht="14.0">
      <c r="A532" t="s">
        <v>3506</v>
      </c>
      <c r="B532" s="153" t="s">
        <v>3507</v>
      </c>
      <c r="C532">
        <v>0.0</v>
      </c>
      <c r="D532">
        <v>0.0</v>
      </c>
      <c r="F532" t="s">
        <v>3197</v>
      </c>
      <c r="G532" t="s">
        <v>2962</v>
      </c>
      <c r="H532" t="s">
        <v>3198</v>
      </c>
    </row>
    <row r="533" customHeight="1" ht="14.0">
      <c r="A533" t="s">
        <v>3508</v>
      </c>
      <c r="B533" s="153" t="s">
        <v>3509</v>
      </c>
      <c r="C533">
        <v>0.0</v>
      </c>
      <c r="D533">
        <v>0.0</v>
      </c>
      <c r="F533" t="s">
        <v>2942</v>
      </c>
      <c r="G533" t="s">
        <v>2943</v>
      </c>
      <c r="H533" t="s">
        <v>2944</v>
      </c>
      <c r="I533" t="s">
        <v>401</v>
      </c>
    </row>
    <row r="534" customHeight="1" ht="14.0">
      <c r="A534" t="s">
        <v>3510</v>
      </c>
      <c r="B534" s="153" t="s">
        <v>3511</v>
      </c>
      <c r="C534">
        <v>12.0</v>
      </c>
      <c r="D534">
        <v>6.48</v>
      </c>
      <c r="E534">
        <v>0.54</v>
      </c>
      <c r="F534" t="s">
        <v>2942</v>
      </c>
      <c r="G534" t="s">
        <v>2962</v>
      </c>
      <c r="H534" t="s">
        <v>3161</v>
      </c>
      <c r="I534" t="s">
        <v>3366</v>
      </c>
    </row>
    <row r="535" customHeight="1" ht="14.0">
      <c r="A535" t="s">
        <v>3512</v>
      </c>
      <c r="B535" s="153" t="s">
        <v>3513</v>
      </c>
      <c r="C535">
        <v>108.0</v>
      </c>
      <c r="D535">
        <v>58.32</v>
      </c>
      <c r="E535">
        <v>0.54</v>
      </c>
      <c r="F535" t="s">
        <v>2942</v>
      </c>
      <c r="G535" t="s">
        <v>2962</v>
      </c>
      <c r="H535" t="s">
        <v>3161</v>
      </c>
      <c r="I535" t="s">
        <v>3366</v>
      </c>
    </row>
    <row r="536" customHeight="1" ht="14.0">
      <c r="A536" t="s">
        <v>3514</v>
      </c>
      <c r="B536" s="153" t="s">
        <v>3515</v>
      </c>
      <c r="C536">
        <v>930.0</v>
      </c>
      <c r="D536">
        <v>391.4</v>
      </c>
      <c r="E536">
        <v>0.4209</v>
      </c>
      <c r="F536" t="s">
        <v>3197</v>
      </c>
      <c r="G536" t="s">
        <v>2962</v>
      </c>
      <c r="H536" t="s">
        <v>3455</v>
      </c>
    </row>
    <row r="537" customHeight="1" ht="14.0">
      <c r="A537" t="s">
        <v>3516</v>
      </c>
      <c r="B537" s="153" t="s">
        <v>3517</v>
      </c>
      <c r="C537">
        <v>0.0</v>
      </c>
      <c r="D537">
        <v>0.0</v>
      </c>
      <c r="F537" t="s">
        <v>2942</v>
      </c>
      <c r="G537" t="s">
        <v>2943</v>
      </c>
      <c r="H537" t="s">
        <v>2944</v>
      </c>
      <c r="I537" t="s">
        <v>3491</v>
      </c>
    </row>
    <row r="538" customHeight="1" ht="14.0">
      <c r="A538" t="s">
        <v>3518</v>
      </c>
      <c r="B538" s="153" t="s">
        <v>3519</v>
      </c>
      <c r="C538">
        <v>0.0</v>
      </c>
      <c r="D538">
        <v>0.0</v>
      </c>
      <c r="F538" t="s">
        <v>2942</v>
      </c>
      <c r="G538" t="s">
        <v>2943</v>
      </c>
      <c r="H538" t="s">
        <v>2944</v>
      </c>
      <c r="I538" t="s">
        <v>3491</v>
      </c>
    </row>
    <row r="539" customHeight="1" ht="14.0">
      <c r="A539" t="s">
        <v>3520</v>
      </c>
      <c r="B539" s="153" t="s">
        <v>3521</v>
      </c>
      <c r="C539">
        <v>0.0</v>
      </c>
      <c r="D539">
        <v>0.0</v>
      </c>
      <c r="F539" t="s">
        <v>2942</v>
      </c>
      <c r="G539" t="s">
        <v>2943</v>
      </c>
      <c r="H539" t="s">
        <v>2944</v>
      </c>
      <c r="I539" t="s">
        <v>3491</v>
      </c>
    </row>
    <row r="540" customHeight="1" ht="14.0">
      <c r="A540" t="s">
        <v>3522</v>
      </c>
      <c r="B540" s="153" t="s">
        <v>3523</v>
      </c>
      <c r="C540">
        <v>0.0</v>
      </c>
      <c r="D540">
        <v>0.0</v>
      </c>
      <c r="F540" t="s">
        <v>2942</v>
      </c>
      <c r="G540" t="s">
        <v>2943</v>
      </c>
      <c r="H540" t="s">
        <v>2944</v>
      </c>
      <c r="I540" t="s">
        <v>228</v>
      </c>
    </row>
    <row r="541" customHeight="1" ht="14.0">
      <c r="A541" t="s">
        <v>3524</v>
      </c>
      <c r="B541" s="153" t="s">
        <v>3525</v>
      </c>
      <c r="C541">
        <v>0.0</v>
      </c>
      <c r="D541">
        <v>0.0</v>
      </c>
      <c r="F541" t="s">
        <v>2942</v>
      </c>
      <c r="G541" t="s">
        <v>2943</v>
      </c>
      <c r="H541" t="s">
        <v>2944</v>
      </c>
      <c r="I541" t="s">
        <v>3526</v>
      </c>
    </row>
    <row r="542" customHeight="1" ht="14.0">
      <c r="A542" t="s">
        <v>3527</v>
      </c>
      <c r="B542" s="153" t="s">
        <v>3528</v>
      </c>
      <c r="C542">
        <v>0.0</v>
      </c>
      <c r="D542">
        <v>0.0</v>
      </c>
      <c r="F542" t="s">
        <v>2942</v>
      </c>
      <c r="G542" t="s">
        <v>2943</v>
      </c>
      <c r="H542" t="s">
        <v>2944</v>
      </c>
      <c r="I542" t="s">
        <v>3526</v>
      </c>
    </row>
    <row r="543" customHeight="1" ht="14.0">
      <c r="A543" t="s">
        <v>3529</v>
      </c>
      <c r="B543" s="153" t="s">
        <v>3530</v>
      </c>
      <c r="C543">
        <v>0.0</v>
      </c>
      <c r="D543">
        <v>0.0</v>
      </c>
      <c r="F543" t="s">
        <v>2942</v>
      </c>
      <c r="G543" t="s">
        <v>2943</v>
      </c>
      <c r="H543" t="s">
        <v>2944</v>
      </c>
      <c r="I543" t="s">
        <v>3526</v>
      </c>
    </row>
    <row r="544" customHeight="1" ht="14.0">
      <c r="A544" t="s">
        <v>3531</v>
      </c>
      <c r="B544" s="153" t="s">
        <v>3532</v>
      </c>
      <c r="C544">
        <v>0.0</v>
      </c>
      <c r="D544">
        <v>0.0</v>
      </c>
      <c r="F544" t="s">
        <v>2942</v>
      </c>
      <c r="G544" t="s">
        <v>2943</v>
      </c>
      <c r="H544" t="s">
        <v>2944</v>
      </c>
      <c r="I544" t="s">
        <v>3526</v>
      </c>
    </row>
    <row r="545" customHeight="1" ht="14.0">
      <c r="A545" t="s">
        <v>3533</v>
      </c>
      <c r="B545" s="153" t="s">
        <v>3534</v>
      </c>
      <c r="C545">
        <v>0.0</v>
      </c>
      <c r="D545">
        <v>0.0</v>
      </c>
      <c r="F545" t="s">
        <v>2942</v>
      </c>
      <c r="G545" t="s">
        <v>2943</v>
      </c>
      <c r="H545" t="s">
        <v>2944</v>
      </c>
      <c r="I545" t="s">
        <v>3526</v>
      </c>
    </row>
    <row r="546" customHeight="1" ht="14.0">
      <c r="A546" t="s">
        <v>3535</v>
      </c>
      <c r="B546" s="153" t="s">
        <v>3536</v>
      </c>
      <c r="C546">
        <v>0.0</v>
      </c>
      <c r="D546">
        <v>0.0</v>
      </c>
      <c r="F546" t="s">
        <v>2942</v>
      </c>
      <c r="G546" t="s">
        <v>2943</v>
      </c>
      <c r="H546" t="s">
        <v>2944</v>
      </c>
      <c r="I546" t="s">
        <v>3526</v>
      </c>
    </row>
    <row r="547" customHeight="1" ht="14.0">
      <c r="A547" t="s">
        <v>3537</v>
      </c>
      <c r="B547" s="153" t="s">
        <v>3538</v>
      </c>
      <c r="C547">
        <v>0.0</v>
      </c>
      <c r="D547">
        <v>0.0</v>
      </c>
      <c r="F547" t="s">
        <v>2942</v>
      </c>
      <c r="G547" t="s">
        <v>2943</v>
      </c>
      <c r="H547" t="s">
        <v>2944</v>
      </c>
      <c r="I547" t="s">
        <v>3526</v>
      </c>
    </row>
    <row r="548" customHeight="1" ht="14.0">
      <c r="A548" t="s">
        <v>3539</v>
      </c>
      <c r="B548" s="153" t="s">
        <v>3540</v>
      </c>
      <c r="C548">
        <v>0.0</v>
      </c>
      <c r="D548">
        <v>0.0</v>
      </c>
      <c r="F548" t="s">
        <v>2942</v>
      </c>
      <c r="G548" t="s">
        <v>2943</v>
      </c>
      <c r="H548" t="s">
        <v>2944</v>
      </c>
      <c r="I548" t="s">
        <v>3526</v>
      </c>
    </row>
    <row r="549" customHeight="1" ht="14.0">
      <c r="A549" t="s">
        <v>3541</v>
      </c>
      <c r="B549" s="153" t="s">
        <v>3542</v>
      </c>
      <c r="C549">
        <v>0.0</v>
      </c>
      <c r="D549">
        <v>0.0</v>
      </c>
      <c r="F549" t="s">
        <v>2942</v>
      </c>
      <c r="G549" t="s">
        <v>2943</v>
      </c>
      <c r="H549" t="s">
        <v>2944</v>
      </c>
      <c r="I549" t="s">
        <v>3526</v>
      </c>
    </row>
    <row r="550" customHeight="1" ht="14.0">
      <c r="A550" t="s">
        <v>3543</v>
      </c>
      <c r="B550" s="153" t="s">
        <v>3544</v>
      </c>
      <c r="C550">
        <v>0.0</v>
      </c>
      <c r="D550">
        <v>0.0</v>
      </c>
      <c r="F550" t="s">
        <v>2942</v>
      </c>
      <c r="G550" t="s">
        <v>2943</v>
      </c>
      <c r="H550" t="s">
        <v>2944</v>
      </c>
      <c r="I550" t="s">
        <v>3526</v>
      </c>
    </row>
    <row r="551" customHeight="1" ht="14.0">
      <c r="A551" t="s">
        <v>3545</v>
      </c>
      <c r="B551" s="153" t="s">
        <v>3546</v>
      </c>
      <c r="C551">
        <v>0.0</v>
      </c>
      <c r="D551">
        <v>0.0</v>
      </c>
      <c r="F551" t="s">
        <v>2942</v>
      </c>
      <c r="G551" t="s">
        <v>2943</v>
      </c>
      <c r="H551" t="s">
        <v>2944</v>
      </c>
      <c r="I551" t="s">
        <v>3526</v>
      </c>
    </row>
    <row r="552" customHeight="1" ht="14.0">
      <c r="A552" t="s">
        <v>3547</v>
      </c>
      <c r="B552" s="153" t="s">
        <v>3548</v>
      </c>
      <c r="C552">
        <v>0.0</v>
      </c>
      <c r="D552">
        <v>0.0</v>
      </c>
      <c r="F552" t="s">
        <v>2942</v>
      </c>
      <c r="G552" t="s">
        <v>2943</v>
      </c>
      <c r="H552" t="s">
        <v>2944</v>
      </c>
      <c r="I552" t="s">
        <v>3526</v>
      </c>
    </row>
    <row r="553" customHeight="1" ht="14.0">
      <c r="A553" t="s">
        <v>3549</v>
      </c>
      <c r="B553" s="153" t="s">
        <v>3550</v>
      </c>
      <c r="C553">
        <v>0.0</v>
      </c>
      <c r="D553">
        <v>0.0</v>
      </c>
      <c r="F553" t="s">
        <v>2942</v>
      </c>
      <c r="G553" t="s">
        <v>2943</v>
      </c>
      <c r="H553" t="s">
        <v>2944</v>
      </c>
      <c r="I553" t="s">
        <v>3526</v>
      </c>
    </row>
    <row r="554" customHeight="1" ht="14.0">
      <c r="A554" t="s">
        <v>3551</v>
      </c>
      <c r="B554" s="153" t="s">
        <v>3552</v>
      </c>
      <c r="C554">
        <v>0.0</v>
      </c>
      <c r="D554">
        <v>0.0</v>
      </c>
      <c r="F554" t="s">
        <v>2942</v>
      </c>
      <c r="G554" t="s">
        <v>2943</v>
      </c>
      <c r="H554" t="s">
        <v>2944</v>
      </c>
      <c r="I554" t="s">
        <v>3526</v>
      </c>
    </row>
    <row r="555" customHeight="1" ht="14.0">
      <c r="A555" t="s">
        <v>3553</v>
      </c>
      <c r="B555" s="153" t="s">
        <v>3554</v>
      </c>
      <c r="C555">
        <v>0.0</v>
      </c>
      <c r="D555">
        <v>0.0</v>
      </c>
      <c r="F555" t="s">
        <v>2942</v>
      </c>
      <c r="G555" t="s">
        <v>2943</v>
      </c>
      <c r="H555" t="s">
        <v>2944</v>
      </c>
      <c r="I555" t="s">
        <v>3526</v>
      </c>
    </row>
    <row r="556" customHeight="1" ht="14.0">
      <c r="A556" t="s">
        <v>3555</v>
      </c>
      <c r="B556" s="153" t="s">
        <v>3556</v>
      </c>
      <c r="C556">
        <v>0.0</v>
      </c>
      <c r="D556">
        <v>0.0</v>
      </c>
      <c r="F556" t="s">
        <v>2942</v>
      </c>
      <c r="G556" t="s">
        <v>2943</v>
      </c>
      <c r="H556" t="s">
        <v>2944</v>
      </c>
      <c r="I556" t="s">
        <v>3526</v>
      </c>
    </row>
    <row r="557" customHeight="1" ht="14.0">
      <c r="A557" t="s">
        <v>3557</v>
      </c>
      <c r="B557" s="153" t="s">
        <v>3558</v>
      </c>
      <c r="C557">
        <v>0.0</v>
      </c>
      <c r="D557">
        <v>0.0</v>
      </c>
      <c r="F557" t="s">
        <v>2942</v>
      </c>
      <c r="G557" t="s">
        <v>2943</v>
      </c>
      <c r="H557" t="s">
        <v>2944</v>
      </c>
      <c r="I557" t="s">
        <v>3526</v>
      </c>
    </row>
    <row r="558" customHeight="1" ht="14.0">
      <c r="A558" t="s">
        <v>3559</v>
      </c>
      <c r="B558" s="153" t="s">
        <v>3560</v>
      </c>
      <c r="C558">
        <v>0.0</v>
      </c>
      <c r="D558">
        <v>0.0</v>
      </c>
      <c r="F558" t="s">
        <v>2942</v>
      </c>
      <c r="G558" t="s">
        <v>2943</v>
      </c>
      <c r="H558" t="s">
        <v>2944</v>
      </c>
      <c r="I558" t="s">
        <v>3526</v>
      </c>
    </row>
    <row r="559" customHeight="1" ht="14.0">
      <c r="A559" t="s">
        <v>3561</v>
      </c>
      <c r="B559" s="153" t="s">
        <v>3562</v>
      </c>
      <c r="C559">
        <v>0.0</v>
      </c>
      <c r="D559">
        <v>0.0</v>
      </c>
      <c r="F559" t="s">
        <v>2942</v>
      </c>
      <c r="G559" t="s">
        <v>2943</v>
      </c>
      <c r="H559" t="s">
        <v>2944</v>
      </c>
      <c r="I559" t="s">
        <v>3526</v>
      </c>
    </row>
    <row r="560" customHeight="1" ht="14.0">
      <c r="A560" t="s">
        <v>3563</v>
      </c>
      <c r="B560" s="153" t="s">
        <v>3564</v>
      </c>
      <c r="C560">
        <v>0.0</v>
      </c>
      <c r="D560">
        <v>0.0</v>
      </c>
      <c r="F560" t="s">
        <v>2942</v>
      </c>
      <c r="G560" t="s">
        <v>2943</v>
      </c>
      <c r="H560" t="s">
        <v>2944</v>
      </c>
      <c r="I560" t="s">
        <v>3526</v>
      </c>
    </row>
    <row r="561" customHeight="1" ht="14.0">
      <c r="A561" t="s">
        <v>3565</v>
      </c>
      <c r="B561" s="153" t="s">
        <v>3566</v>
      </c>
      <c r="C561">
        <v>0.0</v>
      </c>
      <c r="D561">
        <v>0.0</v>
      </c>
      <c r="F561" t="s">
        <v>2942</v>
      </c>
      <c r="G561" t="s">
        <v>2943</v>
      </c>
      <c r="H561" t="s">
        <v>2944</v>
      </c>
      <c r="I561" t="s">
        <v>3526</v>
      </c>
    </row>
    <row r="562" customHeight="1" ht="14.0">
      <c r="A562" t="s">
        <v>3567</v>
      </c>
      <c r="B562" s="153" t="s">
        <v>3568</v>
      </c>
      <c r="C562">
        <v>0.0</v>
      </c>
      <c r="D562">
        <v>0.0</v>
      </c>
      <c r="F562" t="s">
        <v>2942</v>
      </c>
      <c r="G562" t="s">
        <v>2943</v>
      </c>
      <c r="H562" t="s">
        <v>2944</v>
      </c>
      <c r="I562" t="s">
        <v>3526</v>
      </c>
    </row>
    <row r="563" customHeight="1" ht="14.0">
      <c r="A563" t="s">
        <v>3569</v>
      </c>
      <c r="B563" s="153" t="s">
        <v>3570</v>
      </c>
      <c r="C563">
        <v>0.0</v>
      </c>
      <c r="D563">
        <v>0.0</v>
      </c>
      <c r="F563" t="s">
        <v>2942</v>
      </c>
      <c r="G563" t="s">
        <v>2943</v>
      </c>
      <c r="H563" t="s">
        <v>2944</v>
      </c>
      <c r="I563" t="s">
        <v>3526</v>
      </c>
    </row>
    <row r="564" customHeight="1" ht="14.0">
      <c r="A564" t="s">
        <v>3571</v>
      </c>
      <c r="B564" s="153" t="s">
        <v>3572</v>
      </c>
      <c r="C564">
        <v>0.0</v>
      </c>
      <c r="D564">
        <v>0.0</v>
      </c>
      <c r="F564" t="s">
        <v>2942</v>
      </c>
      <c r="G564" t="s">
        <v>2943</v>
      </c>
      <c r="H564" t="s">
        <v>2944</v>
      </c>
      <c r="I564" t="s">
        <v>3526</v>
      </c>
    </row>
    <row r="565" customHeight="1" ht="14.0">
      <c r="A565" t="s">
        <v>3573</v>
      </c>
      <c r="B565" s="153" t="s">
        <v>3574</v>
      </c>
      <c r="C565">
        <v>0.0</v>
      </c>
      <c r="D565">
        <v>0.0</v>
      </c>
      <c r="F565" t="s">
        <v>2942</v>
      </c>
      <c r="G565" t="s">
        <v>2943</v>
      </c>
      <c r="H565" t="s">
        <v>2944</v>
      </c>
      <c r="I565" t="s">
        <v>3526</v>
      </c>
    </row>
    <row r="566" customHeight="1" ht="14.0">
      <c r="A566" t="s">
        <v>3575</v>
      </c>
      <c r="B566" s="153" t="s">
        <v>3576</v>
      </c>
      <c r="C566">
        <v>0.0</v>
      </c>
      <c r="D566">
        <v>0.0</v>
      </c>
      <c r="F566" t="s">
        <v>2942</v>
      </c>
      <c r="G566" t="s">
        <v>2943</v>
      </c>
      <c r="H566" t="s">
        <v>2944</v>
      </c>
      <c r="I566" t="s">
        <v>3526</v>
      </c>
    </row>
    <row r="567" customHeight="1" ht="14.0">
      <c r="A567" t="s">
        <v>3577</v>
      </c>
      <c r="B567" s="153" t="s">
        <v>3578</v>
      </c>
      <c r="C567">
        <v>0.0</v>
      </c>
      <c r="D567">
        <v>0.0</v>
      </c>
      <c r="F567" t="s">
        <v>2942</v>
      </c>
      <c r="G567" t="s">
        <v>2943</v>
      </c>
      <c r="H567" t="s">
        <v>2944</v>
      </c>
      <c r="I567" t="s">
        <v>3526</v>
      </c>
    </row>
    <row r="568" customHeight="1" ht="14.0">
      <c r="A568" t="s">
        <v>3579</v>
      </c>
      <c r="B568" s="153" t="s">
        <v>3580</v>
      </c>
      <c r="C568">
        <v>0.0</v>
      </c>
      <c r="D568">
        <v>0.0</v>
      </c>
      <c r="F568" t="s">
        <v>2942</v>
      </c>
      <c r="G568" t="s">
        <v>2943</v>
      </c>
      <c r="H568" t="s">
        <v>2944</v>
      </c>
      <c r="I568" t="s">
        <v>3526</v>
      </c>
    </row>
    <row r="569" customHeight="1" ht="14.0">
      <c r="A569" t="s">
        <v>3581</v>
      </c>
      <c r="B569" s="153" t="s">
        <v>3582</v>
      </c>
      <c r="C569">
        <v>0.0</v>
      </c>
      <c r="D569">
        <v>0.0</v>
      </c>
      <c r="F569" t="s">
        <v>2942</v>
      </c>
      <c r="G569" t="s">
        <v>2943</v>
      </c>
      <c r="H569" t="s">
        <v>2944</v>
      </c>
      <c r="I569" t="s">
        <v>3526</v>
      </c>
    </row>
    <row r="570" customHeight="1" ht="14.0">
      <c r="A570" t="s">
        <v>3583</v>
      </c>
      <c r="B570" s="153" t="s">
        <v>3584</v>
      </c>
      <c r="C570">
        <v>0.0</v>
      </c>
      <c r="D570">
        <v>0.0</v>
      </c>
      <c r="F570" t="s">
        <v>2942</v>
      </c>
      <c r="G570" t="s">
        <v>2943</v>
      </c>
      <c r="H570" t="s">
        <v>2944</v>
      </c>
      <c r="I570" t="s">
        <v>3526</v>
      </c>
    </row>
    <row r="571" customHeight="1" ht="14.0">
      <c r="A571" t="s">
        <v>3585</v>
      </c>
      <c r="B571" s="153" t="s">
        <v>3586</v>
      </c>
      <c r="C571">
        <v>0.0</v>
      </c>
      <c r="D571">
        <v>0.0</v>
      </c>
      <c r="F571" t="s">
        <v>2942</v>
      </c>
      <c r="G571" t="s">
        <v>2943</v>
      </c>
      <c r="H571" t="s">
        <v>2944</v>
      </c>
      <c r="I571" t="s">
        <v>3526</v>
      </c>
    </row>
    <row r="572" customHeight="1" ht="14.0">
      <c r="A572" t="s">
        <v>3587</v>
      </c>
      <c r="B572" s="153" t="s">
        <v>3588</v>
      </c>
      <c r="C572">
        <v>0.0</v>
      </c>
      <c r="D572">
        <v>0.0</v>
      </c>
      <c r="F572" t="s">
        <v>2942</v>
      </c>
      <c r="G572" t="s">
        <v>2943</v>
      </c>
      <c r="H572" t="s">
        <v>2944</v>
      </c>
      <c r="I572" t="s">
        <v>3526</v>
      </c>
    </row>
    <row r="573" customHeight="1" ht="14.0">
      <c r="A573" t="s">
        <v>3589</v>
      </c>
      <c r="B573" s="153" t="s">
        <v>3590</v>
      </c>
      <c r="C573">
        <v>0.0</v>
      </c>
      <c r="D573">
        <v>0.0</v>
      </c>
      <c r="F573" t="s">
        <v>2942</v>
      </c>
      <c r="G573" t="s">
        <v>2943</v>
      </c>
      <c r="H573" t="s">
        <v>2944</v>
      </c>
      <c r="I573" t="s">
        <v>3526</v>
      </c>
    </row>
    <row r="574" customHeight="1" ht="14.0">
      <c r="A574" t="s">
        <v>3591</v>
      </c>
      <c r="B574" s="153" t="s">
        <v>3592</v>
      </c>
      <c r="C574">
        <v>0.0</v>
      </c>
      <c r="D574">
        <v>0.0</v>
      </c>
      <c r="F574" t="s">
        <v>2942</v>
      </c>
      <c r="G574" t="s">
        <v>2943</v>
      </c>
      <c r="H574" t="s">
        <v>2944</v>
      </c>
      <c r="I574" t="s">
        <v>3526</v>
      </c>
    </row>
    <row r="575" customHeight="1" ht="14.0">
      <c r="A575" t="s">
        <v>3593</v>
      </c>
      <c r="B575" s="153" t="s">
        <v>3594</v>
      </c>
      <c r="C575">
        <v>0.0</v>
      </c>
      <c r="D575">
        <v>0.0</v>
      </c>
      <c r="F575" t="s">
        <v>2942</v>
      </c>
      <c r="G575" t="s">
        <v>2943</v>
      </c>
      <c r="H575" t="s">
        <v>2944</v>
      </c>
      <c r="I575" t="s">
        <v>3526</v>
      </c>
    </row>
    <row r="576" customHeight="1" ht="14.0">
      <c r="A576" t="s">
        <v>3595</v>
      </c>
      <c r="B576" s="153" t="s">
        <v>3596</v>
      </c>
      <c r="C576">
        <v>0.0</v>
      </c>
      <c r="D576">
        <v>0.0</v>
      </c>
      <c r="F576" t="s">
        <v>2942</v>
      </c>
      <c r="G576" t="s">
        <v>2943</v>
      </c>
      <c r="H576" t="s">
        <v>2944</v>
      </c>
      <c r="I576" t="s">
        <v>3526</v>
      </c>
    </row>
    <row r="577" customHeight="1" ht="14.0">
      <c r="A577" t="s">
        <v>3597</v>
      </c>
      <c r="B577" s="153" t="s">
        <v>3598</v>
      </c>
      <c r="C577">
        <v>0.0</v>
      </c>
      <c r="D577">
        <v>0.0</v>
      </c>
      <c r="F577" t="s">
        <v>2942</v>
      </c>
      <c r="G577" t="s">
        <v>2943</v>
      </c>
      <c r="H577" t="s">
        <v>2944</v>
      </c>
      <c r="I577" t="s">
        <v>3526</v>
      </c>
    </row>
    <row r="578" customHeight="1" ht="14.0">
      <c r="A578" t="s">
        <v>3599</v>
      </c>
      <c r="B578" s="153" t="s">
        <v>3600</v>
      </c>
      <c r="C578">
        <v>0.0</v>
      </c>
      <c r="D578">
        <v>0.0</v>
      </c>
      <c r="F578" t="s">
        <v>2942</v>
      </c>
      <c r="G578" t="s">
        <v>2943</v>
      </c>
      <c r="H578" t="s">
        <v>2944</v>
      </c>
      <c r="I578" t="s">
        <v>3526</v>
      </c>
    </row>
    <row r="579" customHeight="1" ht="14.0">
      <c r="A579" t="s">
        <v>3601</v>
      </c>
      <c r="B579" s="153" t="s">
        <v>3602</v>
      </c>
      <c r="C579">
        <v>0.0</v>
      </c>
      <c r="D579">
        <v>0.0</v>
      </c>
      <c r="F579" t="s">
        <v>2942</v>
      </c>
      <c r="G579" t="s">
        <v>2943</v>
      </c>
      <c r="H579" t="s">
        <v>2944</v>
      </c>
      <c r="I579" t="s">
        <v>3526</v>
      </c>
    </row>
    <row r="580" customHeight="1" ht="14.0">
      <c r="A580" t="s">
        <v>3603</v>
      </c>
      <c r="B580" s="153" t="s">
        <v>3604</v>
      </c>
      <c r="C580">
        <v>0.0</v>
      </c>
      <c r="D580">
        <v>0.0</v>
      </c>
      <c r="F580" t="s">
        <v>2942</v>
      </c>
      <c r="G580" t="s">
        <v>2943</v>
      </c>
      <c r="H580" t="s">
        <v>2944</v>
      </c>
      <c r="I580" t="s">
        <v>3526</v>
      </c>
    </row>
    <row r="581" customHeight="1" ht="14.0">
      <c r="A581" t="s">
        <v>3605</v>
      </c>
      <c r="B581" s="153" t="s">
        <v>3606</v>
      </c>
      <c r="C581">
        <v>0.0</v>
      </c>
      <c r="D581">
        <v>0.0</v>
      </c>
      <c r="F581" t="s">
        <v>2942</v>
      </c>
      <c r="G581" t="s">
        <v>2943</v>
      </c>
      <c r="H581" t="s">
        <v>2944</v>
      </c>
      <c r="I581" t="s">
        <v>3526</v>
      </c>
    </row>
    <row r="582" customHeight="1" ht="14.0">
      <c r="A582" t="s">
        <v>3607</v>
      </c>
      <c r="B582" s="153" t="s">
        <v>3608</v>
      </c>
      <c r="C582">
        <v>0.0</v>
      </c>
      <c r="D582">
        <v>0.0</v>
      </c>
      <c r="F582" t="s">
        <v>2942</v>
      </c>
      <c r="G582" t="s">
        <v>2943</v>
      </c>
      <c r="H582" t="s">
        <v>2944</v>
      </c>
      <c r="I582" t="s">
        <v>3526</v>
      </c>
    </row>
    <row r="583" customHeight="1" ht="14.0">
      <c r="A583" t="s">
        <v>3609</v>
      </c>
      <c r="B583" s="153" t="s">
        <v>3610</v>
      </c>
      <c r="C583">
        <v>0.0</v>
      </c>
      <c r="D583">
        <v>0.0</v>
      </c>
      <c r="F583" t="s">
        <v>2942</v>
      </c>
      <c r="G583" t="s">
        <v>2943</v>
      </c>
      <c r="H583" t="s">
        <v>2944</v>
      </c>
      <c r="I583" t="s">
        <v>3526</v>
      </c>
    </row>
    <row r="584" customHeight="1" ht="14.0">
      <c r="A584" t="s">
        <v>3611</v>
      </c>
      <c r="B584" s="153" t="s">
        <v>3612</v>
      </c>
      <c r="C584">
        <v>0.0</v>
      </c>
      <c r="D584">
        <v>0.0</v>
      </c>
      <c r="F584" t="s">
        <v>2942</v>
      </c>
      <c r="G584" t="s">
        <v>2943</v>
      </c>
      <c r="H584" t="s">
        <v>2944</v>
      </c>
      <c r="I584" t="s">
        <v>3526</v>
      </c>
    </row>
    <row r="585" customHeight="1" ht="14.0">
      <c r="A585" t="s">
        <v>3613</v>
      </c>
      <c r="B585" s="153" t="s">
        <v>3614</v>
      </c>
      <c r="C585">
        <v>0.0</v>
      </c>
      <c r="D585">
        <v>0.0</v>
      </c>
      <c r="F585" t="s">
        <v>2942</v>
      </c>
      <c r="G585" t="s">
        <v>2943</v>
      </c>
      <c r="H585" t="s">
        <v>2944</v>
      </c>
      <c r="I585" t="s">
        <v>3526</v>
      </c>
    </row>
    <row r="586" customHeight="1" ht="14.0">
      <c r="A586" t="s">
        <v>3615</v>
      </c>
      <c r="B586" s="153" t="s">
        <v>3616</v>
      </c>
      <c r="C586">
        <v>0.0</v>
      </c>
      <c r="D586">
        <v>0.0</v>
      </c>
      <c r="F586" t="s">
        <v>2942</v>
      </c>
      <c r="G586" t="s">
        <v>2943</v>
      </c>
      <c r="H586" t="s">
        <v>2944</v>
      </c>
      <c r="I586" t="s">
        <v>3526</v>
      </c>
    </row>
    <row r="587" customHeight="1" ht="14.0">
      <c r="A587" t="s">
        <v>3617</v>
      </c>
      <c r="B587" s="153" t="s">
        <v>3618</v>
      </c>
      <c r="C587">
        <v>0.0</v>
      </c>
      <c r="D587">
        <v>0.0</v>
      </c>
      <c r="F587" t="s">
        <v>2942</v>
      </c>
      <c r="G587" t="s">
        <v>2943</v>
      </c>
      <c r="H587" t="s">
        <v>2944</v>
      </c>
      <c r="I587" t="s">
        <v>3526</v>
      </c>
    </row>
    <row r="588" customHeight="1" ht="14.0">
      <c r="A588" t="s">
        <v>3619</v>
      </c>
      <c r="B588" s="153" t="s">
        <v>3620</v>
      </c>
      <c r="C588">
        <v>0.0</v>
      </c>
      <c r="D588">
        <v>0.0</v>
      </c>
      <c r="F588" t="s">
        <v>2942</v>
      </c>
      <c r="G588" t="s">
        <v>2943</v>
      </c>
      <c r="H588" t="s">
        <v>2944</v>
      </c>
      <c r="I588" t="s">
        <v>3526</v>
      </c>
    </row>
    <row r="589" customHeight="1" ht="14.0">
      <c r="A589" t="s">
        <v>3621</v>
      </c>
      <c r="B589" s="153" t="s">
        <v>3622</v>
      </c>
      <c r="C589">
        <v>0.0</v>
      </c>
      <c r="D589">
        <v>0.0</v>
      </c>
      <c r="F589" t="s">
        <v>2942</v>
      </c>
      <c r="G589" t="s">
        <v>2943</v>
      </c>
      <c r="H589" t="s">
        <v>2944</v>
      </c>
      <c r="I589" t="s">
        <v>3526</v>
      </c>
    </row>
    <row r="590" customHeight="1" ht="14.0">
      <c r="A590" t="s">
        <v>3623</v>
      </c>
      <c r="B590" s="153" t="s">
        <v>3624</v>
      </c>
      <c r="C590">
        <v>0.0</v>
      </c>
      <c r="D590">
        <v>0.0</v>
      </c>
      <c r="F590" t="s">
        <v>2942</v>
      </c>
      <c r="G590" t="s">
        <v>2943</v>
      </c>
      <c r="H590" t="s">
        <v>2944</v>
      </c>
      <c r="I590" t="s">
        <v>3526</v>
      </c>
    </row>
    <row r="591" customHeight="1" ht="14.0">
      <c r="A591" t="s">
        <v>3625</v>
      </c>
      <c r="B591" s="153" t="s">
        <v>3626</v>
      </c>
      <c r="C591">
        <v>0.0</v>
      </c>
      <c r="D591">
        <v>0.0</v>
      </c>
      <c r="F591" t="s">
        <v>2942</v>
      </c>
      <c r="G591" t="s">
        <v>2943</v>
      </c>
      <c r="H591" t="s">
        <v>2944</v>
      </c>
      <c r="I591" t="s">
        <v>3526</v>
      </c>
    </row>
    <row r="592" customHeight="1" ht="14.0">
      <c r="A592" t="s">
        <v>3627</v>
      </c>
      <c r="B592" s="153" t="s">
        <v>3628</v>
      </c>
      <c r="C592">
        <v>0.0</v>
      </c>
      <c r="D592">
        <v>0.0</v>
      </c>
      <c r="F592" t="s">
        <v>2942</v>
      </c>
      <c r="G592" t="s">
        <v>2943</v>
      </c>
      <c r="H592" t="s">
        <v>2944</v>
      </c>
      <c r="I592" t="s">
        <v>3526</v>
      </c>
    </row>
    <row r="593" customHeight="1" ht="14.0">
      <c r="A593" t="s">
        <v>3629</v>
      </c>
      <c r="B593" s="153" t="s">
        <v>3630</v>
      </c>
      <c r="C593">
        <v>0.0</v>
      </c>
      <c r="D593">
        <v>0.0</v>
      </c>
      <c r="F593" t="s">
        <v>2942</v>
      </c>
      <c r="G593" t="s">
        <v>2943</v>
      </c>
      <c r="H593" t="s">
        <v>2944</v>
      </c>
      <c r="I593" t="s">
        <v>3526</v>
      </c>
    </row>
    <row r="594" customHeight="1" ht="14.0">
      <c r="A594" t="s">
        <v>3631</v>
      </c>
      <c r="B594" s="153" t="s">
        <v>3632</v>
      </c>
      <c r="C594">
        <v>0.0</v>
      </c>
      <c r="D594">
        <v>0.0</v>
      </c>
      <c r="F594" t="s">
        <v>2942</v>
      </c>
      <c r="G594" t="s">
        <v>2943</v>
      </c>
      <c r="H594" t="s">
        <v>2944</v>
      </c>
      <c r="I594" t="s">
        <v>3526</v>
      </c>
    </row>
    <row r="595" customHeight="1" ht="14.0">
      <c r="A595" t="s">
        <v>3633</v>
      </c>
      <c r="B595" s="153" t="s">
        <v>3634</v>
      </c>
      <c r="C595">
        <v>0.0</v>
      </c>
      <c r="D595">
        <v>0.0</v>
      </c>
      <c r="F595" t="s">
        <v>2942</v>
      </c>
      <c r="G595" t="s">
        <v>2943</v>
      </c>
      <c r="H595" t="s">
        <v>2944</v>
      </c>
      <c r="I595" t="s">
        <v>3526</v>
      </c>
    </row>
    <row r="596" customHeight="1" ht="14.0">
      <c r="A596" t="s">
        <v>3635</v>
      </c>
      <c r="B596" s="153" t="s">
        <v>3636</v>
      </c>
      <c r="C596">
        <v>0.0</v>
      </c>
      <c r="D596">
        <v>0.0</v>
      </c>
      <c r="F596" t="s">
        <v>2942</v>
      </c>
      <c r="G596" t="s">
        <v>2943</v>
      </c>
      <c r="H596" t="s">
        <v>2944</v>
      </c>
      <c r="I596" t="s">
        <v>3526</v>
      </c>
    </row>
    <row r="597" customHeight="1" ht="14.0">
      <c r="A597" t="s">
        <v>3637</v>
      </c>
      <c r="B597" s="153" t="s">
        <v>3638</v>
      </c>
      <c r="C597">
        <v>0.0</v>
      </c>
      <c r="D597">
        <v>0.0</v>
      </c>
      <c r="F597" t="s">
        <v>2942</v>
      </c>
      <c r="G597" t="s">
        <v>2943</v>
      </c>
      <c r="H597" t="s">
        <v>2944</v>
      </c>
      <c r="I597" t="s">
        <v>3526</v>
      </c>
    </row>
    <row r="598" customHeight="1" ht="14.0">
      <c r="A598" t="s">
        <v>3639</v>
      </c>
      <c r="B598" s="153" t="s">
        <v>3640</v>
      </c>
      <c r="C598">
        <v>0.0</v>
      </c>
      <c r="D598">
        <v>0.0</v>
      </c>
      <c r="F598" t="s">
        <v>2942</v>
      </c>
      <c r="G598" t="s">
        <v>2943</v>
      </c>
      <c r="H598" t="s">
        <v>2944</v>
      </c>
      <c r="I598" t="s">
        <v>3526</v>
      </c>
    </row>
    <row r="599" customHeight="1" ht="14.0">
      <c r="A599" t="s">
        <v>3641</v>
      </c>
      <c r="B599" s="153" t="s">
        <v>3642</v>
      </c>
      <c r="C599">
        <v>0.0</v>
      </c>
      <c r="D599">
        <v>0.0</v>
      </c>
      <c r="F599" t="s">
        <v>2942</v>
      </c>
      <c r="G599" t="s">
        <v>2943</v>
      </c>
      <c r="H599" t="s">
        <v>2944</v>
      </c>
      <c r="I599" t="s">
        <v>3526</v>
      </c>
    </row>
    <row r="600" customHeight="1" ht="14.0">
      <c r="A600" t="s">
        <v>3643</v>
      </c>
      <c r="B600" s="153" t="s">
        <v>3644</v>
      </c>
      <c r="C600">
        <v>0.0</v>
      </c>
      <c r="D600">
        <v>0.0</v>
      </c>
      <c r="F600" t="s">
        <v>2942</v>
      </c>
      <c r="G600" t="s">
        <v>2943</v>
      </c>
      <c r="H600" t="s">
        <v>2944</v>
      </c>
      <c r="I600" t="s">
        <v>3526</v>
      </c>
    </row>
    <row r="601" customHeight="1" ht="14.0">
      <c r="A601" t="s">
        <v>3645</v>
      </c>
      <c r="B601" s="153" t="s">
        <v>3646</v>
      </c>
      <c r="C601">
        <v>0.0</v>
      </c>
      <c r="D601">
        <v>0.0</v>
      </c>
      <c r="F601" t="s">
        <v>2942</v>
      </c>
      <c r="G601" t="s">
        <v>2943</v>
      </c>
      <c r="H601" t="s">
        <v>2944</v>
      </c>
      <c r="I601" t="s">
        <v>3526</v>
      </c>
    </row>
    <row r="602" customHeight="1" ht="14.0">
      <c r="A602" t="s">
        <v>3647</v>
      </c>
      <c r="B602" s="153" t="s">
        <v>3648</v>
      </c>
      <c r="C602">
        <v>0.0</v>
      </c>
      <c r="D602">
        <v>0.0</v>
      </c>
      <c r="F602" t="s">
        <v>2942</v>
      </c>
      <c r="G602" t="s">
        <v>2943</v>
      </c>
      <c r="H602" t="s">
        <v>2944</v>
      </c>
      <c r="I602" t="s">
        <v>3526</v>
      </c>
    </row>
    <row r="603" customHeight="1" ht="14.0">
      <c r="A603" t="s">
        <v>3649</v>
      </c>
      <c r="B603" s="153" t="s">
        <v>3650</v>
      </c>
      <c r="C603">
        <v>0.0</v>
      </c>
      <c r="D603">
        <v>0.0</v>
      </c>
      <c r="F603" t="s">
        <v>2942</v>
      </c>
      <c r="G603" t="s">
        <v>2943</v>
      </c>
      <c r="H603" t="s">
        <v>2944</v>
      </c>
      <c r="I603" t="s">
        <v>3526</v>
      </c>
    </row>
    <row r="604" customHeight="1" ht="14.0">
      <c r="A604" t="s">
        <v>3651</v>
      </c>
      <c r="B604" s="153" t="s">
        <v>3652</v>
      </c>
      <c r="C604">
        <v>0.0</v>
      </c>
      <c r="D604">
        <v>0.0</v>
      </c>
      <c r="F604" t="s">
        <v>2942</v>
      </c>
      <c r="G604" t="s">
        <v>2943</v>
      </c>
      <c r="H604" t="s">
        <v>2944</v>
      </c>
      <c r="I604" t="s">
        <v>3526</v>
      </c>
    </row>
    <row r="605" customHeight="1" ht="14.0">
      <c r="A605" t="s">
        <v>3653</v>
      </c>
      <c r="B605" s="153" t="s">
        <v>3654</v>
      </c>
      <c r="C605">
        <v>0.0</v>
      </c>
      <c r="D605">
        <v>0.0</v>
      </c>
      <c r="F605" t="s">
        <v>2942</v>
      </c>
      <c r="G605" t="s">
        <v>2943</v>
      </c>
      <c r="H605" t="s">
        <v>2944</v>
      </c>
      <c r="I605" t="s">
        <v>3526</v>
      </c>
    </row>
    <row r="606" customHeight="1" ht="14.0">
      <c r="A606" t="s">
        <v>3655</v>
      </c>
      <c r="B606" s="153" t="s">
        <v>3656</v>
      </c>
      <c r="C606">
        <v>0.0</v>
      </c>
      <c r="D606">
        <v>0.0</v>
      </c>
      <c r="F606" t="s">
        <v>2942</v>
      </c>
      <c r="G606" t="s">
        <v>2943</v>
      </c>
      <c r="H606" t="s">
        <v>2944</v>
      </c>
      <c r="I606" t="s">
        <v>3526</v>
      </c>
    </row>
    <row r="607" customHeight="1" ht="14.0">
      <c r="A607" t="s">
        <v>3657</v>
      </c>
      <c r="B607" s="153" t="s">
        <v>3658</v>
      </c>
      <c r="C607">
        <v>0.0</v>
      </c>
      <c r="D607">
        <v>0.0</v>
      </c>
      <c r="F607" t="s">
        <v>2942</v>
      </c>
      <c r="G607" t="s">
        <v>2943</v>
      </c>
      <c r="H607" t="s">
        <v>2944</v>
      </c>
      <c r="I607" t="s">
        <v>3526</v>
      </c>
    </row>
    <row r="608" customHeight="1" ht="14.0">
      <c r="A608" t="s">
        <v>3659</v>
      </c>
      <c r="B608" s="153" t="s">
        <v>3660</v>
      </c>
      <c r="C608">
        <v>0.0</v>
      </c>
      <c r="D608">
        <v>0.0</v>
      </c>
      <c r="F608" t="s">
        <v>2942</v>
      </c>
      <c r="G608" t="s">
        <v>2943</v>
      </c>
      <c r="H608" t="s">
        <v>2944</v>
      </c>
      <c r="I608" t="s">
        <v>3526</v>
      </c>
    </row>
    <row r="609" customHeight="1" ht="14.0">
      <c r="A609" t="s">
        <v>3661</v>
      </c>
      <c r="B609" s="153" t="s">
        <v>3662</v>
      </c>
      <c r="C609">
        <v>0.0</v>
      </c>
      <c r="D609">
        <v>0.0</v>
      </c>
      <c r="F609" t="s">
        <v>2942</v>
      </c>
      <c r="G609" t="s">
        <v>2943</v>
      </c>
      <c r="H609" t="s">
        <v>2944</v>
      </c>
      <c r="I609" t="s">
        <v>3526</v>
      </c>
    </row>
    <row r="610" customHeight="1" ht="14.0">
      <c r="A610" t="s">
        <v>3663</v>
      </c>
      <c r="B610" s="153" t="s">
        <v>3664</v>
      </c>
      <c r="C610">
        <v>0.0</v>
      </c>
      <c r="D610">
        <v>0.0</v>
      </c>
      <c r="F610" t="s">
        <v>2942</v>
      </c>
      <c r="G610" t="s">
        <v>2943</v>
      </c>
      <c r="H610" t="s">
        <v>2944</v>
      </c>
      <c r="I610" t="s">
        <v>3526</v>
      </c>
    </row>
    <row r="611" customHeight="1" ht="14.0">
      <c r="A611" t="s">
        <v>3665</v>
      </c>
      <c r="B611" s="153" t="s">
        <v>3666</v>
      </c>
      <c r="C611">
        <v>0.0</v>
      </c>
      <c r="D611">
        <v>0.0</v>
      </c>
      <c r="F611" t="s">
        <v>2942</v>
      </c>
      <c r="G611" t="s">
        <v>2943</v>
      </c>
      <c r="H611" t="s">
        <v>2944</v>
      </c>
      <c r="I611" t="s">
        <v>3526</v>
      </c>
    </row>
    <row r="612" customHeight="1" ht="14.0">
      <c r="A612" t="s">
        <v>3667</v>
      </c>
      <c r="B612" s="153" t="s">
        <v>3668</v>
      </c>
      <c r="C612">
        <v>0.0</v>
      </c>
      <c r="D612">
        <v>0.0</v>
      </c>
      <c r="F612" t="s">
        <v>2942</v>
      </c>
      <c r="G612" t="s">
        <v>2943</v>
      </c>
      <c r="H612" t="s">
        <v>2944</v>
      </c>
      <c r="I612" t="s">
        <v>3526</v>
      </c>
    </row>
    <row r="613" customHeight="1" ht="14.0">
      <c r="A613" t="s">
        <v>3669</v>
      </c>
      <c r="B613" s="153" t="s">
        <v>3670</v>
      </c>
      <c r="C613">
        <v>0.0</v>
      </c>
      <c r="D613">
        <v>0.0</v>
      </c>
      <c r="F613" t="s">
        <v>2942</v>
      </c>
      <c r="G613" t="s">
        <v>2943</v>
      </c>
      <c r="H613" t="s">
        <v>2944</v>
      </c>
    </row>
    <row r="614" customHeight="1" ht="14.0">
      <c r="A614" t="s">
        <v>3671</v>
      </c>
      <c r="B614" s="153" t="s">
        <v>3672</v>
      </c>
      <c r="C614">
        <v>93.0</v>
      </c>
      <c r="D614">
        <v>11261.08</v>
      </c>
      <c r="E614">
        <v>121.0869</v>
      </c>
      <c r="F614" t="s">
        <v>2942</v>
      </c>
      <c r="G614" t="s">
        <v>2962</v>
      </c>
      <c r="H614" t="s">
        <v>2984</v>
      </c>
      <c r="I614" t="s">
        <v>197</v>
      </c>
    </row>
    <row r="615" customHeight="1" ht="14.0">
      <c r="A615" t="s">
        <v>1171</v>
      </c>
      <c r="B615" s="153" t="s">
        <v>1172</v>
      </c>
      <c r="C615">
        <v>0.0</v>
      </c>
      <c r="D615">
        <v>0.0</v>
      </c>
      <c r="F615" t="s">
        <v>2942</v>
      </c>
      <c r="G615" t="s">
        <v>2943</v>
      </c>
      <c r="H615" t="s">
        <v>2944</v>
      </c>
      <c r="I615" t="s">
        <v>197</v>
      </c>
    </row>
    <row r="616" customHeight="1" ht="14.0">
      <c r="A616" t="s">
        <v>3673</v>
      </c>
      <c r="B616" s="153" t="s">
        <v>3674</v>
      </c>
      <c r="C616">
        <v>0.0</v>
      </c>
      <c r="D616">
        <v>0.0</v>
      </c>
      <c r="F616" t="s">
        <v>2942</v>
      </c>
      <c r="G616" t="s">
        <v>2943</v>
      </c>
      <c r="H616" t="s">
        <v>2944</v>
      </c>
      <c r="I616" t="s">
        <v>3024</v>
      </c>
    </row>
    <row r="617" customHeight="1" ht="14.0">
      <c r="A617" t="s">
        <v>3675</v>
      </c>
      <c r="B617" s="153" t="s">
        <v>3676</v>
      </c>
      <c r="C617">
        <v>0.0</v>
      </c>
      <c r="D617">
        <v>0.0</v>
      </c>
      <c r="F617" t="s">
        <v>2942</v>
      </c>
      <c r="G617" t="s">
        <v>2943</v>
      </c>
      <c r="H617" t="s">
        <v>2944</v>
      </c>
      <c r="I617" t="s">
        <v>3024</v>
      </c>
    </row>
    <row r="618" customHeight="1" ht="14.0">
      <c r="A618" t="s">
        <v>3677</v>
      </c>
      <c r="B618" s="153" t="s">
        <v>3678</v>
      </c>
      <c r="C618">
        <v>0.0</v>
      </c>
      <c r="D618">
        <v>0.0</v>
      </c>
      <c r="F618" t="s">
        <v>2942</v>
      </c>
      <c r="G618" t="s">
        <v>2943</v>
      </c>
      <c r="H618" t="s">
        <v>2944</v>
      </c>
      <c r="I618" t="s">
        <v>3024</v>
      </c>
    </row>
    <row r="619" customHeight="1" ht="14.0">
      <c r="A619" t="s">
        <v>3679</v>
      </c>
      <c r="B619" s="153">
        <v>35306.0</v>
      </c>
      <c r="C619">
        <v>0.0</v>
      </c>
      <c r="D619">
        <v>0.0</v>
      </c>
      <c r="F619" t="s">
        <v>2942</v>
      </c>
      <c r="G619" t="s">
        <v>2943</v>
      </c>
      <c r="H619" t="s">
        <v>2944</v>
      </c>
      <c r="I619" t="s">
        <v>3680</v>
      </c>
    </row>
    <row r="620" customHeight="1" ht="14.0">
      <c r="A620" t="s">
        <v>3681</v>
      </c>
      <c r="B620" s="153">
        <v>35301.0</v>
      </c>
      <c r="C620">
        <v>0.0</v>
      </c>
      <c r="D620">
        <v>0.0</v>
      </c>
      <c r="F620" t="s">
        <v>2942</v>
      </c>
      <c r="G620" t="s">
        <v>2943</v>
      </c>
      <c r="H620" t="s">
        <v>2944</v>
      </c>
      <c r="I620" t="s">
        <v>3680</v>
      </c>
    </row>
    <row r="621" customHeight="1" ht="14.0">
      <c r="A621" t="s">
        <v>3682</v>
      </c>
      <c r="B621" s="153">
        <v>35305.0</v>
      </c>
      <c r="C621">
        <v>0.0</v>
      </c>
      <c r="D621">
        <v>0.0</v>
      </c>
      <c r="F621" t="s">
        <v>2942</v>
      </c>
      <c r="G621" t="s">
        <v>2943</v>
      </c>
      <c r="H621" t="s">
        <v>2944</v>
      </c>
      <c r="I621" t="s">
        <v>3680</v>
      </c>
    </row>
    <row r="622" customHeight="1" ht="14.0">
      <c r="A622" t="s">
        <v>3683</v>
      </c>
      <c r="B622" s="153">
        <v>35304.0</v>
      </c>
      <c r="C622">
        <v>0.0</v>
      </c>
      <c r="D622">
        <v>0.0</v>
      </c>
      <c r="F622" t="s">
        <v>2942</v>
      </c>
      <c r="G622" t="s">
        <v>2943</v>
      </c>
      <c r="H622" t="s">
        <v>2944</v>
      </c>
      <c r="I622" t="s">
        <v>3680</v>
      </c>
    </row>
    <row r="623" customHeight="1" ht="14.0">
      <c r="A623" t="s">
        <v>3684</v>
      </c>
      <c r="B623" s="153">
        <v>35303.0</v>
      </c>
      <c r="C623">
        <v>0.0</v>
      </c>
      <c r="D623">
        <v>0.0</v>
      </c>
      <c r="F623" t="s">
        <v>2942</v>
      </c>
      <c r="G623" t="s">
        <v>2943</v>
      </c>
      <c r="H623" t="s">
        <v>2944</v>
      </c>
      <c r="I623" t="s">
        <v>3680</v>
      </c>
    </row>
    <row r="624" customHeight="1" ht="14.0">
      <c r="A624" t="s">
        <v>1173</v>
      </c>
      <c r="B624" s="153" t="s">
        <v>1174</v>
      </c>
      <c r="C624">
        <v>0.0</v>
      </c>
      <c r="D624">
        <v>0.0</v>
      </c>
      <c r="F624" t="s">
        <v>2942</v>
      </c>
      <c r="G624" t="s">
        <v>2943</v>
      </c>
      <c r="H624" t="s">
        <v>2963</v>
      </c>
      <c r="I624" t="s">
        <v>344</v>
      </c>
    </row>
    <row r="625" customHeight="1" ht="14.0">
      <c r="A625" t="s">
        <v>1175</v>
      </c>
      <c r="B625" s="153" t="s">
        <v>1176</v>
      </c>
      <c r="C625">
        <v>317.0</v>
      </c>
      <c r="D625">
        <v>610.07</v>
      </c>
      <c r="E625">
        <v>1.9245</v>
      </c>
      <c r="F625" t="s">
        <v>2942</v>
      </c>
      <c r="G625" t="s">
        <v>2962</v>
      </c>
      <c r="H625" t="s">
        <v>2963</v>
      </c>
      <c r="I625" t="s">
        <v>3685</v>
      </c>
    </row>
    <row r="626" customHeight="1" ht="14.0">
      <c r="A626" t="s">
        <v>3686</v>
      </c>
      <c r="B626" s="153" t="s">
        <v>1187</v>
      </c>
      <c r="C626">
        <v>603.0</v>
      </c>
      <c r="D626">
        <v>1358.36</v>
      </c>
      <c r="E626">
        <v>2.2527</v>
      </c>
      <c r="F626" t="s">
        <v>2942</v>
      </c>
      <c r="G626" t="s">
        <v>2962</v>
      </c>
      <c r="H626" t="s">
        <v>2963</v>
      </c>
      <c r="I626" t="s">
        <v>3687</v>
      </c>
    </row>
    <row r="627" customHeight="1" ht="14.0">
      <c r="A627" t="s">
        <v>1177</v>
      </c>
      <c r="B627" s="153" t="s">
        <v>3688</v>
      </c>
      <c r="C627">
        <v>116.0</v>
      </c>
      <c r="D627">
        <v>261.32</v>
      </c>
      <c r="E627">
        <v>2.2528</v>
      </c>
      <c r="F627" t="s">
        <v>2942</v>
      </c>
      <c r="G627" t="s">
        <v>2962</v>
      </c>
      <c r="H627" t="s">
        <v>2963</v>
      </c>
      <c r="I627" t="s">
        <v>207</v>
      </c>
    </row>
    <row r="628" customHeight="1" ht="14.0">
      <c r="A628" t="s">
        <v>1179</v>
      </c>
      <c r="B628" s="153" t="s">
        <v>1180</v>
      </c>
      <c r="C628">
        <v>0.0</v>
      </c>
      <c r="D628">
        <v>0.0</v>
      </c>
      <c r="F628" t="s">
        <v>2942</v>
      </c>
      <c r="G628" t="s">
        <v>2943</v>
      </c>
      <c r="H628" t="s">
        <v>2963</v>
      </c>
      <c r="I628" t="s">
        <v>502</v>
      </c>
    </row>
    <row r="629" customHeight="1" ht="14.0">
      <c r="A629" t="s">
        <v>1181</v>
      </c>
      <c r="B629" s="153" t="s">
        <v>1182</v>
      </c>
      <c r="C629">
        <v>0.0</v>
      </c>
      <c r="D629">
        <v>0.0</v>
      </c>
      <c r="F629" t="s">
        <v>2942</v>
      </c>
      <c r="G629" t="s">
        <v>2943</v>
      </c>
      <c r="H629" t="s">
        <v>2963</v>
      </c>
      <c r="I629" t="s">
        <v>3689</v>
      </c>
    </row>
    <row r="630" customHeight="1" ht="14.0">
      <c r="A630" t="s">
        <v>1183</v>
      </c>
      <c r="B630" s="153" t="s">
        <v>1184</v>
      </c>
      <c r="C630">
        <v>176.0</v>
      </c>
      <c r="D630">
        <v>674.92</v>
      </c>
      <c r="E630">
        <v>3.8348</v>
      </c>
      <c r="F630" t="s">
        <v>2942</v>
      </c>
      <c r="G630" t="s">
        <v>2962</v>
      </c>
      <c r="H630" t="s">
        <v>2963</v>
      </c>
      <c r="I630" t="s">
        <v>3690</v>
      </c>
    </row>
    <row r="631" customHeight="1" ht="14.0">
      <c r="A631" t="s">
        <v>1185</v>
      </c>
      <c r="B631" s="153" t="s">
        <v>1178</v>
      </c>
      <c r="C631">
        <v>169.0</v>
      </c>
      <c r="D631">
        <v>331.63</v>
      </c>
      <c r="E631">
        <v>1.9623</v>
      </c>
      <c r="F631" t="s">
        <v>2942</v>
      </c>
      <c r="G631" t="s">
        <v>2962</v>
      </c>
      <c r="H631" t="s">
        <v>2963</v>
      </c>
      <c r="I631" t="s">
        <v>622</v>
      </c>
    </row>
    <row r="632" customHeight="1" ht="14.0">
      <c r="A632" t="s">
        <v>1188</v>
      </c>
      <c r="B632" s="153" t="s">
        <v>1189</v>
      </c>
      <c r="C632">
        <v>455.0</v>
      </c>
      <c r="D632">
        <v>1130.52</v>
      </c>
      <c r="E632">
        <v>2.4847</v>
      </c>
      <c r="F632" t="s">
        <v>2942</v>
      </c>
      <c r="G632" t="s">
        <v>2962</v>
      </c>
      <c r="H632" t="s">
        <v>2963</v>
      </c>
      <c r="I632" t="s">
        <v>3691</v>
      </c>
    </row>
    <row r="633" customHeight="1" ht="14.0">
      <c r="A633" t="s">
        <v>345</v>
      </c>
      <c r="B633" s="153" t="s">
        <v>346</v>
      </c>
      <c r="C633">
        <v>224.0</v>
      </c>
      <c r="D633">
        <v>598.12</v>
      </c>
      <c r="E633">
        <v>2.6702</v>
      </c>
      <c r="F633" t="s">
        <v>2942</v>
      </c>
      <c r="G633" t="s">
        <v>2962</v>
      </c>
      <c r="H633" t="s">
        <v>2963</v>
      </c>
      <c r="I633" t="s">
        <v>344</v>
      </c>
    </row>
    <row r="634" customHeight="1" ht="14.0">
      <c r="A634" t="s">
        <v>503</v>
      </c>
      <c r="B634" s="153" t="s">
        <v>504</v>
      </c>
      <c r="C634">
        <v>280.0</v>
      </c>
      <c r="D634">
        <v>1582.72</v>
      </c>
      <c r="E634">
        <v>5.6526</v>
      </c>
      <c r="F634" t="s">
        <v>2942</v>
      </c>
      <c r="G634" t="s">
        <v>2962</v>
      </c>
      <c r="H634" t="s">
        <v>30</v>
      </c>
      <c r="I634" t="s">
        <v>502</v>
      </c>
    </row>
    <row r="635" customHeight="1" ht="14.0">
      <c r="A635" t="s">
        <v>1190</v>
      </c>
      <c r="B635" s="153" t="s">
        <v>1191</v>
      </c>
      <c r="C635">
        <v>390.0</v>
      </c>
      <c r="D635">
        <v>1182.86</v>
      </c>
      <c r="E635">
        <v>3.033</v>
      </c>
      <c r="F635" t="s">
        <v>2942</v>
      </c>
      <c r="G635" t="s">
        <v>2962</v>
      </c>
      <c r="H635" t="s">
        <v>2963</v>
      </c>
      <c r="I635" t="s">
        <v>3691</v>
      </c>
    </row>
    <row r="636" customHeight="1" ht="14.0">
      <c r="A636" t="s">
        <v>1192</v>
      </c>
      <c r="B636" s="153" t="s">
        <v>1193</v>
      </c>
      <c r="C636">
        <v>137.0</v>
      </c>
      <c r="D636">
        <v>389.83</v>
      </c>
      <c r="E636">
        <v>2.8455</v>
      </c>
      <c r="F636" t="s">
        <v>2942</v>
      </c>
      <c r="G636" t="s">
        <v>2962</v>
      </c>
      <c r="H636" t="s">
        <v>2963</v>
      </c>
      <c r="I636" t="s">
        <v>3691</v>
      </c>
    </row>
    <row r="637" customHeight="1" ht="14.0">
      <c r="A637" t="s">
        <v>347</v>
      </c>
      <c r="B637" s="153" t="s">
        <v>348</v>
      </c>
      <c r="C637">
        <v>74.0</v>
      </c>
      <c r="D637">
        <v>197.05</v>
      </c>
      <c r="E637">
        <v>2.6628</v>
      </c>
      <c r="F637" t="s">
        <v>2942</v>
      </c>
      <c r="G637" t="s">
        <v>2962</v>
      </c>
      <c r="H637" t="s">
        <v>2963</v>
      </c>
      <c r="I637" t="s">
        <v>344</v>
      </c>
    </row>
    <row r="638" customHeight="1" ht="14.0">
      <c r="A638" t="s">
        <v>505</v>
      </c>
      <c r="B638" s="153" t="s">
        <v>506</v>
      </c>
      <c r="C638">
        <v>63.0</v>
      </c>
      <c r="D638">
        <v>356.15</v>
      </c>
      <c r="E638">
        <v>5.6532</v>
      </c>
      <c r="F638" t="s">
        <v>2942</v>
      </c>
      <c r="G638" t="s">
        <v>2962</v>
      </c>
      <c r="H638" t="s">
        <v>30</v>
      </c>
      <c r="I638" t="s">
        <v>502</v>
      </c>
    </row>
    <row r="639" customHeight="1" ht="14.0">
      <c r="A639" t="s">
        <v>1194</v>
      </c>
      <c r="B639" s="153" t="s">
        <v>1195</v>
      </c>
      <c r="C639">
        <v>0.0</v>
      </c>
      <c r="D639">
        <v>0.0</v>
      </c>
      <c r="F639" t="s">
        <v>2942</v>
      </c>
      <c r="G639" t="s">
        <v>2962</v>
      </c>
      <c r="H639" t="s">
        <v>2963</v>
      </c>
      <c r="I639" t="s">
        <v>207</v>
      </c>
    </row>
    <row r="640" customHeight="1" ht="14.0">
      <c r="A640" t="s">
        <v>1196</v>
      </c>
      <c r="B640" s="153" t="s">
        <v>1197</v>
      </c>
      <c r="C640">
        <v>0.0</v>
      </c>
      <c r="D640">
        <v>0.0</v>
      </c>
      <c r="F640" t="s">
        <v>2942</v>
      </c>
      <c r="G640" t="s">
        <v>2943</v>
      </c>
      <c r="H640" t="s">
        <v>2963</v>
      </c>
      <c r="I640" t="s">
        <v>344</v>
      </c>
    </row>
    <row r="641" customHeight="1" ht="14.0">
      <c r="A641" t="s">
        <v>1198</v>
      </c>
      <c r="B641" s="153" t="s">
        <v>1199</v>
      </c>
      <c r="C641">
        <v>148.0</v>
      </c>
      <c r="D641">
        <v>284.73</v>
      </c>
      <c r="E641">
        <v>1.9239</v>
      </c>
      <c r="F641" t="s">
        <v>2942</v>
      </c>
      <c r="G641" t="s">
        <v>2962</v>
      </c>
      <c r="H641" t="s">
        <v>2963</v>
      </c>
      <c r="I641" t="s">
        <v>3685</v>
      </c>
    </row>
    <row r="642" customHeight="1" ht="14.0">
      <c r="A642" t="s">
        <v>3692</v>
      </c>
      <c r="B642" s="153" t="s">
        <v>1211</v>
      </c>
      <c r="C642">
        <v>423.0</v>
      </c>
      <c r="D642">
        <v>952.91</v>
      </c>
      <c r="E642">
        <v>2.2527</v>
      </c>
      <c r="F642" t="s">
        <v>2942</v>
      </c>
      <c r="G642" t="s">
        <v>2962</v>
      </c>
      <c r="H642" t="s">
        <v>2963</v>
      </c>
      <c r="I642" t="s">
        <v>3687</v>
      </c>
    </row>
    <row r="643" customHeight="1" ht="14.0">
      <c r="A643" t="s">
        <v>1200</v>
      </c>
      <c r="B643" s="153" t="s">
        <v>1201</v>
      </c>
      <c r="C643">
        <v>0.0</v>
      </c>
      <c r="D643">
        <v>0.0</v>
      </c>
      <c r="F643" t="s">
        <v>2942</v>
      </c>
      <c r="G643" t="s">
        <v>2943</v>
      </c>
      <c r="H643" t="s">
        <v>2963</v>
      </c>
      <c r="I643" t="s">
        <v>207</v>
      </c>
    </row>
    <row r="644" customHeight="1" ht="14.0">
      <c r="A644" t="s">
        <v>1202</v>
      </c>
      <c r="B644" s="153" t="s">
        <v>1203</v>
      </c>
      <c r="C644">
        <v>0.0</v>
      </c>
      <c r="D644">
        <v>0.0</v>
      </c>
      <c r="F644" t="s">
        <v>2942</v>
      </c>
      <c r="G644" t="s">
        <v>2943</v>
      </c>
      <c r="H644" t="s">
        <v>2963</v>
      </c>
      <c r="I644" t="s">
        <v>502</v>
      </c>
    </row>
    <row r="645" customHeight="1" ht="14.0">
      <c r="A645" t="s">
        <v>1204</v>
      </c>
      <c r="B645" s="153" t="s">
        <v>1205</v>
      </c>
      <c r="C645">
        <v>0.0</v>
      </c>
      <c r="D645">
        <v>0.0</v>
      </c>
      <c r="F645" t="s">
        <v>2942</v>
      </c>
      <c r="G645" t="s">
        <v>2943</v>
      </c>
      <c r="H645" t="s">
        <v>2963</v>
      </c>
      <c r="I645" t="s">
        <v>3689</v>
      </c>
    </row>
    <row r="646" customHeight="1" ht="14.0">
      <c r="A646" t="s">
        <v>1206</v>
      </c>
      <c r="B646" s="153" t="s">
        <v>1207</v>
      </c>
      <c r="C646">
        <v>15.0</v>
      </c>
      <c r="D646">
        <v>56.82</v>
      </c>
      <c r="E646">
        <v>3.788</v>
      </c>
      <c r="F646" t="s">
        <v>2942</v>
      </c>
      <c r="G646" t="s">
        <v>2962</v>
      </c>
      <c r="H646" t="s">
        <v>2963</v>
      </c>
      <c r="I646" t="s">
        <v>3690</v>
      </c>
    </row>
    <row r="647" customHeight="1" ht="14.0">
      <c r="A647" t="s">
        <v>1208</v>
      </c>
      <c r="B647" s="153" t="s">
        <v>1209</v>
      </c>
      <c r="C647">
        <v>0.0</v>
      </c>
      <c r="D647">
        <v>0.0</v>
      </c>
      <c r="F647" t="s">
        <v>2942</v>
      </c>
      <c r="G647" t="s">
        <v>2943</v>
      </c>
      <c r="H647" t="s">
        <v>2963</v>
      </c>
      <c r="I647" t="s">
        <v>622</v>
      </c>
    </row>
    <row r="648" customHeight="1" ht="14.0">
      <c r="A648" t="s">
        <v>1212</v>
      </c>
      <c r="B648" s="153" t="s">
        <v>1213</v>
      </c>
      <c r="C648">
        <v>0.0</v>
      </c>
      <c r="D648">
        <v>0.0</v>
      </c>
      <c r="F648" t="s">
        <v>2942</v>
      </c>
      <c r="G648" t="s">
        <v>2943</v>
      </c>
      <c r="H648" t="s">
        <v>2963</v>
      </c>
      <c r="I648" t="s">
        <v>344</v>
      </c>
    </row>
    <row r="649" customHeight="1" ht="14.0">
      <c r="A649" t="s">
        <v>1214</v>
      </c>
      <c r="B649" s="153" t="s">
        <v>1215</v>
      </c>
      <c r="C649">
        <v>129.0</v>
      </c>
      <c r="D649">
        <v>248.17</v>
      </c>
      <c r="E649">
        <v>1.9238</v>
      </c>
      <c r="F649" t="s">
        <v>2942</v>
      </c>
      <c r="G649" t="s">
        <v>2962</v>
      </c>
      <c r="H649" t="s">
        <v>2963</v>
      </c>
      <c r="I649" t="s">
        <v>3685</v>
      </c>
    </row>
    <row r="650" customHeight="1" ht="14.0">
      <c r="A650" t="s">
        <v>1216</v>
      </c>
      <c r="B650" s="153" t="s">
        <v>1217</v>
      </c>
      <c r="C650">
        <v>0.0</v>
      </c>
      <c r="D650">
        <v>0.0</v>
      </c>
      <c r="F650" t="s">
        <v>2942</v>
      </c>
      <c r="G650" t="s">
        <v>2943</v>
      </c>
      <c r="H650" t="s">
        <v>2963</v>
      </c>
      <c r="I650" t="s">
        <v>502</v>
      </c>
    </row>
    <row r="651" customHeight="1" ht="14.0">
      <c r="A651" t="s">
        <v>1218</v>
      </c>
      <c r="B651" s="153" t="s">
        <v>1219</v>
      </c>
      <c r="C651">
        <v>0.0</v>
      </c>
      <c r="D651">
        <v>0.0</v>
      </c>
      <c r="F651" t="s">
        <v>2942</v>
      </c>
      <c r="G651" t="s">
        <v>2943</v>
      </c>
      <c r="H651" t="s">
        <v>2963</v>
      </c>
      <c r="I651" t="s">
        <v>3689</v>
      </c>
    </row>
    <row r="652" customHeight="1" ht="14.0">
      <c r="A652" t="s">
        <v>1220</v>
      </c>
      <c r="B652" s="153" t="s">
        <v>1221</v>
      </c>
      <c r="C652">
        <v>0.0</v>
      </c>
      <c r="D652">
        <v>0.0</v>
      </c>
      <c r="F652" t="s">
        <v>2942</v>
      </c>
      <c r="G652" t="s">
        <v>2943</v>
      </c>
      <c r="H652" t="s">
        <v>2963</v>
      </c>
      <c r="I652" t="s">
        <v>3690</v>
      </c>
    </row>
    <row r="653" customHeight="1" ht="14.0">
      <c r="A653" t="s">
        <v>1223</v>
      </c>
      <c r="B653" s="153" t="s">
        <v>1224</v>
      </c>
      <c r="C653">
        <v>448.0</v>
      </c>
      <c r="D653">
        <v>1009.23</v>
      </c>
      <c r="E653">
        <v>2.2527</v>
      </c>
      <c r="F653" t="s">
        <v>2942</v>
      </c>
      <c r="G653" t="s">
        <v>2962</v>
      </c>
      <c r="H653" t="s">
        <v>2963</v>
      </c>
      <c r="I653" t="s">
        <v>3687</v>
      </c>
    </row>
    <row r="654" customHeight="1" ht="14.0">
      <c r="A654" t="s">
        <v>1225</v>
      </c>
      <c r="B654" s="153" t="s">
        <v>1226</v>
      </c>
      <c r="C654">
        <v>0.0</v>
      </c>
      <c r="D654">
        <v>0.0</v>
      </c>
      <c r="F654" t="s">
        <v>2942</v>
      </c>
      <c r="G654" t="s">
        <v>2943</v>
      </c>
      <c r="H654" t="s">
        <v>2963</v>
      </c>
      <c r="I654" t="s">
        <v>344</v>
      </c>
    </row>
    <row r="655" customHeight="1" ht="14.0">
      <c r="A655" t="s">
        <v>1227</v>
      </c>
      <c r="B655" s="153" t="s">
        <v>1228</v>
      </c>
      <c r="C655">
        <v>288.0</v>
      </c>
      <c r="D655">
        <v>554.24</v>
      </c>
      <c r="E655">
        <v>1.9244</v>
      </c>
      <c r="F655" t="s">
        <v>2942</v>
      </c>
      <c r="G655" t="s">
        <v>2962</v>
      </c>
      <c r="H655" t="s">
        <v>2963</v>
      </c>
      <c r="I655" t="s">
        <v>3685</v>
      </c>
    </row>
    <row r="656" customHeight="1" ht="14.0">
      <c r="A656" t="s">
        <v>1229</v>
      </c>
      <c r="B656" s="153" t="s">
        <v>1230</v>
      </c>
      <c r="C656">
        <v>188.0</v>
      </c>
      <c r="D656">
        <v>423.01</v>
      </c>
      <c r="E656">
        <v>2.2501</v>
      </c>
      <c r="F656" t="s">
        <v>2942</v>
      </c>
      <c r="G656" t="s">
        <v>2962</v>
      </c>
      <c r="H656" t="s">
        <v>2963</v>
      </c>
      <c r="I656" t="s">
        <v>207</v>
      </c>
    </row>
    <row r="657" customHeight="1" ht="14.0">
      <c r="A657" t="s">
        <v>1231</v>
      </c>
      <c r="B657" s="153" t="s">
        <v>1232</v>
      </c>
      <c r="C657">
        <v>0.0</v>
      </c>
      <c r="D657">
        <v>0.0</v>
      </c>
      <c r="F657" t="s">
        <v>2942</v>
      </c>
      <c r="G657" t="s">
        <v>2943</v>
      </c>
      <c r="H657" t="s">
        <v>2963</v>
      </c>
      <c r="I657" t="s">
        <v>502</v>
      </c>
    </row>
    <row r="658" customHeight="1" ht="14.0">
      <c r="A658" t="s">
        <v>1233</v>
      </c>
      <c r="B658" s="153" t="s">
        <v>1234</v>
      </c>
      <c r="C658">
        <v>0.0</v>
      </c>
      <c r="D658">
        <v>0.0</v>
      </c>
      <c r="F658" t="s">
        <v>2942</v>
      </c>
      <c r="G658" t="s">
        <v>2943</v>
      </c>
      <c r="H658" t="s">
        <v>2963</v>
      </c>
      <c r="I658" t="s">
        <v>3689</v>
      </c>
    </row>
    <row r="659" customHeight="1" ht="14.0">
      <c r="A659" t="s">
        <v>1235</v>
      </c>
      <c r="B659" s="153" t="s">
        <v>1236</v>
      </c>
      <c r="C659">
        <v>205.0</v>
      </c>
      <c r="D659">
        <v>786.32</v>
      </c>
      <c r="E659">
        <v>3.8357</v>
      </c>
      <c r="F659" t="s">
        <v>2942</v>
      </c>
      <c r="G659" t="s">
        <v>2962</v>
      </c>
      <c r="H659" t="s">
        <v>2963</v>
      </c>
      <c r="I659" t="s">
        <v>3690</v>
      </c>
    </row>
    <row r="660" customHeight="1" ht="14.0">
      <c r="A660" t="s">
        <v>1237</v>
      </c>
      <c r="B660" s="153" t="s">
        <v>1238</v>
      </c>
      <c r="C660">
        <v>138.0</v>
      </c>
      <c r="D660">
        <v>270.78</v>
      </c>
      <c r="E660">
        <v>1.9622</v>
      </c>
      <c r="F660" t="s">
        <v>2942</v>
      </c>
      <c r="G660" t="s">
        <v>2962</v>
      </c>
      <c r="H660" t="s">
        <v>2963</v>
      </c>
      <c r="I660" t="s">
        <v>622</v>
      </c>
    </row>
    <row r="661" customHeight="1" ht="14.0">
      <c r="A661" t="s">
        <v>1239</v>
      </c>
      <c r="B661" s="153" t="s">
        <v>1240</v>
      </c>
      <c r="C661">
        <v>540.0</v>
      </c>
      <c r="D661">
        <v>1216.45</v>
      </c>
      <c r="E661">
        <v>2.2527</v>
      </c>
      <c r="F661" t="s">
        <v>2942</v>
      </c>
      <c r="G661" t="s">
        <v>2962</v>
      </c>
      <c r="H661" t="s">
        <v>2963</v>
      </c>
      <c r="I661" t="s">
        <v>3687</v>
      </c>
    </row>
    <row r="662" customHeight="1" ht="14.0">
      <c r="A662" t="s">
        <v>1241</v>
      </c>
      <c r="B662" s="153" t="s">
        <v>1242</v>
      </c>
      <c r="C662">
        <v>292.0</v>
      </c>
      <c r="D662">
        <v>1794.56</v>
      </c>
      <c r="E662">
        <v>6.1458</v>
      </c>
      <c r="F662" t="s">
        <v>2942</v>
      </c>
      <c r="G662" t="s">
        <v>2962</v>
      </c>
      <c r="H662" t="s">
        <v>2963</v>
      </c>
      <c r="I662" t="s">
        <v>3691</v>
      </c>
    </row>
    <row r="663" customHeight="1" ht="14.0">
      <c r="A663" t="s">
        <v>1243</v>
      </c>
      <c r="B663" s="153" t="s">
        <v>1244</v>
      </c>
      <c r="C663">
        <v>0.0</v>
      </c>
      <c r="D663">
        <v>0.0</v>
      </c>
      <c r="F663" t="s">
        <v>2942</v>
      </c>
      <c r="G663" t="s">
        <v>2943</v>
      </c>
      <c r="H663" t="s">
        <v>2944</v>
      </c>
      <c r="I663" t="s">
        <v>3693</v>
      </c>
    </row>
    <row r="664" customHeight="1" ht="14.0">
      <c r="A664" t="s">
        <v>1245</v>
      </c>
      <c r="B664" s="153" t="s">
        <v>1246</v>
      </c>
      <c r="C664">
        <v>0.0</v>
      </c>
      <c r="D664">
        <v>0.0</v>
      </c>
      <c r="F664" t="s">
        <v>2942</v>
      </c>
      <c r="G664" t="s">
        <v>2943</v>
      </c>
      <c r="H664" t="s">
        <v>2944</v>
      </c>
      <c r="I664" t="s">
        <v>3693</v>
      </c>
    </row>
    <row r="665" customHeight="1" ht="14.0">
      <c r="A665" t="s">
        <v>370</v>
      </c>
      <c r="B665" s="153" t="s">
        <v>371</v>
      </c>
      <c r="C665">
        <v>330.0</v>
      </c>
      <c r="D665">
        <v>666.38</v>
      </c>
      <c r="E665">
        <v>2.0193</v>
      </c>
      <c r="F665" t="s">
        <v>2942</v>
      </c>
      <c r="G665" t="s">
        <v>2962</v>
      </c>
      <c r="H665" t="s">
        <v>2963</v>
      </c>
      <c r="I665" t="s">
        <v>369</v>
      </c>
    </row>
    <row r="666" customHeight="1" ht="14.0">
      <c r="A666" t="s">
        <v>372</v>
      </c>
      <c r="B666" s="153" t="s">
        <v>373</v>
      </c>
      <c r="C666">
        <v>23.0</v>
      </c>
      <c r="D666">
        <v>40.69</v>
      </c>
      <c r="E666">
        <v>1.7691</v>
      </c>
      <c r="F666" t="s">
        <v>2942</v>
      </c>
      <c r="G666" t="s">
        <v>2962</v>
      </c>
      <c r="H666" t="s">
        <v>2963</v>
      </c>
      <c r="I666" t="s">
        <v>369</v>
      </c>
    </row>
    <row r="667" customHeight="1" ht="14.0">
      <c r="A667" t="s">
        <v>1247</v>
      </c>
      <c r="B667" s="153" t="s">
        <v>1248</v>
      </c>
      <c r="C667">
        <v>0.0</v>
      </c>
      <c r="D667">
        <v>0.0</v>
      </c>
      <c r="F667" t="s">
        <v>2942</v>
      </c>
      <c r="G667" t="s">
        <v>2943</v>
      </c>
      <c r="H667" t="s">
        <v>2944</v>
      </c>
      <c r="I667" t="s">
        <v>63</v>
      </c>
    </row>
    <row r="668" customHeight="1" ht="14.0">
      <c r="A668" t="s">
        <v>1249</v>
      </c>
      <c r="B668" s="153" t="s">
        <v>1250</v>
      </c>
      <c r="C668">
        <v>0.0</v>
      </c>
      <c r="D668">
        <v>0.0</v>
      </c>
      <c r="F668" t="s">
        <v>2942</v>
      </c>
      <c r="G668" t="s">
        <v>2943</v>
      </c>
      <c r="H668" t="s">
        <v>2944</v>
      </c>
      <c r="I668" t="s">
        <v>3694</v>
      </c>
    </row>
    <row r="669" customHeight="1" ht="14.0">
      <c r="A669" t="s">
        <v>1251</v>
      </c>
      <c r="B669" s="153" t="s">
        <v>1252</v>
      </c>
      <c r="C669">
        <v>0.0</v>
      </c>
      <c r="D669">
        <v>0.0</v>
      </c>
      <c r="F669" t="s">
        <v>2942</v>
      </c>
      <c r="G669" t="s">
        <v>2943</v>
      </c>
      <c r="H669" t="s">
        <v>2944</v>
      </c>
      <c r="I669" t="s">
        <v>3695</v>
      </c>
    </row>
    <row r="670" customHeight="1" ht="14.0">
      <c r="A670" t="s">
        <v>3696</v>
      </c>
      <c r="B670" s="153" t="s">
        <v>1254</v>
      </c>
      <c r="C670">
        <v>0.0</v>
      </c>
      <c r="D670">
        <v>0.0</v>
      </c>
      <c r="F670" t="s">
        <v>2942</v>
      </c>
      <c r="G670" t="s">
        <v>2943</v>
      </c>
      <c r="H670" t="s">
        <v>2963</v>
      </c>
      <c r="I670" t="s">
        <v>3697</v>
      </c>
    </row>
    <row r="671" customHeight="1" ht="14.0">
      <c r="A671" t="s">
        <v>1255</v>
      </c>
      <c r="B671" s="153" t="s">
        <v>1256</v>
      </c>
      <c r="C671">
        <v>0.0</v>
      </c>
      <c r="D671">
        <v>0.0</v>
      </c>
      <c r="F671" t="s">
        <v>2942</v>
      </c>
      <c r="G671" t="s">
        <v>2943</v>
      </c>
      <c r="H671" t="s">
        <v>2944</v>
      </c>
      <c r="I671" t="s">
        <v>3697</v>
      </c>
    </row>
    <row r="672" customHeight="1" ht="14.0">
      <c r="A672" t="s">
        <v>200</v>
      </c>
      <c r="B672" s="153" t="s">
        <v>201</v>
      </c>
      <c r="C672">
        <v>18.0</v>
      </c>
      <c r="D672">
        <v>1489.27</v>
      </c>
      <c r="E672">
        <v>82.7372</v>
      </c>
      <c r="F672" t="s">
        <v>2942</v>
      </c>
      <c r="G672" t="s">
        <v>2962</v>
      </c>
      <c r="H672" t="s">
        <v>30</v>
      </c>
      <c r="I672" t="s">
        <v>197</v>
      </c>
    </row>
    <row r="673" customHeight="1" ht="14.0">
      <c r="A673" t="s">
        <v>1257</v>
      </c>
      <c r="B673" s="153" t="s">
        <v>1258</v>
      </c>
      <c r="C673">
        <v>0.0</v>
      </c>
      <c r="D673">
        <v>0.0</v>
      </c>
      <c r="F673" t="s">
        <v>2942</v>
      </c>
      <c r="G673" t="s">
        <v>2943</v>
      </c>
      <c r="H673" t="s">
        <v>2944</v>
      </c>
      <c r="I673" t="s">
        <v>3698</v>
      </c>
    </row>
    <row r="674" customHeight="1" ht="14.0">
      <c r="A674" t="s">
        <v>1259</v>
      </c>
      <c r="B674" s="153" t="s">
        <v>1260</v>
      </c>
      <c r="C674">
        <v>0.0</v>
      </c>
      <c r="D674">
        <v>0.0</v>
      </c>
      <c r="F674" t="s">
        <v>2942</v>
      </c>
      <c r="G674" t="s">
        <v>2943</v>
      </c>
      <c r="H674" t="s">
        <v>2944</v>
      </c>
      <c r="I674" t="s">
        <v>3698</v>
      </c>
    </row>
    <row r="675" customHeight="1" ht="14.0">
      <c r="A675" t="s">
        <v>1261</v>
      </c>
      <c r="B675" s="153" t="s">
        <v>1262</v>
      </c>
      <c r="C675">
        <v>0.0</v>
      </c>
      <c r="D675">
        <v>0.0</v>
      </c>
      <c r="F675" t="s">
        <v>2942</v>
      </c>
      <c r="G675" t="s">
        <v>2943</v>
      </c>
      <c r="H675" t="s">
        <v>2944</v>
      </c>
    </row>
    <row r="676" customHeight="1" ht="14.0">
      <c r="A676" t="s">
        <v>1263</v>
      </c>
      <c r="B676" s="153" t="s">
        <v>1264</v>
      </c>
      <c r="C676">
        <v>0.0</v>
      </c>
      <c r="D676">
        <v>0.0</v>
      </c>
      <c r="F676" t="s">
        <v>2942</v>
      </c>
      <c r="G676" t="s">
        <v>2943</v>
      </c>
      <c r="H676" t="s">
        <v>2944</v>
      </c>
      <c r="I676" t="s">
        <v>799</v>
      </c>
    </row>
    <row r="677" customHeight="1" ht="14.0">
      <c r="A677" t="s">
        <v>1265</v>
      </c>
      <c r="B677" s="153" t="s">
        <v>1266</v>
      </c>
      <c r="C677">
        <v>0.0</v>
      </c>
      <c r="D677">
        <v>0.0</v>
      </c>
      <c r="F677" t="s">
        <v>2942</v>
      </c>
      <c r="G677" t="s">
        <v>2943</v>
      </c>
      <c r="H677" t="s">
        <v>2944</v>
      </c>
      <c r="I677" t="s">
        <v>799</v>
      </c>
    </row>
    <row r="678" customHeight="1" ht="14.0">
      <c r="A678" t="s">
        <v>3699</v>
      </c>
      <c r="B678" s="153" t="s">
        <v>1268</v>
      </c>
      <c r="C678">
        <v>0.0</v>
      </c>
      <c r="D678">
        <v>0.0</v>
      </c>
      <c r="F678" t="s">
        <v>2942</v>
      </c>
      <c r="G678" t="s">
        <v>2943</v>
      </c>
      <c r="H678" t="s">
        <v>2944</v>
      </c>
      <c r="I678" t="s">
        <v>597</v>
      </c>
    </row>
    <row r="679" customHeight="1" ht="14.0">
      <c r="A679" t="s">
        <v>1269</v>
      </c>
      <c r="B679" s="153" t="s">
        <v>1270</v>
      </c>
      <c r="C679">
        <v>0.0</v>
      </c>
      <c r="D679">
        <v>0.0</v>
      </c>
      <c r="F679" t="s">
        <v>2942</v>
      </c>
      <c r="G679" t="s">
        <v>2943</v>
      </c>
      <c r="H679" t="s">
        <v>2963</v>
      </c>
      <c r="I679" t="s">
        <v>3700</v>
      </c>
    </row>
    <row r="680" customHeight="1" ht="14.0">
      <c r="A680" t="s">
        <v>1271</v>
      </c>
      <c r="B680" s="153" t="s">
        <v>1272</v>
      </c>
      <c r="C680">
        <v>0.0</v>
      </c>
      <c r="D680">
        <v>0.0</v>
      </c>
      <c r="F680" t="s">
        <v>2942</v>
      </c>
      <c r="G680" t="s">
        <v>2943</v>
      </c>
      <c r="H680" t="s">
        <v>2944</v>
      </c>
      <c r="I680" t="s">
        <v>3700</v>
      </c>
    </row>
    <row r="681" customHeight="1" ht="14.0">
      <c r="A681" t="s">
        <v>3701</v>
      </c>
      <c r="B681" s="153" t="s">
        <v>3702</v>
      </c>
      <c r="C681">
        <v>0.0</v>
      </c>
      <c r="D681">
        <v>0.0</v>
      </c>
      <c r="F681" t="s">
        <v>2942</v>
      </c>
      <c r="G681" t="s">
        <v>2943</v>
      </c>
      <c r="H681" t="s">
        <v>2944</v>
      </c>
      <c r="I681" t="s">
        <v>699</v>
      </c>
    </row>
    <row r="682" customHeight="1" ht="14.0">
      <c r="A682" t="s">
        <v>1273</v>
      </c>
      <c r="B682" s="153" t="s">
        <v>1274</v>
      </c>
      <c r="C682">
        <v>0.0</v>
      </c>
      <c r="D682">
        <v>0.0</v>
      </c>
      <c r="F682" t="s">
        <v>2942</v>
      </c>
      <c r="G682" t="s">
        <v>2943</v>
      </c>
      <c r="H682" t="s">
        <v>2944</v>
      </c>
      <c r="I682" t="s">
        <v>699</v>
      </c>
    </row>
    <row r="683" customHeight="1" ht="14.0">
      <c r="A683" t="s">
        <v>3703</v>
      </c>
      <c r="B683" s="153" t="s">
        <v>3704</v>
      </c>
      <c r="C683">
        <v>0.0</v>
      </c>
      <c r="D683">
        <v>0.0</v>
      </c>
      <c r="F683" t="s">
        <v>2942</v>
      </c>
      <c r="G683" t="s">
        <v>2943</v>
      </c>
      <c r="H683" t="s">
        <v>2944</v>
      </c>
      <c r="I683" t="s">
        <v>799</v>
      </c>
    </row>
    <row r="684" customHeight="1" ht="14.0">
      <c r="A684" t="s">
        <v>3705</v>
      </c>
      <c r="B684" s="153" t="s">
        <v>3706</v>
      </c>
      <c r="C684">
        <v>0.0</v>
      </c>
      <c r="D684">
        <v>0.0</v>
      </c>
      <c r="F684" t="s">
        <v>2942</v>
      </c>
      <c r="G684" t="s">
        <v>2943</v>
      </c>
      <c r="H684" t="s">
        <v>2944</v>
      </c>
      <c r="I684" t="s">
        <v>799</v>
      </c>
    </row>
    <row r="685" customHeight="1" ht="14.0">
      <c r="A685" t="s">
        <v>1275</v>
      </c>
      <c r="B685" s="153">
        <v>34801.0</v>
      </c>
      <c r="C685">
        <v>0.0</v>
      </c>
      <c r="D685">
        <v>0.0</v>
      </c>
      <c r="F685" t="s">
        <v>2942</v>
      </c>
      <c r="G685" t="s">
        <v>2943</v>
      </c>
      <c r="H685" t="s">
        <v>2944</v>
      </c>
      <c r="I685" t="s">
        <v>3707</v>
      </c>
    </row>
    <row r="686" customHeight="1" ht="14.0">
      <c r="A686" t="s">
        <v>1276</v>
      </c>
      <c r="B686" s="153">
        <v>34802.0</v>
      </c>
      <c r="C686">
        <v>0.0</v>
      </c>
      <c r="D686">
        <v>0.0</v>
      </c>
      <c r="F686" t="s">
        <v>2942</v>
      </c>
      <c r="G686" t="s">
        <v>2943</v>
      </c>
      <c r="H686" t="s">
        <v>2944</v>
      </c>
      <c r="I686" t="s">
        <v>3707</v>
      </c>
    </row>
    <row r="687" customHeight="1" ht="14.0">
      <c r="A687" t="s">
        <v>1277</v>
      </c>
      <c r="B687" s="153">
        <v>34803.0</v>
      </c>
      <c r="C687">
        <v>0.0</v>
      </c>
      <c r="D687">
        <v>0.0</v>
      </c>
      <c r="F687" t="s">
        <v>2942</v>
      </c>
      <c r="G687" t="s">
        <v>2943</v>
      </c>
      <c r="H687" t="s">
        <v>2944</v>
      </c>
      <c r="I687" t="s">
        <v>3707</v>
      </c>
    </row>
    <row r="688" customHeight="1" ht="14.0">
      <c r="A688" t="s">
        <v>1278</v>
      </c>
      <c r="B688" s="153">
        <v>34804.0</v>
      </c>
      <c r="C688">
        <v>0.0</v>
      </c>
      <c r="D688">
        <v>0.0</v>
      </c>
      <c r="F688" t="s">
        <v>2942</v>
      </c>
      <c r="G688" t="s">
        <v>2943</v>
      </c>
      <c r="H688" t="s">
        <v>2944</v>
      </c>
      <c r="I688" t="s">
        <v>3707</v>
      </c>
    </row>
    <row r="689" customHeight="1" ht="14.0">
      <c r="A689" t="s">
        <v>1279</v>
      </c>
      <c r="B689" s="153" t="s">
        <v>1280</v>
      </c>
      <c r="C689">
        <v>181.0</v>
      </c>
      <c r="D689">
        <v>0.0</v>
      </c>
      <c r="E689">
        <v>0.0</v>
      </c>
      <c r="F689" t="s">
        <v>2942</v>
      </c>
      <c r="G689" t="s">
        <v>2943</v>
      </c>
      <c r="H689" t="s">
        <v>2944</v>
      </c>
      <c r="I689" t="s">
        <v>3708</v>
      </c>
    </row>
    <row r="690" customHeight="1" ht="14.0">
      <c r="A690" t="s">
        <v>3709</v>
      </c>
      <c r="B690" s="153" t="s">
        <v>3710</v>
      </c>
      <c r="C690">
        <v>0.0</v>
      </c>
      <c r="D690">
        <v>0.0</v>
      </c>
      <c r="F690" t="s">
        <v>2994</v>
      </c>
      <c r="G690" t="s">
        <v>2943</v>
      </c>
      <c r="H690" t="s">
        <v>2944</v>
      </c>
    </row>
    <row r="691" customHeight="1" ht="14.0">
      <c r="A691" t="s">
        <v>1281</v>
      </c>
      <c r="B691" s="153">
        <v>92601.0</v>
      </c>
      <c r="C691">
        <v>0.0</v>
      </c>
      <c r="D691">
        <v>0.0</v>
      </c>
      <c r="F691" t="s">
        <v>2942</v>
      </c>
      <c r="G691" t="s">
        <v>2943</v>
      </c>
      <c r="H691" t="s">
        <v>2963</v>
      </c>
      <c r="I691" t="s">
        <v>83</v>
      </c>
    </row>
    <row r="692" customHeight="1" ht="14.0">
      <c r="A692" t="s">
        <v>1282</v>
      </c>
      <c r="B692" s="153">
        <v>92602.0</v>
      </c>
      <c r="C692">
        <v>0.0</v>
      </c>
      <c r="D692">
        <v>0.0</v>
      </c>
      <c r="F692" t="s">
        <v>2942</v>
      </c>
      <c r="G692" t="s">
        <v>2943</v>
      </c>
      <c r="H692" t="s">
        <v>2963</v>
      </c>
      <c r="I692" t="s">
        <v>83</v>
      </c>
    </row>
    <row r="693" customHeight="1" ht="14.0">
      <c r="A693" t="s">
        <v>1283</v>
      </c>
      <c r="B693" s="153">
        <v>92603.0</v>
      </c>
      <c r="C693">
        <v>0.0</v>
      </c>
      <c r="D693">
        <v>0.0</v>
      </c>
      <c r="F693" t="s">
        <v>2942</v>
      </c>
      <c r="G693" t="s">
        <v>2943</v>
      </c>
      <c r="H693" t="s">
        <v>2963</v>
      </c>
      <c r="I693" t="s">
        <v>83</v>
      </c>
    </row>
    <row r="694" customHeight="1" ht="14.0">
      <c r="A694" t="s">
        <v>1284</v>
      </c>
      <c r="B694" s="153">
        <v>92604.0</v>
      </c>
      <c r="C694">
        <v>0.0</v>
      </c>
      <c r="D694">
        <v>0.0</v>
      </c>
      <c r="F694" t="s">
        <v>2942</v>
      </c>
      <c r="G694" t="s">
        <v>2943</v>
      </c>
      <c r="H694" t="s">
        <v>2963</v>
      </c>
      <c r="I694" t="s">
        <v>83</v>
      </c>
    </row>
    <row r="695" customHeight="1" ht="14.0">
      <c r="A695" t="s">
        <v>1285</v>
      </c>
      <c r="B695" s="153">
        <v>92605.0</v>
      </c>
      <c r="C695">
        <v>0.0</v>
      </c>
      <c r="D695">
        <v>0.0</v>
      </c>
      <c r="F695" t="s">
        <v>2942</v>
      </c>
      <c r="G695" t="s">
        <v>2943</v>
      </c>
      <c r="H695" t="s">
        <v>2963</v>
      </c>
      <c r="I695" t="s">
        <v>83</v>
      </c>
    </row>
    <row r="696" customHeight="1" ht="14.0">
      <c r="A696" t="s">
        <v>1286</v>
      </c>
      <c r="B696" s="153">
        <v>92606.0</v>
      </c>
      <c r="C696">
        <v>0.0</v>
      </c>
      <c r="D696">
        <v>0.0</v>
      </c>
      <c r="F696" t="s">
        <v>2942</v>
      </c>
      <c r="G696" t="s">
        <v>2943</v>
      </c>
      <c r="H696" t="s">
        <v>2963</v>
      </c>
      <c r="I696" t="s">
        <v>83</v>
      </c>
    </row>
    <row r="697" customHeight="1" ht="14.0">
      <c r="A697" t="s">
        <v>3711</v>
      </c>
      <c r="B697" s="153">
        <v>92607.0</v>
      </c>
      <c r="C697">
        <v>0.0</v>
      </c>
      <c r="D697">
        <v>0.0</v>
      </c>
      <c r="F697" t="s">
        <v>2942</v>
      </c>
      <c r="G697" t="s">
        <v>2943</v>
      </c>
      <c r="I697" t="s">
        <v>83</v>
      </c>
    </row>
    <row r="698" customHeight="1" ht="14.0">
      <c r="A698" t="s">
        <v>1287</v>
      </c>
      <c r="B698" s="153">
        <v>92608.0</v>
      </c>
      <c r="C698">
        <v>0.0</v>
      </c>
      <c r="D698">
        <v>0.0</v>
      </c>
      <c r="F698" t="s">
        <v>2942</v>
      </c>
      <c r="G698" t="s">
        <v>2943</v>
      </c>
      <c r="H698" t="s">
        <v>2963</v>
      </c>
      <c r="I698" t="s">
        <v>83</v>
      </c>
    </row>
    <row r="699" customHeight="1" ht="14.0">
      <c r="A699" t="s">
        <v>3712</v>
      </c>
      <c r="B699" s="153">
        <v>92609.0</v>
      </c>
      <c r="C699">
        <v>0.0</v>
      </c>
      <c r="D699">
        <v>0.0</v>
      </c>
      <c r="F699" t="s">
        <v>2942</v>
      </c>
      <c r="G699" t="s">
        <v>2943</v>
      </c>
      <c r="I699" t="s">
        <v>83</v>
      </c>
    </row>
    <row r="700" customHeight="1" ht="14.0">
      <c r="A700" t="s">
        <v>1288</v>
      </c>
      <c r="B700" s="153">
        <v>92610.0</v>
      </c>
      <c r="C700">
        <v>0.0</v>
      </c>
      <c r="D700">
        <v>0.0</v>
      </c>
      <c r="F700" t="s">
        <v>2942</v>
      </c>
      <c r="G700" t="s">
        <v>2943</v>
      </c>
      <c r="H700" t="s">
        <v>2963</v>
      </c>
      <c r="I700" t="s">
        <v>83</v>
      </c>
    </row>
    <row r="701" customHeight="1" ht="14.0">
      <c r="A701" t="s">
        <v>1289</v>
      </c>
      <c r="B701" s="153">
        <v>92611.0</v>
      </c>
      <c r="C701">
        <v>0.0</v>
      </c>
      <c r="D701">
        <v>0.0</v>
      </c>
      <c r="F701" t="s">
        <v>2942</v>
      </c>
      <c r="G701" t="s">
        <v>2943</v>
      </c>
      <c r="H701" t="s">
        <v>2963</v>
      </c>
      <c r="I701" t="s">
        <v>83</v>
      </c>
    </row>
    <row r="702" customHeight="1" ht="14.0">
      <c r="A702" t="s">
        <v>1290</v>
      </c>
      <c r="B702" s="153">
        <v>92612.0</v>
      </c>
      <c r="C702">
        <v>0.0</v>
      </c>
      <c r="D702">
        <v>0.0</v>
      </c>
      <c r="F702" t="s">
        <v>2942</v>
      </c>
      <c r="G702" t="s">
        <v>2943</v>
      </c>
      <c r="H702" t="s">
        <v>2963</v>
      </c>
      <c r="I702" t="s">
        <v>83</v>
      </c>
    </row>
    <row r="703" customHeight="1" ht="14.0">
      <c r="A703" t="s">
        <v>1291</v>
      </c>
      <c r="B703" s="153">
        <v>92613.0</v>
      </c>
      <c r="C703">
        <v>0.0</v>
      </c>
      <c r="D703">
        <v>0.0</v>
      </c>
      <c r="F703" t="s">
        <v>2942</v>
      </c>
      <c r="G703" t="s">
        <v>2943</v>
      </c>
      <c r="H703" t="s">
        <v>2963</v>
      </c>
      <c r="I703" t="s">
        <v>83</v>
      </c>
    </row>
    <row r="704" customHeight="1" ht="14.0">
      <c r="A704" t="s">
        <v>3713</v>
      </c>
      <c r="B704" s="153">
        <v>92614.0</v>
      </c>
      <c r="C704">
        <v>0.0</v>
      </c>
      <c r="D704">
        <v>0.0</v>
      </c>
      <c r="F704" t="s">
        <v>2942</v>
      </c>
      <c r="G704" t="s">
        <v>2943</v>
      </c>
      <c r="I704" t="s">
        <v>83</v>
      </c>
    </row>
    <row r="705" customHeight="1" ht="14.0">
      <c r="A705" t="s">
        <v>3714</v>
      </c>
      <c r="B705" s="153">
        <v>92615.0</v>
      </c>
      <c r="C705">
        <v>0.0</v>
      </c>
      <c r="D705">
        <v>0.0</v>
      </c>
      <c r="F705" t="s">
        <v>2942</v>
      </c>
      <c r="G705" t="s">
        <v>2943</v>
      </c>
      <c r="I705" t="s">
        <v>83</v>
      </c>
    </row>
    <row r="706" customHeight="1" ht="14.0">
      <c r="A706" t="s">
        <v>3715</v>
      </c>
      <c r="B706" s="153">
        <v>92616.0</v>
      </c>
      <c r="C706">
        <v>0.0</v>
      </c>
      <c r="D706">
        <v>0.0</v>
      </c>
      <c r="F706" t="s">
        <v>2942</v>
      </c>
      <c r="G706" t="s">
        <v>2943</v>
      </c>
      <c r="I706" t="s">
        <v>83</v>
      </c>
    </row>
    <row r="707" customHeight="1" ht="14.0">
      <c r="A707" t="s">
        <v>1292</v>
      </c>
      <c r="B707" s="153">
        <v>92618.0</v>
      </c>
      <c r="C707">
        <v>0.0</v>
      </c>
      <c r="D707">
        <v>0.0</v>
      </c>
      <c r="F707" t="s">
        <v>2942</v>
      </c>
      <c r="G707" t="s">
        <v>2943</v>
      </c>
      <c r="H707" t="s">
        <v>2963</v>
      </c>
      <c r="I707" t="s">
        <v>83</v>
      </c>
    </row>
    <row r="708" customHeight="1" ht="14.0">
      <c r="A708" t="s">
        <v>1293</v>
      </c>
      <c r="B708" s="153">
        <v>92619.0</v>
      </c>
      <c r="C708">
        <v>0.0</v>
      </c>
      <c r="D708">
        <v>0.0</v>
      </c>
      <c r="F708" t="s">
        <v>2942</v>
      </c>
      <c r="G708" t="s">
        <v>2943</v>
      </c>
      <c r="H708" t="s">
        <v>2963</v>
      </c>
      <c r="I708" t="s">
        <v>83</v>
      </c>
    </row>
    <row r="709" customHeight="1" ht="14.0">
      <c r="A709" t="s">
        <v>3716</v>
      </c>
      <c r="B709" s="153">
        <v>92620.0</v>
      </c>
      <c r="C709">
        <v>0.0</v>
      </c>
      <c r="D709">
        <v>0.0</v>
      </c>
      <c r="F709" t="s">
        <v>2942</v>
      </c>
      <c r="G709" t="s">
        <v>2943</v>
      </c>
      <c r="I709" t="s">
        <v>83</v>
      </c>
    </row>
    <row r="710" customHeight="1" ht="14.0">
      <c r="A710" t="s">
        <v>3717</v>
      </c>
      <c r="B710" s="153">
        <v>92621.0</v>
      </c>
      <c r="C710">
        <v>0.0</v>
      </c>
      <c r="D710">
        <v>0.0</v>
      </c>
      <c r="F710" t="s">
        <v>2942</v>
      </c>
      <c r="G710" t="s">
        <v>2943</v>
      </c>
      <c r="H710" t="s">
        <v>2963</v>
      </c>
      <c r="I710" t="s">
        <v>83</v>
      </c>
    </row>
    <row r="711" customHeight="1" ht="14.0">
      <c r="A711" t="s">
        <v>3718</v>
      </c>
      <c r="B711" s="153">
        <v>92622.0</v>
      </c>
      <c r="C711">
        <v>0.0</v>
      </c>
      <c r="D711">
        <v>0.0</v>
      </c>
      <c r="F711" t="s">
        <v>2942</v>
      </c>
      <c r="G711" t="s">
        <v>2943</v>
      </c>
      <c r="I711" t="s">
        <v>83</v>
      </c>
    </row>
    <row r="712" customHeight="1" ht="14.0">
      <c r="A712" t="s">
        <v>3719</v>
      </c>
      <c r="B712" s="153">
        <v>92623.0</v>
      </c>
      <c r="C712">
        <v>0.0</v>
      </c>
      <c r="D712">
        <v>0.0</v>
      </c>
      <c r="F712" t="s">
        <v>2942</v>
      </c>
      <c r="G712" t="s">
        <v>2943</v>
      </c>
      <c r="I712" t="s">
        <v>83</v>
      </c>
    </row>
    <row r="713" customHeight="1" ht="14.0">
      <c r="A713" t="s">
        <v>3720</v>
      </c>
      <c r="B713" s="153">
        <v>92625.0</v>
      </c>
      <c r="C713">
        <v>0.0</v>
      </c>
      <c r="D713">
        <v>0.0</v>
      </c>
      <c r="F713" t="s">
        <v>2942</v>
      </c>
      <c r="G713" t="s">
        <v>2943</v>
      </c>
      <c r="I713" t="s">
        <v>83</v>
      </c>
    </row>
    <row r="714" customHeight="1" ht="14.0">
      <c r="A714" t="s">
        <v>3721</v>
      </c>
      <c r="B714" s="153">
        <v>92626.0</v>
      </c>
      <c r="C714">
        <v>0.0</v>
      </c>
      <c r="D714">
        <v>0.0</v>
      </c>
      <c r="F714" t="s">
        <v>2942</v>
      </c>
      <c r="G714" t="s">
        <v>2943</v>
      </c>
      <c r="I714" t="s">
        <v>83</v>
      </c>
    </row>
    <row r="715" customHeight="1" ht="14.0">
      <c r="A715" t="s">
        <v>1294</v>
      </c>
      <c r="B715" s="153" t="s">
        <v>1295</v>
      </c>
      <c r="C715">
        <v>0.0</v>
      </c>
      <c r="D715">
        <v>0.0</v>
      </c>
      <c r="F715" t="s">
        <v>2994</v>
      </c>
      <c r="G715" t="s">
        <v>2943</v>
      </c>
      <c r="H715" t="s">
        <v>2944</v>
      </c>
      <c r="I715" t="s">
        <v>83</v>
      </c>
    </row>
    <row r="716" customHeight="1" ht="14.0">
      <c r="A716" t="s">
        <v>1296</v>
      </c>
      <c r="B716" s="153" t="s">
        <v>1297</v>
      </c>
      <c r="C716">
        <v>465.0</v>
      </c>
      <c r="D716">
        <v>178.02</v>
      </c>
      <c r="E716">
        <v>0.3828</v>
      </c>
      <c r="F716" t="s">
        <v>2942</v>
      </c>
      <c r="G716" t="s">
        <v>2962</v>
      </c>
      <c r="H716" t="s">
        <v>2963</v>
      </c>
      <c r="I716" t="s">
        <v>83</v>
      </c>
    </row>
    <row r="717" customHeight="1" ht="14.0">
      <c r="A717" t="s">
        <v>1298</v>
      </c>
      <c r="B717" s="153" t="s">
        <v>1299</v>
      </c>
      <c r="C717">
        <v>354.0</v>
      </c>
      <c r="D717">
        <v>135.46</v>
      </c>
      <c r="E717">
        <v>0.3827</v>
      </c>
      <c r="F717" t="s">
        <v>2942</v>
      </c>
      <c r="G717" t="s">
        <v>2962</v>
      </c>
      <c r="H717" t="s">
        <v>2963</v>
      </c>
      <c r="I717" t="s">
        <v>83</v>
      </c>
    </row>
    <row r="718" customHeight="1" ht="14.0">
      <c r="A718" t="s">
        <v>1300</v>
      </c>
      <c r="B718" s="153" t="s">
        <v>1301</v>
      </c>
      <c r="C718">
        <v>204.0</v>
      </c>
      <c r="D718">
        <v>77.98</v>
      </c>
      <c r="E718">
        <v>0.3823</v>
      </c>
      <c r="F718" t="s">
        <v>2942</v>
      </c>
      <c r="G718" t="s">
        <v>2962</v>
      </c>
      <c r="H718" t="s">
        <v>2963</v>
      </c>
      <c r="I718" t="s">
        <v>83</v>
      </c>
    </row>
    <row r="719" customHeight="1" ht="14.0">
      <c r="A719" t="s">
        <v>1302</v>
      </c>
      <c r="B719" s="153" t="s">
        <v>1303</v>
      </c>
      <c r="C719">
        <v>366.0</v>
      </c>
      <c r="D719">
        <v>140.07</v>
      </c>
      <c r="E719">
        <v>0.3827</v>
      </c>
      <c r="F719" t="s">
        <v>2942</v>
      </c>
      <c r="G719" t="s">
        <v>2962</v>
      </c>
      <c r="H719" t="s">
        <v>2963</v>
      </c>
      <c r="I719" t="s">
        <v>83</v>
      </c>
    </row>
    <row r="720" customHeight="1" ht="14.0">
      <c r="A720" t="s">
        <v>1304</v>
      </c>
      <c r="B720" s="153" t="s">
        <v>1305</v>
      </c>
      <c r="C720">
        <v>192.0</v>
      </c>
      <c r="D720">
        <v>72.72</v>
      </c>
      <c r="E720">
        <v>0.3788</v>
      </c>
      <c r="F720" t="s">
        <v>2942</v>
      </c>
      <c r="G720" t="s">
        <v>2962</v>
      </c>
      <c r="H720" t="s">
        <v>2963</v>
      </c>
      <c r="I720" t="s">
        <v>83</v>
      </c>
    </row>
    <row r="721" customHeight="1" ht="14.0">
      <c r="A721" t="s">
        <v>1306</v>
      </c>
      <c r="B721" s="153" t="s">
        <v>1307</v>
      </c>
      <c r="C721">
        <v>90.0</v>
      </c>
      <c r="D721">
        <v>34.2</v>
      </c>
      <c r="E721">
        <v>0.38</v>
      </c>
      <c r="F721" t="s">
        <v>2942</v>
      </c>
      <c r="G721" t="s">
        <v>2962</v>
      </c>
      <c r="H721" t="s">
        <v>2963</v>
      </c>
      <c r="I721" t="s">
        <v>83</v>
      </c>
    </row>
    <row r="722" customHeight="1" ht="14.0">
      <c r="A722" t="s">
        <v>1308</v>
      </c>
      <c r="B722" s="153" t="s">
        <v>1309</v>
      </c>
      <c r="C722">
        <v>0.0</v>
      </c>
      <c r="D722">
        <v>0.0</v>
      </c>
      <c r="F722" t="s">
        <v>2942</v>
      </c>
      <c r="G722" t="s">
        <v>2943</v>
      </c>
      <c r="H722" t="s">
        <v>2963</v>
      </c>
      <c r="I722" t="s">
        <v>83</v>
      </c>
    </row>
    <row r="723" customHeight="1" ht="14.0">
      <c r="A723" t="s">
        <v>1310</v>
      </c>
      <c r="B723" s="153" t="s">
        <v>1311</v>
      </c>
      <c r="C723">
        <v>0.0</v>
      </c>
      <c r="D723">
        <v>0.0</v>
      </c>
      <c r="F723" t="s">
        <v>2942</v>
      </c>
      <c r="G723" t="s">
        <v>2943</v>
      </c>
      <c r="H723" t="s">
        <v>2963</v>
      </c>
      <c r="I723" t="s">
        <v>83</v>
      </c>
    </row>
    <row r="724" customHeight="1" ht="14.0">
      <c r="A724" t="s">
        <v>1312</v>
      </c>
      <c r="B724" s="153" t="s">
        <v>1313</v>
      </c>
      <c r="C724">
        <v>204.0</v>
      </c>
      <c r="D724">
        <v>77.98</v>
      </c>
      <c r="E724">
        <v>0.3823</v>
      </c>
      <c r="F724" t="s">
        <v>2942</v>
      </c>
      <c r="G724" t="s">
        <v>2962</v>
      </c>
      <c r="H724" t="s">
        <v>2963</v>
      </c>
      <c r="I724" t="s">
        <v>83</v>
      </c>
    </row>
    <row r="725" customHeight="1" ht="14.0">
      <c r="A725" t="s">
        <v>1314</v>
      </c>
      <c r="B725" s="153" t="s">
        <v>1315</v>
      </c>
      <c r="C725">
        <v>0.0</v>
      </c>
      <c r="D725">
        <v>0.0</v>
      </c>
      <c r="F725" t="s">
        <v>2942</v>
      </c>
      <c r="G725" t="s">
        <v>2943</v>
      </c>
      <c r="H725" t="s">
        <v>2963</v>
      </c>
      <c r="I725" t="s">
        <v>83</v>
      </c>
    </row>
    <row r="726" customHeight="1" ht="14.0">
      <c r="A726" t="s">
        <v>1316</v>
      </c>
      <c r="B726" s="153" t="s">
        <v>1317</v>
      </c>
      <c r="C726">
        <v>0.0</v>
      </c>
      <c r="D726">
        <v>0.0</v>
      </c>
      <c r="F726" t="s">
        <v>2942</v>
      </c>
      <c r="G726" t="s">
        <v>2943</v>
      </c>
      <c r="H726" t="s">
        <v>2963</v>
      </c>
      <c r="I726" t="s">
        <v>83</v>
      </c>
    </row>
    <row r="727" customHeight="1" ht="14.0">
      <c r="A727" t="s">
        <v>1318</v>
      </c>
      <c r="B727" s="153" t="s">
        <v>1319</v>
      </c>
      <c r="C727">
        <v>276.0</v>
      </c>
      <c r="D727">
        <v>105.59</v>
      </c>
      <c r="E727">
        <v>0.3826</v>
      </c>
      <c r="F727" t="s">
        <v>2942</v>
      </c>
      <c r="G727" t="s">
        <v>2962</v>
      </c>
      <c r="H727" t="s">
        <v>2963</v>
      </c>
      <c r="I727" t="s">
        <v>83</v>
      </c>
    </row>
    <row r="728" customHeight="1" ht="14.0">
      <c r="A728" t="s">
        <v>1320</v>
      </c>
      <c r="B728" s="153" t="s">
        <v>1321</v>
      </c>
      <c r="C728">
        <v>0.0</v>
      </c>
      <c r="D728">
        <v>0.0</v>
      </c>
      <c r="F728" t="s">
        <v>2994</v>
      </c>
      <c r="G728" t="s">
        <v>2943</v>
      </c>
      <c r="H728" t="s">
        <v>2944</v>
      </c>
      <c r="I728" t="s">
        <v>83</v>
      </c>
    </row>
    <row r="729" customHeight="1" ht="14.0">
      <c r="A729" t="s">
        <v>3722</v>
      </c>
      <c r="B729" s="153" t="s">
        <v>3723</v>
      </c>
      <c r="C729">
        <v>0.0</v>
      </c>
      <c r="D729">
        <v>0.0</v>
      </c>
      <c r="F729" t="s">
        <v>2942</v>
      </c>
      <c r="G729" t="s">
        <v>2943</v>
      </c>
      <c r="H729" t="s">
        <v>2944</v>
      </c>
      <c r="I729" t="s">
        <v>3724</v>
      </c>
    </row>
    <row r="730" customHeight="1" ht="14.0">
      <c r="A730" t="s">
        <v>3725</v>
      </c>
      <c r="B730" s="153" t="s">
        <v>3726</v>
      </c>
      <c r="C730">
        <v>1.0</v>
      </c>
      <c r="D730">
        <v>38.34</v>
      </c>
      <c r="E730">
        <v>38.34</v>
      </c>
      <c r="F730" t="s">
        <v>2994</v>
      </c>
      <c r="G730" t="s">
        <v>2962</v>
      </c>
      <c r="H730" t="s">
        <v>3161</v>
      </c>
      <c r="I730" t="s">
        <v>3313</v>
      </c>
    </row>
    <row r="731" customHeight="1" ht="14.0">
      <c r="A731" t="s">
        <v>3727</v>
      </c>
      <c r="B731" s="153" t="s">
        <v>3728</v>
      </c>
      <c r="C731">
        <v>0.0</v>
      </c>
      <c r="D731">
        <v>0.0</v>
      </c>
      <c r="F731" t="s">
        <v>2942</v>
      </c>
      <c r="G731" t="s">
        <v>2943</v>
      </c>
      <c r="H731" t="s">
        <v>2944</v>
      </c>
      <c r="I731" t="s">
        <v>3442</v>
      </c>
    </row>
    <row r="732" customHeight="1" ht="14.0">
      <c r="A732" t="s">
        <v>3729</v>
      </c>
      <c r="B732" s="153">
        <v>96801.0</v>
      </c>
      <c r="C732">
        <v>0.0</v>
      </c>
      <c r="D732">
        <v>0.0</v>
      </c>
      <c r="F732" t="s">
        <v>2942</v>
      </c>
      <c r="G732" t="s">
        <v>2943</v>
      </c>
      <c r="H732" t="s">
        <v>2944</v>
      </c>
      <c r="I732" t="s">
        <v>83</v>
      </c>
    </row>
    <row r="733" customHeight="1" ht="14.0">
      <c r="A733" t="s">
        <v>3730</v>
      </c>
      <c r="B733" s="153">
        <v>96803.0</v>
      </c>
      <c r="C733">
        <v>0.0</v>
      </c>
      <c r="D733">
        <v>0.0</v>
      </c>
      <c r="F733" t="s">
        <v>2942</v>
      </c>
      <c r="G733" t="s">
        <v>2943</v>
      </c>
      <c r="H733" t="s">
        <v>2944</v>
      </c>
      <c r="I733" t="s">
        <v>83</v>
      </c>
    </row>
    <row r="734" customHeight="1" ht="14.0">
      <c r="A734" t="s">
        <v>3731</v>
      </c>
      <c r="B734" s="153">
        <v>96802.0</v>
      </c>
      <c r="C734">
        <v>0.0</v>
      </c>
      <c r="D734">
        <v>0.0</v>
      </c>
      <c r="F734" t="s">
        <v>2942</v>
      </c>
      <c r="G734" t="s">
        <v>2943</v>
      </c>
      <c r="H734" t="s">
        <v>2944</v>
      </c>
      <c r="I734" t="s">
        <v>83</v>
      </c>
    </row>
    <row r="735" customHeight="1" ht="14.0">
      <c r="A735" t="s">
        <v>3732</v>
      </c>
      <c r="B735" s="153">
        <v>96805.0</v>
      </c>
      <c r="C735">
        <v>0.0</v>
      </c>
      <c r="D735">
        <v>0.0</v>
      </c>
      <c r="F735" t="s">
        <v>2942</v>
      </c>
      <c r="G735" t="s">
        <v>2943</v>
      </c>
      <c r="H735" t="s">
        <v>2944</v>
      </c>
      <c r="I735" t="s">
        <v>83</v>
      </c>
    </row>
    <row r="736" customHeight="1" ht="14.0">
      <c r="A736" t="s">
        <v>3733</v>
      </c>
      <c r="B736" s="153">
        <v>96804.0</v>
      </c>
      <c r="C736">
        <v>0.0</v>
      </c>
      <c r="D736">
        <v>0.0</v>
      </c>
      <c r="F736" t="s">
        <v>2942</v>
      </c>
      <c r="G736" t="s">
        <v>2943</v>
      </c>
      <c r="H736" t="s">
        <v>2944</v>
      </c>
      <c r="I736" t="s">
        <v>83</v>
      </c>
    </row>
    <row r="737" customHeight="1" ht="14.0">
      <c r="A737" t="s">
        <v>3734</v>
      </c>
      <c r="B737" s="153">
        <v>96806.0</v>
      </c>
      <c r="C737">
        <v>0.0</v>
      </c>
      <c r="D737">
        <v>0.0</v>
      </c>
      <c r="F737" t="s">
        <v>2942</v>
      </c>
      <c r="G737" t="s">
        <v>2943</v>
      </c>
      <c r="H737" t="s">
        <v>2944</v>
      </c>
      <c r="I737" t="s">
        <v>83</v>
      </c>
    </row>
    <row r="738" customHeight="1" ht="14.0">
      <c r="A738" t="s">
        <v>3735</v>
      </c>
      <c r="B738" s="153" t="s">
        <v>3736</v>
      </c>
      <c r="C738">
        <v>0.0</v>
      </c>
      <c r="D738">
        <v>0.0</v>
      </c>
      <c r="F738" t="s">
        <v>2942</v>
      </c>
      <c r="G738" t="s">
        <v>2943</v>
      </c>
      <c r="H738" t="s">
        <v>2944</v>
      </c>
      <c r="I738" t="s">
        <v>197</v>
      </c>
    </row>
    <row r="739" customHeight="1" ht="14.0">
      <c r="A739" t="s">
        <v>3737</v>
      </c>
      <c r="B739" s="153" t="s">
        <v>3738</v>
      </c>
      <c r="C739">
        <v>0.0</v>
      </c>
      <c r="D739">
        <v>0.0</v>
      </c>
      <c r="F739" t="s">
        <v>2994</v>
      </c>
      <c r="G739" t="s">
        <v>2943</v>
      </c>
      <c r="H739" t="s">
        <v>2944</v>
      </c>
      <c r="I739" t="s">
        <v>83</v>
      </c>
    </row>
    <row r="740" customHeight="1" ht="14.0">
      <c r="A740" t="s">
        <v>3739</v>
      </c>
      <c r="B740" s="153" t="s">
        <v>1323</v>
      </c>
      <c r="C740">
        <v>0.0</v>
      </c>
      <c r="D740">
        <v>0.0</v>
      </c>
      <c r="F740" t="s">
        <v>2994</v>
      </c>
      <c r="G740" t="s">
        <v>2943</v>
      </c>
      <c r="H740" t="s">
        <v>2963</v>
      </c>
      <c r="I740" t="s">
        <v>453</v>
      </c>
    </row>
    <row r="741" customHeight="1" ht="14.0">
      <c r="A741" t="s">
        <v>3740</v>
      </c>
      <c r="B741" s="153" t="s">
        <v>1325</v>
      </c>
      <c r="C741">
        <v>0.0</v>
      </c>
      <c r="D741">
        <v>0.0</v>
      </c>
      <c r="F741" t="s">
        <v>2942</v>
      </c>
      <c r="G741" t="s">
        <v>2962</v>
      </c>
      <c r="H741" t="s">
        <v>3741</v>
      </c>
      <c r="I741" t="s">
        <v>3742</v>
      </c>
    </row>
    <row r="742" customHeight="1" ht="14.0">
      <c r="A742" t="s">
        <v>1326</v>
      </c>
      <c r="B742" s="153">
        <v>43332.0</v>
      </c>
      <c r="C742">
        <v>0.0</v>
      </c>
      <c r="D742">
        <v>0.0</v>
      </c>
      <c r="F742" t="s">
        <v>2942</v>
      </c>
      <c r="G742" t="s">
        <v>2962</v>
      </c>
      <c r="H742" t="s">
        <v>3741</v>
      </c>
      <c r="I742" t="s">
        <v>3742</v>
      </c>
    </row>
    <row r="743" customHeight="1" ht="14.0">
      <c r="A743" t="s">
        <v>1327</v>
      </c>
      <c r="B743" s="153">
        <v>43301.0</v>
      </c>
      <c r="C743">
        <v>0.0</v>
      </c>
      <c r="D743">
        <v>0.0</v>
      </c>
      <c r="F743" t="s">
        <v>2942</v>
      </c>
      <c r="G743" t="s">
        <v>2962</v>
      </c>
      <c r="H743" t="s">
        <v>2963</v>
      </c>
      <c r="I743" t="s">
        <v>3742</v>
      </c>
    </row>
    <row r="744" customHeight="1" ht="14.0">
      <c r="A744" t="s">
        <v>1328</v>
      </c>
      <c r="B744" s="153">
        <v>43302.0</v>
      </c>
      <c r="C744">
        <v>0.0</v>
      </c>
      <c r="D744">
        <v>0.0</v>
      </c>
      <c r="F744" t="s">
        <v>2942</v>
      </c>
      <c r="G744" t="s">
        <v>2962</v>
      </c>
      <c r="H744" t="s">
        <v>2963</v>
      </c>
      <c r="I744" t="s">
        <v>3742</v>
      </c>
    </row>
    <row r="745" customHeight="1" ht="14.0">
      <c r="A745" t="s">
        <v>1329</v>
      </c>
      <c r="B745" s="153">
        <v>43303.0</v>
      </c>
      <c r="C745">
        <v>0.0</v>
      </c>
      <c r="D745">
        <v>0.0</v>
      </c>
      <c r="F745" t="s">
        <v>2942</v>
      </c>
      <c r="G745" t="s">
        <v>2943</v>
      </c>
      <c r="H745" t="s">
        <v>2963</v>
      </c>
      <c r="I745" t="s">
        <v>3742</v>
      </c>
    </row>
    <row r="746" customHeight="1" ht="14.0">
      <c r="A746" t="s">
        <v>1330</v>
      </c>
      <c r="B746" s="153">
        <v>43304.0</v>
      </c>
      <c r="C746">
        <v>0.0</v>
      </c>
      <c r="D746">
        <v>0.0</v>
      </c>
      <c r="F746" t="s">
        <v>2942</v>
      </c>
      <c r="G746" t="s">
        <v>2943</v>
      </c>
      <c r="H746" t="s">
        <v>3741</v>
      </c>
      <c r="I746" t="s">
        <v>3742</v>
      </c>
    </row>
    <row r="747" customHeight="1" ht="14.0">
      <c r="A747" t="s">
        <v>1331</v>
      </c>
      <c r="B747" s="153">
        <v>992432.0</v>
      </c>
      <c r="C747">
        <v>297.0</v>
      </c>
      <c r="D747">
        <v>17.73</v>
      </c>
      <c r="E747">
        <v>0.0597</v>
      </c>
      <c r="F747" t="s">
        <v>2942</v>
      </c>
      <c r="G747" t="s">
        <v>2962</v>
      </c>
      <c r="H747" t="s">
        <v>3741</v>
      </c>
      <c r="I747" t="s">
        <v>453</v>
      </c>
    </row>
    <row r="748" customHeight="1" ht="14.0">
      <c r="A748" t="s">
        <v>3743</v>
      </c>
      <c r="B748" s="153">
        <v>992431.0</v>
      </c>
      <c r="C748">
        <v>335.0</v>
      </c>
      <c r="D748">
        <v>103.65</v>
      </c>
      <c r="E748">
        <v>0.3094</v>
      </c>
      <c r="F748" t="s">
        <v>2942</v>
      </c>
      <c r="G748" t="s">
        <v>2962</v>
      </c>
      <c r="H748" t="s">
        <v>3741</v>
      </c>
      <c r="I748" t="s">
        <v>453</v>
      </c>
    </row>
    <row r="749" customHeight="1" ht="14.0">
      <c r="A749" t="s">
        <v>1332</v>
      </c>
      <c r="B749" s="153">
        <v>41201.0</v>
      </c>
      <c r="C749">
        <v>0.0</v>
      </c>
      <c r="D749">
        <v>0.0</v>
      </c>
      <c r="F749" t="s">
        <v>2942</v>
      </c>
      <c r="G749" t="s">
        <v>2962</v>
      </c>
      <c r="H749" t="s">
        <v>2963</v>
      </c>
      <c r="I749" t="s">
        <v>272</v>
      </c>
    </row>
    <row r="750" customHeight="1" ht="14.0">
      <c r="A750" t="s">
        <v>1333</v>
      </c>
      <c r="B750" s="153">
        <v>41202.0</v>
      </c>
      <c r="C750">
        <v>0.0</v>
      </c>
      <c r="D750">
        <v>0.0</v>
      </c>
      <c r="F750" t="s">
        <v>2942</v>
      </c>
      <c r="G750" t="s">
        <v>2962</v>
      </c>
      <c r="H750" t="s">
        <v>2963</v>
      </c>
      <c r="I750" t="s">
        <v>272</v>
      </c>
    </row>
    <row r="751" customHeight="1" ht="14.0">
      <c r="A751" t="s">
        <v>1334</v>
      </c>
      <c r="B751" s="153">
        <v>41233.0</v>
      </c>
      <c r="C751">
        <v>0.0</v>
      </c>
      <c r="D751">
        <v>0.0</v>
      </c>
      <c r="F751" t="s">
        <v>2942</v>
      </c>
      <c r="G751" t="s">
        <v>2962</v>
      </c>
      <c r="H751" t="s">
        <v>2963</v>
      </c>
      <c r="I751" t="s">
        <v>272</v>
      </c>
    </row>
    <row r="752" customHeight="1" ht="14.0">
      <c r="A752" t="s">
        <v>1335</v>
      </c>
      <c r="B752" s="153">
        <v>41234.0</v>
      </c>
      <c r="C752">
        <v>0.0</v>
      </c>
      <c r="D752">
        <v>0.0</v>
      </c>
      <c r="F752" t="s">
        <v>2942</v>
      </c>
      <c r="G752" t="s">
        <v>2962</v>
      </c>
      <c r="H752" t="s">
        <v>3741</v>
      </c>
      <c r="I752" t="s">
        <v>272</v>
      </c>
    </row>
    <row r="753" customHeight="1" ht="14.0">
      <c r="A753" t="s">
        <v>1336</v>
      </c>
      <c r="B753" s="153">
        <v>41205.0</v>
      </c>
      <c r="C753">
        <v>0.0</v>
      </c>
      <c r="D753">
        <v>0.0</v>
      </c>
      <c r="F753" t="s">
        <v>2942</v>
      </c>
      <c r="G753" t="s">
        <v>2962</v>
      </c>
      <c r="H753" t="s">
        <v>2963</v>
      </c>
      <c r="I753" t="s">
        <v>272</v>
      </c>
    </row>
    <row r="754" customHeight="1" ht="14.0">
      <c r="A754" t="s">
        <v>1337</v>
      </c>
      <c r="B754" s="153">
        <v>41203.0</v>
      </c>
      <c r="C754">
        <v>0.0</v>
      </c>
      <c r="D754">
        <v>0.0</v>
      </c>
      <c r="F754" t="s">
        <v>2942</v>
      </c>
      <c r="G754" t="s">
        <v>2943</v>
      </c>
      <c r="H754" t="s">
        <v>2963</v>
      </c>
      <c r="I754" t="s">
        <v>272</v>
      </c>
    </row>
    <row r="755" customHeight="1" ht="14.0">
      <c r="A755" t="s">
        <v>1338</v>
      </c>
      <c r="B755" s="153">
        <v>41204.0</v>
      </c>
      <c r="C755">
        <v>0.0</v>
      </c>
      <c r="D755">
        <v>0.0</v>
      </c>
      <c r="F755" t="s">
        <v>2942</v>
      </c>
      <c r="G755" t="s">
        <v>2943</v>
      </c>
      <c r="H755" t="s">
        <v>2963</v>
      </c>
      <c r="I755" t="s">
        <v>272</v>
      </c>
    </row>
    <row r="756" customHeight="1" ht="14.0">
      <c r="A756" t="s">
        <v>1339</v>
      </c>
      <c r="B756" s="153" t="s">
        <v>1340</v>
      </c>
      <c r="C756">
        <v>0.0</v>
      </c>
      <c r="D756">
        <v>0.0</v>
      </c>
      <c r="F756" t="s">
        <v>2942</v>
      </c>
      <c r="G756" t="s">
        <v>2943</v>
      </c>
      <c r="H756" t="s">
        <v>3741</v>
      </c>
      <c r="I756" t="s">
        <v>272</v>
      </c>
    </row>
    <row r="757" customHeight="1" ht="14.0">
      <c r="A757" t="s">
        <v>1341</v>
      </c>
      <c r="B757" s="153" t="s">
        <v>1342</v>
      </c>
      <c r="C757">
        <v>0.0</v>
      </c>
      <c r="D757">
        <v>0.0</v>
      </c>
      <c r="F757" t="s">
        <v>2942</v>
      </c>
      <c r="G757" t="s">
        <v>2943</v>
      </c>
      <c r="H757" t="s">
        <v>3741</v>
      </c>
      <c r="I757" t="s">
        <v>272</v>
      </c>
    </row>
    <row r="758" customHeight="1" ht="14.0">
      <c r="A758" t="s">
        <v>1343</v>
      </c>
      <c r="B758" s="153">
        <v>79602.0</v>
      </c>
      <c r="C758">
        <v>96.0</v>
      </c>
      <c r="D758">
        <v>308.0</v>
      </c>
      <c r="E758">
        <v>3.2083</v>
      </c>
      <c r="F758" t="s">
        <v>2942</v>
      </c>
      <c r="G758" t="s">
        <v>2962</v>
      </c>
      <c r="H758" t="s">
        <v>2963</v>
      </c>
      <c r="I758" t="s">
        <v>3744</v>
      </c>
    </row>
    <row r="759" customHeight="1" ht="14.0">
      <c r="A759" t="s">
        <v>1344</v>
      </c>
      <c r="B759" s="153">
        <v>79605.0</v>
      </c>
      <c r="C759">
        <v>93.0</v>
      </c>
      <c r="D759">
        <v>298.38</v>
      </c>
      <c r="E759">
        <v>3.2084</v>
      </c>
      <c r="F759" t="s">
        <v>2942</v>
      </c>
      <c r="G759" t="s">
        <v>2962</v>
      </c>
      <c r="H759" t="s">
        <v>2963</v>
      </c>
      <c r="I759" t="s">
        <v>3744</v>
      </c>
    </row>
    <row r="760" customHeight="1" ht="14.0">
      <c r="A760" t="s">
        <v>1345</v>
      </c>
      <c r="B760" s="153">
        <v>79603.0</v>
      </c>
      <c r="C760">
        <v>95.0</v>
      </c>
      <c r="D760">
        <v>304.79</v>
      </c>
      <c r="E760">
        <v>3.2083</v>
      </c>
      <c r="F760" t="s">
        <v>2942</v>
      </c>
      <c r="G760" t="s">
        <v>2962</v>
      </c>
      <c r="H760" t="s">
        <v>2963</v>
      </c>
      <c r="I760" t="s">
        <v>3744</v>
      </c>
    </row>
    <row r="761" customHeight="1" ht="14.0">
      <c r="A761" t="s">
        <v>1346</v>
      </c>
      <c r="B761" s="153">
        <v>79604.0</v>
      </c>
      <c r="C761">
        <v>0.0</v>
      </c>
      <c r="D761">
        <v>0.0</v>
      </c>
      <c r="F761" t="s">
        <v>2942</v>
      </c>
      <c r="G761" t="s">
        <v>2962</v>
      </c>
      <c r="H761" t="s">
        <v>2963</v>
      </c>
      <c r="I761" t="s">
        <v>3744</v>
      </c>
    </row>
    <row r="762" customHeight="1" ht="14.0">
      <c r="A762" t="s">
        <v>1347</v>
      </c>
      <c r="B762" s="153">
        <v>79606.0</v>
      </c>
      <c r="C762">
        <v>100.0</v>
      </c>
      <c r="D762">
        <v>320.82</v>
      </c>
      <c r="E762">
        <v>3.2082</v>
      </c>
      <c r="F762" t="s">
        <v>2942</v>
      </c>
      <c r="G762" t="s">
        <v>2962</v>
      </c>
      <c r="H762" t="s">
        <v>2963</v>
      </c>
      <c r="I762" t="s">
        <v>3744</v>
      </c>
    </row>
    <row r="763" customHeight="1" ht="14.0">
      <c r="A763" t="s">
        <v>1348</v>
      </c>
      <c r="B763" s="153">
        <v>79601.0</v>
      </c>
      <c r="C763">
        <v>124.0</v>
      </c>
      <c r="D763">
        <v>397.8</v>
      </c>
      <c r="E763">
        <v>3.2081</v>
      </c>
      <c r="F763" t="s">
        <v>2942</v>
      </c>
      <c r="G763" t="s">
        <v>2962</v>
      </c>
      <c r="H763" t="s">
        <v>2963</v>
      </c>
      <c r="I763" t="s">
        <v>3744</v>
      </c>
    </row>
    <row r="764" customHeight="1" ht="14.0">
      <c r="A764" t="s">
        <v>3745</v>
      </c>
      <c r="B764" s="153" t="s">
        <v>3746</v>
      </c>
      <c r="C764">
        <v>125.0</v>
      </c>
      <c r="D764">
        <v>0.0</v>
      </c>
      <c r="E764">
        <v>0.0</v>
      </c>
      <c r="F764" t="s">
        <v>2942</v>
      </c>
      <c r="G764" t="s">
        <v>2962</v>
      </c>
      <c r="H764" t="s">
        <v>2963</v>
      </c>
      <c r="I764" t="s">
        <v>197</v>
      </c>
    </row>
    <row r="765" customHeight="1" ht="14.0">
      <c r="A765" t="s">
        <v>1349</v>
      </c>
      <c r="B765" s="153" t="s">
        <v>1350</v>
      </c>
      <c r="C765">
        <v>1.0</v>
      </c>
      <c r="D765">
        <v>96.37</v>
      </c>
      <c r="E765">
        <v>96.37</v>
      </c>
      <c r="F765" t="s">
        <v>2994</v>
      </c>
      <c r="G765" t="s">
        <v>2962</v>
      </c>
      <c r="H765" t="s">
        <v>2963</v>
      </c>
      <c r="I765" t="s">
        <v>3744</v>
      </c>
    </row>
    <row r="766" customHeight="1" ht="14.0">
      <c r="A766" t="s">
        <v>1351</v>
      </c>
      <c r="B766" s="153">
        <v>40601.0</v>
      </c>
      <c r="C766">
        <v>0.0</v>
      </c>
      <c r="D766">
        <v>0.0</v>
      </c>
      <c r="F766" t="s">
        <v>2942</v>
      </c>
      <c r="G766" t="s">
        <v>2943</v>
      </c>
      <c r="H766" t="s">
        <v>2963</v>
      </c>
      <c r="I766" t="s">
        <v>3747</v>
      </c>
    </row>
    <row r="767" customHeight="1" ht="14.0">
      <c r="A767" t="s">
        <v>1352</v>
      </c>
      <c r="B767" s="153">
        <v>40602.0</v>
      </c>
      <c r="C767">
        <v>0.0</v>
      </c>
      <c r="D767">
        <v>0.0</v>
      </c>
      <c r="F767" t="s">
        <v>2942</v>
      </c>
      <c r="G767" t="s">
        <v>2943</v>
      </c>
      <c r="H767" t="s">
        <v>2963</v>
      </c>
      <c r="I767" t="s">
        <v>3747</v>
      </c>
    </row>
    <row r="768" customHeight="1" ht="14.0">
      <c r="A768" t="s">
        <v>1353</v>
      </c>
      <c r="B768" s="153">
        <v>40603.0</v>
      </c>
      <c r="C768">
        <v>0.0</v>
      </c>
      <c r="D768">
        <v>0.0</v>
      </c>
      <c r="F768" t="s">
        <v>2942</v>
      </c>
      <c r="G768" t="s">
        <v>2943</v>
      </c>
      <c r="H768" t="s">
        <v>2963</v>
      </c>
      <c r="I768" t="s">
        <v>3747</v>
      </c>
    </row>
    <row r="769" customHeight="1" ht="14.0">
      <c r="A769" t="s">
        <v>1354</v>
      </c>
      <c r="B769" s="153">
        <v>40604.0</v>
      </c>
      <c r="C769">
        <v>0.0</v>
      </c>
      <c r="D769">
        <v>0.0</v>
      </c>
      <c r="F769" t="s">
        <v>2942</v>
      </c>
      <c r="G769" t="s">
        <v>2943</v>
      </c>
      <c r="H769" t="s">
        <v>2963</v>
      </c>
      <c r="I769" t="s">
        <v>3747</v>
      </c>
    </row>
    <row r="770" customHeight="1" ht="14.0">
      <c r="A770" t="s">
        <v>1355</v>
      </c>
      <c r="B770" s="153" t="s">
        <v>1356</v>
      </c>
      <c r="C770">
        <v>0.0</v>
      </c>
      <c r="D770">
        <v>0.0</v>
      </c>
      <c r="F770" t="s">
        <v>2942</v>
      </c>
      <c r="G770" t="s">
        <v>2943</v>
      </c>
      <c r="H770" t="s">
        <v>2963</v>
      </c>
      <c r="I770" t="s">
        <v>3747</v>
      </c>
    </row>
    <row r="771" customHeight="1" ht="14.0">
      <c r="A771" t="s">
        <v>1357</v>
      </c>
      <c r="B771" s="153" t="s">
        <v>1358</v>
      </c>
      <c r="C771">
        <v>0.0</v>
      </c>
      <c r="D771">
        <v>0.0</v>
      </c>
      <c r="F771" t="s">
        <v>2942</v>
      </c>
      <c r="G771" t="s">
        <v>2943</v>
      </c>
      <c r="H771" t="s">
        <v>2944</v>
      </c>
      <c r="I771" t="s">
        <v>3747</v>
      </c>
    </row>
    <row r="772" customHeight="1" ht="14.0">
      <c r="A772" t="s">
        <v>1359</v>
      </c>
      <c r="B772" s="153">
        <v>43203.0</v>
      </c>
      <c r="C772">
        <v>0.0</v>
      </c>
      <c r="D772">
        <v>0.0</v>
      </c>
      <c r="F772" t="s">
        <v>2942</v>
      </c>
      <c r="G772" t="s">
        <v>2962</v>
      </c>
      <c r="H772" t="s">
        <v>2963</v>
      </c>
      <c r="I772" t="s">
        <v>453</v>
      </c>
    </row>
    <row r="773" customHeight="1" ht="14.0">
      <c r="A773" t="s">
        <v>1360</v>
      </c>
      <c r="B773" s="153">
        <v>43232.0</v>
      </c>
      <c r="C773">
        <v>27.0</v>
      </c>
      <c r="D773">
        <v>129.8</v>
      </c>
      <c r="E773">
        <v>4.8074</v>
      </c>
      <c r="F773" t="s">
        <v>2942</v>
      </c>
      <c r="G773" t="s">
        <v>2962</v>
      </c>
      <c r="H773" t="s">
        <v>2963</v>
      </c>
      <c r="I773" t="s">
        <v>453</v>
      </c>
    </row>
    <row r="774" customHeight="1" ht="14.0">
      <c r="A774" t="s">
        <v>1361</v>
      </c>
      <c r="B774" s="153">
        <v>43206.0</v>
      </c>
      <c r="C774">
        <v>0.0</v>
      </c>
      <c r="D774">
        <v>0.0</v>
      </c>
      <c r="F774" t="s">
        <v>2942</v>
      </c>
      <c r="G774" t="s">
        <v>2943</v>
      </c>
      <c r="H774" t="s">
        <v>2963</v>
      </c>
      <c r="I774" t="s">
        <v>453</v>
      </c>
    </row>
    <row r="775" customHeight="1" ht="14.0">
      <c r="A775" t="s">
        <v>1362</v>
      </c>
      <c r="B775" s="153">
        <v>43215.0</v>
      </c>
      <c r="C775">
        <v>0.0</v>
      </c>
      <c r="D775">
        <v>0.0</v>
      </c>
      <c r="F775" t="s">
        <v>2942</v>
      </c>
      <c r="G775" t="s">
        <v>2943</v>
      </c>
      <c r="H775" t="s">
        <v>3741</v>
      </c>
      <c r="I775" t="s">
        <v>453</v>
      </c>
    </row>
    <row r="776" customHeight="1" ht="14.0">
      <c r="A776" t="s">
        <v>1363</v>
      </c>
      <c r="B776" s="153">
        <v>43213.0</v>
      </c>
      <c r="C776">
        <v>45.0</v>
      </c>
      <c r="D776">
        <v>195.57</v>
      </c>
      <c r="E776">
        <v>4.346</v>
      </c>
      <c r="F776" t="s">
        <v>2942</v>
      </c>
      <c r="G776" t="s">
        <v>2962</v>
      </c>
      <c r="H776" t="s">
        <v>2963</v>
      </c>
      <c r="I776" t="s">
        <v>453</v>
      </c>
    </row>
    <row r="777" customHeight="1" ht="14.0">
      <c r="A777" t="s">
        <v>1364</v>
      </c>
      <c r="B777" s="153">
        <v>43212.0</v>
      </c>
      <c r="C777">
        <v>0.0</v>
      </c>
      <c r="D777">
        <v>0.0</v>
      </c>
      <c r="F777" t="s">
        <v>2942</v>
      </c>
      <c r="G777" t="s">
        <v>2943</v>
      </c>
      <c r="H777" t="s">
        <v>2963</v>
      </c>
      <c r="I777" t="s">
        <v>453</v>
      </c>
    </row>
    <row r="778" customHeight="1" ht="14.0">
      <c r="A778" t="s">
        <v>1365</v>
      </c>
      <c r="B778" s="153">
        <v>43245.0</v>
      </c>
      <c r="C778">
        <v>0.0</v>
      </c>
      <c r="D778">
        <v>0.0</v>
      </c>
      <c r="F778" t="s">
        <v>2942</v>
      </c>
      <c r="G778" t="s">
        <v>2943</v>
      </c>
      <c r="H778" t="s">
        <v>2963</v>
      </c>
      <c r="I778" t="s">
        <v>453</v>
      </c>
    </row>
    <row r="779" customHeight="1" ht="14.0">
      <c r="A779" t="s">
        <v>1366</v>
      </c>
      <c r="B779" s="153">
        <v>43205.0</v>
      </c>
      <c r="C779">
        <v>0.0</v>
      </c>
      <c r="D779">
        <v>0.0</v>
      </c>
      <c r="F779" t="s">
        <v>2942</v>
      </c>
      <c r="G779" t="s">
        <v>2943</v>
      </c>
      <c r="H779" t="s">
        <v>2963</v>
      </c>
      <c r="I779" t="s">
        <v>453</v>
      </c>
    </row>
    <row r="780" customHeight="1" ht="14.0">
      <c r="A780" t="s">
        <v>1367</v>
      </c>
      <c r="B780" s="153">
        <v>43204.0</v>
      </c>
      <c r="C780">
        <v>58.0</v>
      </c>
      <c r="D780">
        <v>252.07</v>
      </c>
      <c r="E780">
        <v>4.346</v>
      </c>
      <c r="F780" t="s">
        <v>2942</v>
      </c>
      <c r="G780" t="s">
        <v>2962</v>
      </c>
      <c r="H780" t="s">
        <v>2963</v>
      </c>
      <c r="I780" t="s">
        <v>453</v>
      </c>
    </row>
    <row r="781" customHeight="1" ht="14.0">
      <c r="A781" t="s">
        <v>1368</v>
      </c>
      <c r="B781" s="153">
        <v>43201.0</v>
      </c>
      <c r="C781">
        <v>0.0</v>
      </c>
      <c r="D781">
        <v>0.0</v>
      </c>
      <c r="F781" t="s">
        <v>2942</v>
      </c>
      <c r="G781" t="s">
        <v>2962</v>
      </c>
      <c r="H781" t="s">
        <v>2963</v>
      </c>
      <c r="I781" t="s">
        <v>453</v>
      </c>
    </row>
    <row r="782" customHeight="1" ht="14.0">
      <c r="A782" t="s">
        <v>1369</v>
      </c>
      <c r="B782" s="153" t="s">
        <v>1370</v>
      </c>
      <c r="C782">
        <v>0.0</v>
      </c>
      <c r="D782">
        <v>0.0</v>
      </c>
      <c r="F782" t="s">
        <v>2942</v>
      </c>
      <c r="G782" t="s">
        <v>2943</v>
      </c>
      <c r="H782" t="s">
        <v>2963</v>
      </c>
      <c r="I782" t="s">
        <v>453</v>
      </c>
    </row>
    <row r="783" customHeight="1" ht="14.0">
      <c r="A783" t="s">
        <v>1371</v>
      </c>
      <c r="B783" s="153">
        <v>40902.0</v>
      </c>
      <c r="C783">
        <v>0.0</v>
      </c>
      <c r="D783">
        <v>0.0</v>
      </c>
      <c r="F783" t="s">
        <v>2942</v>
      </c>
      <c r="G783" t="s">
        <v>2943</v>
      </c>
      <c r="H783" t="s">
        <v>2963</v>
      </c>
      <c r="I783" t="s">
        <v>3748</v>
      </c>
    </row>
    <row r="784" customHeight="1" ht="14.0">
      <c r="A784" t="s">
        <v>1372</v>
      </c>
      <c r="B784" s="153">
        <v>40904.0</v>
      </c>
      <c r="C784">
        <v>6.0</v>
      </c>
      <c r="D784">
        <v>43.61</v>
      </c>
      <c r="E784">
        <v>7.2683</v>
      </c>
      <c r="F784" t="s">
        <v>2942</v>
      </c>
      <c r="G784" t="s">
        <v>2962</v>
      </c>
      <c r="H784" t="s">
        <v>2963</v>
      </c>
      <c r="I784" t="s">
        <v>3748</v>
      </c>
    </row>
    <row r="785" customHeight="1" ht="14.0">
      <c r="A785" t="s">
        <v>1373</v>
      </c>
      <c r="B785" s="153">
        <v>40903.0</v>
      </c>
      <c r="C785">
        <v>0.0</v>
      </c>
      <c r="D785">
        <v>0.0</v>
      </c>
      <c r="F785" t="s">
        <v>2942</v>
      </c>
      <c r="G785" t="s">
        <v>2943</v>
      </c>
      <c r="H785" t="s">
        <v>2963</v>
      </c>
      <c r="I785" t="s">
        <v>3748</v>
      </c>
    </row>
    <row r="786" customHeight="1" ht="14.0">
      <c r="A786" t="s">
        <v>1374</v>
      </c>
      <c r="B786" s="153">
        <v>40901.0</v>
      </c>
      <c r="C786">
        <v>0.0</v>
      </c>
      <c r="D786">
        <v>0.0</v>
      </c>
      <c r="F786" t="s">
        <v>2942</v>
      </c>
      <c r="G786" t="s">
        <v>2943</v>
      </c>
      <c r="H786" t="s">
        <v>2963</v>
      </c>
      <c r="I786" t="s">
        <v>3748</v>
      </c>
    </row>
    <row r="787" customHeight="1" ht="14.0">
      <c r="A787" t="s">
        <v>1375</v>
      </c>
      <c r="B787" s="153">
        <v>40905.0</v>
      </c>
      <c r="C787">
        <v>0.0</v>
      </c>
      <c r="D787">
        <v>0.0</v>
      </c>
      <c r="F787" t="s">
        <v>2942</v>
      </c>
      <c r="G787" t="s">
        <v>2943</v>
      </c>
      <c r="H787" t="s">
        <v>2963</v>
      </c>
      <c r="I787" t="s">
        <v>3748</v>
      </c>
    </row>
    <row r="788" customHeight="1" ht="14.0">
      <c r="A788" t="s">
        <v>1376</v>
      </c>
      <c r="B788" s="153" t="s">
        <v>1377</v>
      </c>
      <c r="C788">
        <v>0.0</v>
      </c>
      <c r="D788">
        <v>0.0</v>
      </c>
      <c r="F788" t="s">
        <v>2942</v>
      </c>
      <c r="G788" t="s">
        <v>2943</v>
      </c>
      <c r="H788" t="s">
        <v>2963</v>
      </c>
      <c r="I788" t="s">
        <v>3748</v>
      </c>
    </row>
    <row r="789" customHeight="1" ht="14.0">
      <c r="A789" t="s">
        <v>1378</v>
      </c>
      <c r="B789" s="153" t="s">
        <v>1379</v>
      </c>
      <c r="C789">
        <v>0.0</v>
      </c>
      <c r="D789">
        <v>0.0</v>
      </c>
      <c r="F789" t="s">
        <v>2994</v>
      </c>
      <c r="G789" t="s">
        <v>2943</v>
      </c>
      <c r="H789" t="s">
        <v>2944</v>
      </c>
      <c r="I789" t="s">
        <v>3748</v>
      </c>
    </row>
    <row r="790" customHeight="1" ht="14.0">
      <c r="A790" t="s">
        <v>1380</v>
      </c>
      <c r="B790" s="153">
        <v>43110.0</v>
      </c>
      <c r="C790">
        <v>9.0</v>
      </c>
      <c r="D790">
        <v>23.67</v>
      </c>
      <c r="E790">
        <v>2.63</v>
      </c>
      <c r="F790" t="s">
        <v>2942</v>
      </c>
      <c r="G790" t="s">
        <v>2962</v>
      </c>
      <c r="H790" t="s">
        <v>3741</v>
      </c>
      <c r="I790" t="s">
        <v>2985</v>
      </c>
    </row>
    <row r="791" customHeight="1" ht="14.0">
      <c r="A791" t="s">
        <v>1381</v>
      </c>
      <c r="B791" s="153">
        <v>43133.0</v>
      </c>
      <c r="C791">
        <v>42.0</v>
      </c>
      <c r="D791">
        <v>116.37</v>
      </c>
      <c r="E791">
        <v>2.7707</v>
      </c>
      <c r="F791" t="s">
        <v>2942</v>
      </c>
      <c r="G791" t="s">
        <v>2962</v>
      </c>
      <c r="H791" t="s">
        <v>3741</v>
      </c>
      <c r="I791" t="s">
        <v>2985</v>
      </c>
    </row>
    <row r="792" customHeight="1" ht="14.0">
      <c r="A792" t="s">
        <v>1382</v>
      </c>
      <c r="B792" s="153">
        <v>43150.0</v>
      </c>
      <c r="C792">
        <v>66.0</v>
      </c>
      <c r="D792">
        <v>178.93</v>
      </c>
      <c r="E792">
        <v>2.7111</v>
      </c>
      <c r="F792" t="s">
        <v>2942</v>
      </c>
      <c r="G792" t="s">
        <v>2962</v>
      </c>
      <c r="H792" t="s">
        <v>3741</v>
      </c>
      <c r="I792" t="s">
        <v>2985</v>
      </c>
    </row>
    <row r="793" customHeight="1" ht="14.0">
      <c r="A793" t="s">
        <v>1383</v>
      </c>
      <c r="B793" s="153">
        <v>43134.0</v>
      </c>
      <c r="C793">
        <v>45.0</v>
      </c>
      <c r="D793">
        <v>124.71</v>
      </c>
      <c r="E793">
        <v>2.7713</v>
      </c>
      <c r="F793" t="s">
        <v>2942</v>
      </c>
      <c r="G793" t="s">
        <v>2962</v>
      </c>
      <c r="H793" t="s">
        <v>3741</v>
      </c>
      <c r="I793" t="s">
        <v>2985</v>
      </c>
    </row>
    <row r="794" customHeight="1" ht="14.0">
      <c r="A794" t="s">
        <v>1384</v>
      </c>
      <c r="B794" s="153">
        <v>43145.0</v>
      </c>
      <c r="C794">
        <v>94.0</v>
      </c>
      <c r="D794">
        <v>258.35</v>
      </c>
      <c r="E794">
        <v>2.7484</v>
      </c>
      <c r="F794" t="s">
        <v>2942</v>
      </c>
      <c r="G794" t="s">
        <v>2962</v>
      </c>
      <c r="H794" t="s">
        <v>3741</v>
      </c>
      <c r="I794" t="s">
        <v>2985</v>
      </c>
    </row>
    <row r="795" customHeight="1" ht="14.0">
      <c r="A795" t="s">
        <v>1385</v>
      </c>
      <c r="B795" s="153">
        <v>43108.0</v>
      </c>
      <c r="C795">
        <v>0.0</v>
      </c>
      <c r="D795">
        <v>0.0</v>
      </c>
      <c r="F795" t="s">
        <v>2942</v>
      </c>
      <c r="G795" t="s">
        <v>2943</v>
      </c>
      <c r="H795" t="s">
        <v>2963</v>
      </c>
      <c r="I795" t="s">
        <v>2985</v>
      </c>
    </row>
    <row r="796" customHeight="1" ht="14.0">
      <c r="A796" t="s">
        <v>1386</v>
      </c>
      <c r="B796" s="153">
        <v>43111.0</v>
      </c>
      <c r="C796">
        <v>81.0</v>
      </c>
      <c r="D796">
        <v>224.08</v>
      </c>
      <c r="E796">
        <v>2.7664</v>
      </c>
      <c r="F796" t="s">
        <v>2942</v>
      </c>
      <c r="G796" t="s">
        <v>2962</v>
      </c>
      <c r="H796" t="s">
        <v>3741</v>
      </c>
      <c r="I796" t="s">
        <v>2985</v>
      </c>
    </row>
    <row r="797" customHeight="1" ht="14.0">
      <c r="A797" t="s">
        <v>1387</v>
      </c>
      <c r="B797" s="153">
        <v>43101.0</v>
      </c>
      <c r="C797">
        <v>107.0</v>
      </c>
      <c r="D797">
        <v>296.53</v>
      </c>
      <c r="E797">
        <v>2.7713</v>
      </c>
      <c r="F797" t="s">
        <v>2942</v>
      </c>
      <c r="G797" t="s">
        <v>2962</v>
      </c>
      <c r="H797" t="s">
        <v>3741</v>
      </c>
      <c r="I797" t="s">
        <v>2985</v>
      </c>
    </row>
    <row r="798" customHeight="1" ht="14.0">
      <c r="A798" t="s">
        <v>1388</v>
      </c>
      <c r="B798" s="153">
        <v>43103.0</v>
      </c>
      <c r="C798">
        <v>0.0</v>
      </c>
      <c r="D798">
        <v>0.0</v>
      </c>
      <c r="F798" t="s">
        <v>2942</v>
      </c>
      <c r="G798" t="s">
        <v>2943</v>
      </c>
      <c r="H798" t="s">
        <v>2963</v>
      </c>
      <c r="I798" t="s">
        <v>2985</v>
      </c>
    </row>
    <row r="799" customHeight="1" ht="14.0">
      <c r="A799" t="s">
        <v>1389</v>
      </c>
      <c r="B799" s="153">
        <v>43106.0</v>
      </c>
      <c r="C799">
        <v>39.0</v>
      </c>
      <c r="D799">
        <v>108.13</v>
      </c>
      <c r="E799">
        <v>2.7726</v>
      </c>
      <c r="F799" t="s">
        <v>2942</v>
      </c>
      <c r="G799" t="s">
        <v>2962</v>
      </c>
      <c r="H799" t="s">
        <v>3741</v>
      </c>
      <c r="I799" t="s">
        <v>2985</v>
      </c>
    </row>
    <row r="800" customHeight="1" ht="14.0">
      <c r="A800" t="s">
        <v>1390</v>
      </c>
      <c r="B800" s="153">
        <v>43105.0</v>
      </c>
      <c r="C800">
        <v>78.0</v>
      </c>
      <c r="D800">
        <v>208.17</v>
      </c>
      <c r="E800">
        <v>2.6688</v>
      </c>
      <c r="F800" t="s">
        <v>2942</v>
      </c>
      <c r="G800" t="s">
        <v>2962</v>
      </c>
      <c r="H800" t="s">
        <v>3741</v>
      </c>
      <c r="I800" t="s">
        <v>2985</v>
      </c>
    </row>
    <row r="801" customHeight="1" ht="14.0">
      <c r="A801" t="s">
        <v>1391</v>
      </c>
      <c r="B801" s="153">
        <v>43104.0</v>
      </c>
      <c r="C801">
        <v>42.0</v>
      </c>
      <c r="D801">
        <v>116.42</v>
      </c>
      <c r="E801">
        <v>2.7719</v>
      </c>
      <c r="F801" t="s">
        <v>2942</v>
      </c>
      <c r="G801" t="s">
        <v>2962</v>
      </c>
      <c r="H801" t="s">
        <v>3741</v>
      </c>
      <c r="I801" t="s">
        <v>2985</v>
      </c>
    </row>
    <row r="802" customHeight="1" ht="14.0">
      <c r="A802" t="s">
        <v>1392</v>
      </c>
      <c r="B802" s="153">
        <v>43112.0</v>
      </c>
      <c r="C802">
        <v>164.0</v>
      </c>
      <c r="D802">
        <v>449.37</v>
      </c>
      <c r="E802">
        <v>2.7401</v>
      </c>
      <c r="F802" t="s">
        <v>2942</v>
      </c>
      <c r="G802" t="s">
        <v>2962</v>
      </c>
      <c r="H802" t="s">
        <v>3741</v>
      </c>
      <c r="I802" t="s">
        <v>2985</v>
      </c>
    </row>
    <row r="803" customHeight="1" ht="14.0">
      <c r="A803" t="s">
        <v>1393</v>
      </c>
      <c r="B803" s="153">
        <v>43107.0</v>
      </c>
      <c r="C803">
        <v>105.0</v>
      </c>
      <c r="D803">
        <v>288.15</v>
      </c>
      <c r="E803">
        <v>2.7443</v>
      </c>
      <c r="F803" t="s">
        <v>2942</v>
      </c>
      <c r="G803" t="s">
        <v>2962</v>
      </c>
      <c r="H803" t="s">
        <v>3741</v>
      </c>
      <c r="I803" t="s">
        <v>2985</v>
      </c>
    </row>
    <row r="804" customHeight="1" ht="14.0">
      <c r="A804" t="s">
        <v>1394</v>
      </c>
      <c r="B804" s="153" t="s">
        <v>1395</v>
      </c>
      <c r="C804">
        <v>0.0</v>
      </c>
      <c r="D804">
        <v>0.0</v>
      </c>
      <c r="F804" t="s">
        <v>2942</v>
      </c>
      <c r="G804" t="s">
        <v>2943</v>
      </c>
      <c r="H804" t="s">
        <v>3741</v>
      </c>
      <c r="I804" t="s">
        <v>197</v>
      </c>
    </row>
    <row r="805" customHeight="1" ht="14.0">
      <c r="A805" t="s">
        <v>1396</v>
      </c>
      <c r="B805" s="153">
        <v>40701.0</v>
      </c>
      <c r="C805">
        <v>0.0</v>
      </c>
      <c r="D805">
        <v>0.0</v>
      </c>
      <c r="F805" t="s">
        <v>2942</v>
      </c>
      <c r="G805" t="s">
        <v>2962</v>
      </c>
      <c r="H805" t="s">
        <v>2963</v>
      </c>
      <c r="I805" t="s">
        <v>780</v>
      </c>
    </row>
    <row r="806" customHeight="1" ht="14.0">
      <c r="A806" t="s">
        <v>1397</v>
      </c>
      <c r="B806" s="153">
        <v>40732.0</v>
      </c>
      <c r="C806">
        <v>0.0</v>
      </c>
      <c r="D806">
        <v>0.0</v>
      </c>
      <c r="F806" t="s">
        <v>2942</v>
      </c>
      <c r="G806" t="s">
        <v>2943</v>
      </c>
      <c r="H806" t="s">
        <v>3741</v>
      </c>
      <c r="I806" t="s">
        <v>780</v>
      </c>
    </row>
    <row r="807" customHeight="1" ht="14.0">
      <c r="A807" t="s">
        <v>1398</v>
      </c>
      <c r="B807" s="153">
        <v>40702.0</v>
      </c>
      <c r="C807">
        <v>0.0</v>
      </c>
      <c r="D807">
        <v>0.0</v>
      </c>
      <c r="F807" t="s">
        <v>2942</v>
      </c>
      <c r="G807" t="s">
        <v>2962</v>
      </c>
      <c r="H807" t="s">
        <v>2963</v>
      </c>
      <c r="I807" t="s">
        <v>780</v>
      </c>
    </row>
    <row r="808" customHeight="1" ht="14.0">
      <c r="A808" t="s">
        <v>1399</v>
      </c>
      <c r="B808" s="153">
        <v>40734.0</v>
      </c>
      <c r="C808">
        <v>0.0</v>
      </c>
      <c r="D808">
        <v>0.0</v>
      </c>
      <c r="F808" t="s">
        <v>2942</v>
      </c>
      <c r="G808" t="s">
        <v>2943</v>
      </c>
      <c r="H808" t="s">
        <v>3741</v>
      </c>
      <c r="I808" t="s">
        <v>780</v>
      </c>
    </row>
    <row r="809" customHeight="1" ht="14.0">
      <c r="A809" t="s">
        <v>1400</v>
      </c>
      <c r="B809" s="153">
        <v>40735.0</v>
      </c>
      <c r="C809">
        <v>0.0</v>
      </c>
      <c r="D809">
        <v>0.0</v>
      </c>
      <c r="F809" t="s">
        <v>2942</v>
      </c>
      <c r="G809" t="s">
        <v>2943</v>
      </c>
      <c r="H809" t="s">
        <v>2963</v>
      </c>
      <c r="I809" t="s">
        <v>780</v>
      </c>
    </row>
    <row r="810" customHeight="1" ht="14.0">
      <c r="A810" t="s">
        <v>3749</v>
      </c>
      <c r="B810" s="153">
        <v>40706.0</v>
      </c>
      <c r="C810">
        <v>0.0</v>
      </c>
      <c r="D810">
        <v>0.0</v>
      </c>
      <c r="F810" t="s">
        <v>2942</v>
      </c>
      <c r="G810" t="s">
        <v>2943</v>
      </c>
      <c r="H810" t="s">
        <v>2944</v>
      </c>
      <c r="I810" t="s">
        <v>780</v>
      </c>
    </row>
    <row r="811" customHeight="1" ht="14.0">
      <c r="A811" t="s">
        <v>3750</v>
      </c>
      <c r="B811" s="153">
        <v>40708.0</v>
      </c>
      <c r="C811">
        <v>0.0</v>
      </c>
      <c r="D811">
        <v>0.0</v>
      </c>
      <c r="F811" t="s">
        <v>2942</v>
      </c>
      <c r="G811" t="s">
        <v>2943</v>
      </c>
      <c r="H811" t="s">
        <v>2944</v>
      </c>
      <c r="I811" t="s">
        <v>780</v>
      </c>
    </row>
    <row r="812" customHeight="1" ht="14.0">
      <c r="A812" t="s">
        <v>1401</v>
      </c>
      <c r="B812" s="153">
        <v>40746.0</v>
      </c>
      <c r="C812">
        <v>0.0</v>
      </c>
      <c r="D812">
        <v>0.0</v>
      </c>
      <c r="F812" t="s">
        <v>2942</v>
      </c>
      <c r="G812" t="s">
        <v>2943</v>
      </c>
      <c r="H812" t="s">
        <v>2963</v>
      </c>
      <c r="I812" t="s">
        <v>780</v>
      </c>
    </row>
    <row r="813" customHeight="1" ht="14.0">
      <c r="A813" t="s">
        <v>1402</v>
      </c>
      <c r="B813" s="153">
        <v>40703.0</v>
      </c>
      <c r="C813">
        <v>0.0</v>
      </c>
      <c r="D813">
        <v>0.0</v>
      </c>
      <c r="F813" t="s">
        <v>2942</v>
      </c>
      <c r="G813" t="s">
        <v>2943</v>
      </c>
      <c r="H813" t="s">
        <v>2963</v>
      </c>
      <c r="I813" t="s">
        <v>780</v>
      </c>
    </row>
    <row r="814" customHeight="1" ht="14.0">
      <c r="A814" t="s">
        <v>1403</v>
      </c>
      <c r="B814" s="153">
        <v>40704.0</v>
      </c>
      <c r="C814">
        <v>0.0</v>
      </c>
      <c r="D814">
        <v>0.0</v>
      </c>
      <c r="F814" t="s">
        <v>2942</v>
      </c>
      <c r="G814" t="s">
        <v>2943</v>
      </c>
      <c r="H814" t="s">
        <v>2963</v>
      </c>
      <c r="I814" t="s">
        <v>780</v>
      </c>
    </row>
    <row r="815" customHeight="1" ht="14.0">
      <c r="A815" t="s">
        <v>3751</v>
      </c>
      <c r="B815" s="153">
        <v>40707.0</v>
      </c>
      <c r="C815">
        <v>0.0</v>
      </c>
      <c r="D815">
        <v>0.0</v>
      </c>
      <c r="F815" t="s">
        <v>2942</v>
      </c>
      <c r="G815" t="s">
        <v>2943</v>
      </c>
      <c r="H815" t="s">
        <v>2944</v>
      </c>
      <c r="I815" t="s">
        <v>780</v>
      </c>
    </row>
    <row r="816" customHeight="1" ht="14.0">
      <c r="A816" t="s">
        <v>1404</v>
      </c>
      <c r="B816" s="153">
        <v>40705.0</v>
      </c>
      <c r="C816">
        <v>0.0</v>
      </c>
      <c r="D816">
        <v>0.0</v>
      </c>
      <c r="F816" t="s">
        <v>2942</v>
      </c>
      <c r="G816" t="s">
        <v>2943</v>
      </c>
      <c r="H816" t="s">
        <v>2963</v>
      </c>
      <c r="I816" t="s">
        <v>780</v>
      </c>
    </row>
    <row r="817" customHeight="1" ht="14.0">
      <c r="A817" t="s">
        <v>1405</v>
      </c>
      <c r="B817" s="153" t="s">
        <v>1406</v>
      </c>
      <c r="C817">
        <v>0.0</v>
      </c>
      <c r="D817">
        <v>0.0</v>
      </c>
      <c r="F817" t="s">
        <v>2942</v>
      </c>
      <c r="G817" t="s">
        <v>2943</v>
      </c>
      <c r="H817" t="s">
        <v>2963</v>
      </c>
      <c r="I817" t="s">
        <v>780</v>
      </c>
    </row>
    <row r="818" customHeight="1" ht="14.0">
      <c r="A818" t="s">
        <v>1407</v>
      </c>
      <c r="B818" s="153" t="s">
        <v>1408</v>
      </c>
      <c r="C818">
        <v>0.0</v>
      </c>
      <c r="D818">
        <v>0.0</v>
      </c>
      <c r="F818" t="s">
        <v>2994</v>
      </c>
      <c r="G818" t="s">
        <v>2943</v>
      </c>
      <c r="H818" t="s">
        <v>2963</v>
      </c>
      <c r="I818" t="s">
        <v>780</v>
      </c>
    </row>
    <row r="819" customHeight="1" ht="14.0">
      <c r="A819" t="s">
        <v>1409</v>
      </c>
      <c r="B819" s="153">
        <v>43190.0</v>
      </c>
      <c r="C819">
        <v>0.0</v>
      </c>
      <c r="D819">
        <v>0.0</v>
      </c>
      <c r="F819" t="s">
        <v>2942</v>
      </c>
      <c r="G819" t="s">
        <v>2962</v>
      </c>
      <c r="H819" t="s">
        <v>3741</v>
      </c>
      <c r="I819" t="s">
        <v>2985</v>
      </c>
    </row>
    <row r="820" customHeight="1" ht="14.0">
      <c r="A820" t="s">
        <v>3752</v>
      </c>
      <c r="B820" s="153" t="s">
        <v>1411</v>
      </c>
      <c r="C820">
        <v>2.0</v>
      </c>
      <c r="D820">
        <v>177.97</v>
      </c>
      <c r="E820">
        <v>88.985</v>
      </c>
      <c r="F820" t="s">
        <v>2942</v>
      </c>
      <c r="G820" t="s">
        <v>2962</v>
      </c>
      <c r="H820" t="s">
        <v>3741</v>
      </c>
      <c r="I820" t="s">
        <v>2985</v>
      </c>
    </row>
    <row r="821" customHeight="1" ht="14.0">
      <c r="A821" t="s">
        <v>1412</v>
      </c>
      <c r="B821" s="153">
        <v>53822.0</v>
      </c>
      <c r="C821">
        <v>0.0</v>
      </c>
      <c r="D821">
        <v>0.0</v>
      </c>
      <c r="F821" t="s">
        <v>2942</v>
      </c>
      <c r="G821" t="s">
        <v>2943</v>
      </c>
      <c r="H821" t="s">
        <v>2963</v>
      </c>
      <c r="I821" t="s">
        <v>3753</v>
      </c>
    </row>
    <row r="822" customHeight="1" ht="14.0">
      <c r="A822" t="s">
        <v>1413</v>
      </c>
      <c r="B822" s="153">
        <v>53833.0</v>
      </c>
      <c r="C822">
        <v>21.0</v>
      </c>
      <c r="D822">
        <v>163.71</v>
      </c>
      <c r="E822">
        <v>7.7957</v>
      </c>
      <c r="F822" t="s">
        <v>2942</v>
      </c>
      <c r="G822" t="s">
        <v>2962</v>
      </c>
      <c r="H822" t="s">
        <v>2963</v>
      </c>
      <c r="I822" t="s">
        <v>3753</v>
      </c>
    </row>
    <row r="823" customHeight="1" ht="14.0">
      <c r="A823" t="s">
        <v>1414</v>
      </c>
      <c r="B823" s="153">
        <v>53834.0</v>
      </c>
      <c r="C823">
        <v>71.0</v>
      </c>
      <c r="D823">
        <v>553.39</v>
      </c>
      <c r="E823">
        <v>7.7942</v>
      </c>
      <c r="F823" t="s">
        <v>2942</v>
      </c>
      <c r="G823" t="s">
        <v>2962</v>
      </c>
      <c r="H823" t="s">
        <v>2963</v>
      </c>
      <c r="I823" t="s">
        <v>3753</v>
      </c>
    </row>
    <row r="824" customHeight="1" ht="14.0">
      <c r="A824" t="s">
        <v>1415</v>
      </c>
      <c r="B824" s="153">
        <v>53845.0</v>
      </c>
      <c r="C824">
        <v>87.0</v>
      </c>
      <c r="D824">
        <v>678.08</v>
      </c>
      <c r="E824">
        <v>7.794</v>
      </c>
      <c r="F824" t="s">
        <v>2942</v>
      </c>
      <c r="G824" t="s">
        <v>2962</v>
      </c>
      <c r="H824" t="s">
        <v>2963</v>
      </c>
      <c r="I824" t="s">
        <v>3753</v>
      </c>
    </row>
    <row r="825" customHeight="1" ht="14.0">
      <c r="A825" t="s">
        <v>1416</v>
      </c>
      <c r="B825" s="153">
        <v>53852.0</v>
      </c>
      <c r="C825">
        <v>6.0</v>
      </c>
      <c r="D825">
        <v>46.77</v>
      </c>
      <c r="E825">
        <v>7.795</v>
      </c>
      <c r="F825" t="s">
        <v>2942</v>
      </c>
      <c r="G825" t="s">
        <v>2962</v>
      </c>
      <c r="H825" t="s">
        <v>2963</v>
      </c>
      <c r="I825" t="s">
        <v>3753</v>
      </c>
    </row>
    <row r="826" customHeight="1" ht="14.0">
      <c r="A826" t="s">
        <v>1417</v>
      </c>
      <c r="B826" s="153" t="s">
        <v>1418</v>
      </c>
      <c r="C826">
        <v>1.0</v>
      </c>
      <c r="D826">
        <v>94.23</v>
      </c>
      <c r="E826">
        <v>94.23</v>
      </c>
      <c r="F826" t="s">
        <v>2994</v>
      </c>
      <c r="G826" t="s">
        <v>2962</v>
      </c>
      <c r="H826" t="s">
        <v>2963</v>
      </c>
      <c r="I826" t="s">
        <v>780</v>
      </c>
    </row>
    <row r="827" customHeight="1" ht="14.0">
      <c r="A827" t="s">
        <v>1419</v>
      </c>
      <c r="B827" s="153">
        <v>40501.0</v>
      </c>
      <c r="C827">
        <v>0.0</v>
      </c>
      <c r="D827">
        <v>0.0</v>
      </c>
      <c r="F827" t="s">
        <v>2942</v>
      </c>
      <c r="G827" t="s">
        <v>2962</v>
      </c>
      <c r="H827" t="s">
        <v>3741</v>
      </c>
      <c r="I827" t="s">
        <v>3754</v>
      </c>
    </row>
    <row r="828" customHeight="1" ht="14.0">
      <c r="A828" t="s">
        <v>1420</v>
      </c>
      <c r="B828" s="153">
        <v>40502.0</v>
      </c>
      <c r="C828">
        <v>0.0</v>
      </c>
      <c r="D828">
        <v>0.0</v>
      </c>
      <c r="F828" t="s">
        <v>2942</v>
      </c>
      <c r="G828" t="s">
        <v>2962</v>
      </c>
      <c r="H828" t="s">
        <v>3741</v>
      </c>
      <c r="I828" t="s">
        <v>3754</v>
      </c>
    </row>
    <row r="829" customHeight="1" ht="14.0">
      <c r="A829" t="s">
        <v>1421</v>
      </c>
      <c r="B829" s="153">
        <v>40533.0</v>
      </c>
      <c r="C829">
        <v>19.0</v>
      </c>
      <c r="D829">
        <v>100.31</v>
      </c>
      <c r="E829">
        <v>5.2795</v>
      </c>
      <c r="F829" t="s">
        <v>2942</v>
      </c>
      <c r="G829" t="s">
        <v>2962</v>
      </c>
      <c r="H829" t="s">
        <v>3741</v>
      </c>
      <c r="I829" t="s">
        <v>3754</v>
      </c>
    </row>
    <row r="830" customHeight="1" ht="14.0">
      <c r="A830" t="s">
        <v>1422</v>
      </c>
      <c r="B830" s="153">
        <v>40534.0</v>
      </c>
      <c r="C830">
        <v>3.0</v>
      </c>
      <c r="D830">
        <v>15.86</v>
      </c>
      <c r="E830">
        <v>5.2867</v>
      </c>
      <c r="F830" t="s">
        <v>2942</v>
      </c>
      <c r="G830" t="s">
        <v>2962</v>
      </c>
      <c r="H830" t="s">
        <v>3741</v>
      </c>
      <c r="I830" t="s">
        <v>3754</v>
      </c>
    </row>
    <row r="831" customHeight="1" ht="14.0">
      <c r="A831" t="s">
        <v>1423</v>
      </c>
      <c r="B831" s="153">
        <v>40523.0</v>
      </c>
      <c r="C831">
        <v>0.0</v>
      </c>
      <c r="D831">
        <v>0.0</v>
      </c>
      <c r="F831" t="s">
        <v>2942</v>
      </c>
      <c r="G831" t="s">
        <v>2962</v>
      </c>
      <c r="H831" t="s">
        <v>3741</v>
      </c>
      <c r="I831" t="s">
        <v>3754</v>
      </c>
    </row>
    <row r="832" customHeight="1" ht="14.0">
      <c r="A832" t="s">
        <v>1424</v>
      </c>
      <c r="B832" s="153">
        <v>40504.0</v>
      </c>
      <c r="C832">
        <v>0.0</v>
      </c>
      <c r="D832">
        <v>0.0</v>
      </c>
      <c r="F832" t="s">
        <v>2942</v>
      </c>
      <c r="G832" t="s">
        <v>2943</v>
      </c>
      <c r="H832" t="s">
        <v>2963</v>
      </c>
      <c r="I832" t="s">
        <v>3754</v>
      </c>
    </row>
    <row r="833" customHeight="1" ht="14.0">
      <c r="A833" t="s">
        <v>1425</v>
      </c>
      <c r="B833" s="153">
        <v>40503.0</v>
      </c>
      <c r="C833">
        <v>0.0</v>
      </c>
      <c r="D833">
        <v>0.0</v>
      </c>
      <c r="F833" t="s">
        <v>2942</v>
      </c>
      <c r="G833" t="s">
        <v>2943</v>
      </c>
      <c r="H833" t="s">
        <v>2963</v>
      </c>
      <c r="I833" t="s">
        <v>3754</v>
      </c>
    </row>
    <row r="834" customHeight="1" ht="14.0">
      <c r="A834" t="s">
        <v>1426</v>
      </c>
      <c r="B834" s="153" t="s">
        <v>1427</v>
      </c>
      <c r="C834">
        <v>0.0</v>
      </c>
      <c r="D834">
        <v>0.0</v>
      </c>
      <c r="F834" t="s">
        <v>2942</v>
      </c>
      <c r="G834" t="s">
        <v>2943</v>
      </c>
      <c r="H834" t="s">
        <v>3741</v>
      </c>
      <c r="I834" t="s">
        <v>3754</v>
      </c>
    </row>
    <row r="835" customHeight="1" ht="14.0">
      <c r="A835" t="s">
        <v>1428</v>
      </c>
      <c r="B835" s="153" t="s">
        <v>1429</v>
      </c>
      <c r="C835">
        <v>2.0</v>
      </c>
      <c r="D835">
        <v>158.33</v>
      </c>
      <c r="E835">
        <v>79.165</v>
      </c>
      <c r="F835" t="s">
        <v>2942</v>
      </c>
      <c r="G835" t="s">
        <v>2962</v>
      </c>
      <c r="H835" t="s">
        <v>3741</v>
      </c>
      <c r="I835" t="s">
        <v>3754</v>
      </c>
    </row>
    <row r="836" customHeight="1" ht="14.0">
      <c r="A836" t="s">
        <v>1430</v>
      </c>
      <c r="B836" s="153">
        <v>43010.0</v>
      </c>
      <c r="C836">
        <v>0.0</v>
      </c>
      <c r="D836">
        <v>0.0</v>
      </c>
      <c r="F836" t="s">
        <v>2942</v>
      </c>
      <c r="G836" t="s">
        <v>2962</v>
      </c>
      <c r="H836" t="s">
        <v>2963</v>
      </c>
      <c r="I836" t="s">
        <v>453</v>
      </c>
    </row>
    <row r="837" customHeight="1" ht="14.0">
      <c r="A837" t="s">
        <v>3755</v>
      </c>
      <c r="B837" s="153">
        <v>43032.0</v>
      </c>
      <c r="C837">
        <v>130.0</v>
      </c>
      <c r="D837">
        <v>575.67</v>
      </c>
      <c r="E837">
        <v>4.4282</v>
      </c>
      <c r="F837" t="s">
        <v>2942</v>
      </c>
      <c r="G837" t="s">
        <v>2962</v>
      </c>
      <c r="H837" t="s">
        <v>2963</v>
      </c>
      <c r="I837" t="s">
        <v>453</v>
      </c>
    </row>
    <row r="838" customHeight="1" ht="14.0">
      <c r="A838" t="s">
        <v>1431</v>
      </c>
      <c r="B838" s="153">
        <v>43011.0</v>
      </c>
      <c r="C838">
        <v>0.0</v>
      </c>
      <c r="D838">
        <v>0.0</v>
      </c>
      <c r="F838" t="s">
        <v>2942</v>
      </c>
      <c r="G838" t="s">
        <v>2943</v>
      </c>
      <c r="H838" t="s">
        <v>2963</v>
      </c>
      <c r="I838" t="s">
        <v>453</v>
      </c>
    </row>
    <row r="839" customHeight="1" ht="14.0">
      <c r="A839" t="s">
        <v>3756</v>
      </c>
      <c r="B839" s="153">
        <v>43033.0</v>
      </c>
      <c r="C839">
        <v>136.0</v>
      </c>
      <c r="D839">
        <v>606.6</v>
      </c>
      <c r="E839">
        <v>4.4603</v>
      </c>
      <c r="F839" t="s">
        <v>2942</v>
      </c>
      <c r="G839" t="s">
        <v>2962</v>
      </c>
      <c r="H839" t="s">
        <v>2963</v>
      </c>
      <c r="I839" t="s">
        <v>453</v>
      </c>
    </row>
    <row r="840" customHeight="1" ht="14.0">
      <c r="A840" t="s">
        <v>3757</v>
      </c>
      <c r="B840" s="153">
        <v>43034.0</v>
      </c>
      <c r="C840">
        <v>148.0</v>
      </c>
      <c r="D840">
        <v>668.43</v>
      </c>
      <c r="E840">
        <v>4.5164</v>
      </c>
      <c r="F840" t="s">
        <v>2942</v>
      </c>
      <c r="G840" t="s">
        <v>2962</v>
      </c>
      <c r="H840" t="s">
        <v>2963</v>
      </c>
      <c r="I840" t="s">
        <v>453</v>
      </c>
    </row>
    <row r="841" customHeight="1" ht="14.0">
      <c r="A841" t="s">
        <v>1432</v>
      </c>
      <c r="B841" s="153">
        <v>43008.0</v>
      </c>
      <c r="C841">
        <v>0.0</v>
      </c>
      <c r="D841">
        <v>0.0</v>
      </c>
      <c r="F841" t="s">
        <v>2942</v>
      </c>
      <c r="G841" t="s">
        <v>2943</v>
      </c>
      <c r="H841" t="s">
        <v>2963</v>
      </c>
      <c r="I841" t="s">
        <v>453</v>
      </c>
    </row>
    <row r="842" customHeight="1" ht="14.0">
      <c r="A842" t="s">
        <v>1433</v>
      </c>
      <c r="B842" s="153">
        <v>43001.0</v>
      </c>
      <c r="C842">
        <v>1.0</v>
      </c>
      <c r="D842">
        <v>4.04</v>
      </c>
      <c r="E842">
        <v>4.04</v>
      </c>
      <c r="F842" t="s">
        <v>2942</v>
      </c>
      <c r="G842" t="s">
        <v>2962</v>
      </c>
      <c r="H842" t="s">
        <v>2963</v>
      </c>
      <c r="I842" t="s">
        <v>453</v>
      </c>
    </row>
    <row r="843" customHeight="1" ht="14.0">
      <c r="A843" t="s">
        <v>1434</v>
      </c>
      <c r="B843" s="153">
        <v>43003.0</v>
      </c>
      <c r="C843">
        <v>146.0</v>
      </c>
      <c r="D843">
        <v>493.47</v>
      </c>
      <c r="E843">
        <v>3.3799</v>
      </c>
      <c r="F843" t="s">
        <v>2942</v>
      </c>
      <c r="G843" t="s">
        <v>2962</v>
      </c>
      <c r="H843" t="s">
        <v>2963</v>
      </c>
      <c r="I843" t="s">
        <v>453</v>
      </c>
    </row>
    <row r="844" customHeight="1" ht="14.0">
      <c r="A844" t="s">
        <v>1435</v>
      </c>
      <c r="B844" s="153">
        <v>43006.0</v>
      </c>
      <c r="C844">
        <v>0.0</v>
      </c>
      <c r="D844">
        <v>0.0</v>
      </c>
      <c r="F844" t="s">
        <v>2942</v>
      </c>
      <c r="G844" t="s">
        <v>2943</v>
      </c>
      <c r="H844" t="s">
        <v>2963</v>
      </c>
      <c r="I844" t="s">
        <v>453</v>
      </c>
    </row>
    <row r="845" customHeight="1" ht="14.0">
      <c r="A845" t="s">
        <v>1436</v>
      </c>
      <c r="B845" s="153">
        <v>43004.0</v>
      </c>
      <c r="C845">
        <v>148.0</v>
      </c>
      <c r="D845">
        <v>500.21</v>
      </c>
      <c r="E845">
        <v>3.3798</v>
      </c>
      <c r="F845" t="s">
        <v>2942</v>
      </c>
      <c r="G845" t="s">
        <v>2962</v>
      </c>
      <c r="H845" t="s">
        <v>2963</v>
      </c>
      <c r="I845" t="s">
        <v>453</v>
      </c>
    </row>
    <row r="846" customHeight="1" ht="14.0">
      <c r="A846" t="s">
        <v>1437</v>
      </c>
      <c r="B846" s="153">
        <v>43012.0</v>
      </c>
      <c r="C846">
        <v>39.0</v>
      </c>
      <c r="D846">
        <v>131.71</v>
      </c>
      <c r="E846">
        <v>3.3772</v>
      </c>
      <c r="F846" t="s">
        <v>2942</v>
      </c>
      <c r="G846" t="s">
        <v>2962</v>
      </c>
      <c r="H846" t="s">
        <v>2963</v>
      </c>
      <c r="I846" t="s">
        <v>453</v>
      </c>
    </row>
    <row r="847" customHeight="1" ht="14.0">
      <c r="A847" t="s">
        <v>1438</v>
      </c>
      <c r="B847" s="153" t="s">
        <v>1439</v>
      </c>
      <c r="C847">
        <v>0.0</v>
      </c>
      <c r="D847">
        <v>0.0</v>
      </c>
      <c r="F847" t="s">
        <v>2942</v>
      </c>
      <c r="G847" t="s">
        <v>2962</v>
      </c>
      <c r="H847" t="s">
        <v>2963</v>
      </c>
      <c r="I847" t="s">
        <v>453</v>
      </c>
    </row>
    <row r="848" customHeight="1" ht="14.0">
      <c r="A848" t="s">
        <v>1440</v>
      </c>
      <c r="B848" s="153" t="s">
        <v>1441</v>
      </c>
      <c r="C848">
        <v>1.0</v>
      </c>
      <c r="D848">
        <v>51.21</v>
      </c>
      <c r="E848">
        <v>51.21</v>
      </c>
      <c r="F848" t="s">
        <v>2994</v>
      </c>
      <c r="G848" t="s">
        <v>2962</v>
      </c>
      <c r="H848" t="s">
        <v>2963</v>
      </c>
      <c r="I848" t="s">
        <v>453</v>
      </c>
    </row>
    <row r="849" customHeight="1" ht="14.0">
      <c r="A849" t="s">
        <v>3758</v>
      </c>
      <c r="B849" s="153">
        <v>992412.0</v>
      </c>
      <c r="C849">
        <v>40.0</v>
      </c>
      <c r="D849">
        <v>0.0</v>
      </c>
      <c r="E849">
        <v>0.0</v>
      </c>
      <c r="F849" t="s">
        <v>2942</v>
      </c>
      <c r="G849" t="s">
        <v>2943</v>
      </c>
      <c r="H849" t="s">
        <v>3741</v>
      </c>
      <c r="I849" t="s">
        <v>197</v>
      </c>
    </row>
    <row r="850" customHeight="1" ht="14.0">
      <c r="A850" t="s">
        <v>3759</v>
      </c>
      <c r="B850" s="153">
        <v>992401.0</v>
      </c>
      <c r="C850">
        <v>160.0</v>
      </c>
      <c r="D850">
        <v>0.0</v>
      </c>
      <c r="E850">
        <v>0.0</v>
      </c>
      <c r="F850" t="s">
        <v>2942</v>
      </c>
      <c r="G850" t="s">
        <v>2943</v>
      </c>
      <c r="H850" t="s">
        <v>3741</v>
      </c>
      <c r="I850" t="s">
        <v>197</v>
      </c>
    </row>
    <row r="851" customHeight="1" ht="14.0">
      <c r="A851" t="s">
        <v>1442</v>
      </c>
      <c r="B851" s="153">
        <v>41101.0</v>
      </c>
      <c r="C851">
        <v>0.0</v>
      </c>
      <c r="D851">
        <v>0.0</v>
      </c>
      <c r="F851" t="s">
        <v>2942</v>
      </c>
      <c r="G851" t="s">
        <v>2943</v>
      </c>
      <c r="H851" t="s">
        <v>2963</v>
      </c>
      <c r="I851" t="s">
        <v>3760</v>
      </c>
    </row>
    <row r="852" customHeight="1" ht="14.0">
      <c r="A852" t="s">
        <v>1443</v>
      </c>
      <c r="B852" s="153">
        <v>41103.0</v>
      </c>
      <c r="C852">
        <v>99.0</v>
      </c>
      <c r="D852">
        <v>347.92</v>
      </c>
      <c r="E852">
        <v>3.5143</v>
      </c>
      <c r="F852" t="s">
        <v>2942</v>
      </c>
      <c r="G852" t="s">
        <v>2962</v>
      </c>
      <c r="H852" t="s">
        <v>2963</v>
      </c>
      <c r="I852" t="s">
        <v>3760</v>
      </c>
    </row>
    <row r="853" customHeight="1" ht="14.0">
      <c r="A853" t="s">
        <v>1444</v>
      </c>
      <c r="B853" s="153">
        <v>41102.0</v>
      </c>
      <c r="C853">
        <v>60.0</v>
      </c>
      <c r="D853">
        <v>210.77</v>
      </c>
      <c r="E853">
        <v>3.5128</v>
      </c>
      <c r="F853" t="s">
        <v>2942</v>
      </c>
      <c r="G853" t="s">
        <v>2962</v>
      </c>
      <c r="H853" t="s">
        <v>2963</v>
      </c>
      <c r="I853" t="s">
        <v>3760</v>
      </c>
    </row>
    <row r="854" customHeight="1" ht="14.0">
      <c r="A854" t="s">
        <v>1445</v>
      </c>
      <c r="B854" s="153">
        <v>41104.0</v>
      </c>
      <c r="C854">
        <v>0.0</v>
      </c>
      <c r="D854">
        <v>0.0</v>
      </c>
      <c r="F854" t="s">
        <v>2942</v>
      </c>
      <c r="G854" t="s">
        <v>2943</v>
      </c>
      <c r="H854" t="s">
        <v>2963</v>
      </c>
      <c r="I854" t="s">
        <v>3760</v>
      </c>
    </row>
    <row r="855" customHeight="1" ht="14.0">
      <c r="A855" t="s">
        <v>1446</v>
      </c>
      <c r="B855" s="153" t="s">
        <v>1447</v>
      </c>
      <c r="C855">
        <v>48.0</v>
      </c>
      <c r="D855">
        <v>0.0</v>
      </c>
      <c r="E855">
        <v>0.0</v>
      </c>
      <c r="F855" t="s">
        <v>2942</v>
      </c>
      <c r="G855" t="s">
        <v>2962</v>
      </c>
      <c r="H855" t="s">
        <v>2963</v>
      </c>
      <c r="I855" t="s">
        <v>3760</v>
      </c>
    </row>
    <row r="856" customHeight="1" ht="14.0">
      <c r="A856" t="s">
        <v>3761</v>
      </c>
      <c r="B856" s="153" t="s">
        <v>1449</v>
      </c>
      <c r="C856">
        <v>0.0</v>
      </c>
      <c r="D856">
        <v>0.0</v>
      </c>
      <c r="F856" t="s">
        <v>2942</v>
      </c>
      <c r="G856" t="s">
        <v>2962</v>
      </c>
      <c r="H856" t="s">
        <v>2963</v>
      </c>
      <c r="I856" t="s">
        <v>3760</v>
      </c>
    </row>
    <row r="857" customHeight="1" ht="14.0">
      <c r="A857" t="s">
        <v>1450</v>
      </c>
      <c r="B857" s="153">
        <v>41001.0</v>
      </c>
      <c r="C857">
        <v>24.0</v>
      </c>
      <c r="D857">
        <v>395.86</v>
      </c>
      <c r="E857">
        <v>16.4942</v>
      </c>
      <c r="F857" t="s">
        <v>2942</v>
      </c>
      <c r="G857" t="s">
        <v>2962</v>
      </c>
      <c r="H857" t="s">
        <v>3741</v>
      </c>
      <c r="I857" t="s">
        <v>3762</v>
      </c>
    </row>
    <row r="858" customHeight="1" ht="14.0">
      <c r="A858" t="s">
        <v>1451</v>
      </c>
      <c r="B858" s="153">
        <v>41002.0</v>
      </c>
      <c r="C858">
        <v>5.0</v>
      </c>
      <c r="D858">
        <v>82.47</v>
      </c>
      <c r="E858">
        <v>16.494</v>
      </c>
      <c r="F858" t="s">
        <v>2942</v>
      </c>
      <c r="G858" t="s">
        <v>2962</v>
      </c>
      <c r="H858" t="s">
        <v>3741</v>
      </c>
      <c r="I858" t="s">
        <v>3762</v>
      </c>
    </row>
    <row r="859" customHeight="1" ht="14.0">
      <c r="A859" t="s">
        <v>1452</v>
      </c>
      <c r="B859" s="153">
        <v>41005.0</v>
      </c>
      <c r="C859">
        <v>0.0</v>
      </c>
      <c r="D859">
        <v>0.0</v>
      </c>
      <c r="F859" t="s">
        <v>2942</v>
      </c>
      <c r="G859" t="s">
        <v>2943</v>
      </c>
      <c r="H859" t="s">
        <v>2963</v>
      </c>
      <c r="I859" t="s">
        <v>3762</v>
      </c>
    </row>
    <row r="860" customHeight="1" ht="14.0">
      <c r="A860" t="s">
        <v>1453</v>
      </c>
      <c r="B860" s="153">
        <v>41034.0</v>
      </c>
      <c r="C860">
        <v>53.0</v>
      </c>
      <c r="D860">
        <v>688.31</v>
      </c>
      <c r="E860">
        <v>12.987</v>
      </c>
      <c r="F860" t="s">
        <v>2942</v>
      </c>
      <c r="G860" t="s">
        <v>2962</v>
      </c>
      <c r="H860" t="s">
        <v>2963</v>
      </c>
      <c r="I860" t="s">
        <v>3762</v>
      </c>
    </row>
    <row r="861" customHeight="1" ht="14.0">
      <c r="A861" t="s">
        <v>1454</v>
      </c>
      <c r="B861" s="153">
        <v>41023.0</v>
      </c>
      <c r="C861">
        <v>8.0</v>
      </c>
      <c r="D861">
        <v>145.67</v>
      </c>
      <c r="E861">
        <v>18.2088</v>
      </c>
      <c r="F861" t="s">
        <v>2942</v>
      </c>
      <c r="G861" t="s">
        <v>2962</v>
      </c>
      <c r="H861" t="s">
        <v>2963</v>
      </c>
      <c r="I861" t="s">
        <v>3762</v>
      </c>
    </row>
    <row r="862" customHeight="1" ht="14.0">
      <c r="A862" t="s">
        <v>1455</v>
      </c>
      <c r="B862" s="153">
        <v>41004.0</v>
      </c>
      <c r="C862">
        <v>0.0</v>
      </c>
      <c r="D862">
        <v>0.0</v>
      </c>
      <c r="F862" t="s">
        <v>2942</v>
      </c>
      <c r="G862" t="s">
        <v>2943</v>
      </c>
      <c r="H862" t="s">
        <v>2963</v>
      </c>
      <c r="I862" t="s">
        <v>3762</v>
      </c>
    </row>
    <row r="863" customHeight="1" ht="14.0">
      <c r="A863" t="s">
        <v>1456</v>
      </c>
      <c r="B863" s="153">
        <v>41003.0</v>
      </c>
      <c r="C863">
        <v>0.0</v>
      </c>
      <c r="D863">
        <v>0.0</v>
      </c>
      <c r="F863" t="s">
        <v>2942</v>
      </c>
      <c r="G863" t="s">
        <v>2943</v>
      </c>
      <c r="H863" t="s">
        <v>2963</v>
      </c>
      <c r="I863" t="s">
        <v>3762</v>
      </c>
    </row>
    <row r="864" customHeight="1" ht="14.0">
      <c r="A864" t="s">
        <v>1457</v>
      </c>
      <c r="B864" s="153" t="s">
        <v>1458</v>
      </c>
      <c r="C864">
        <v>0.0</v>
      </c>
      <c r="D864">
        <v>0.0</v>
      </c>
      <c r="F864" t="s">
        <v>2942</v>
      </c>
      <c r="G864" t="s">
        <v>2943</v>
      </c>
      <c r="H864" t="s">
        <v>2963</v>
      </c>
      <c r="I864" t="s">
        <v>401</v>
      </c>
    </row>
    <row r="865" customHeight="1" ht="14.0">
      <c r="A865" t="s">
        <v>3763</v>
      </c>
      <c r="B865" s="153" t="s">
        <v>3764</v>
      </c>
      <c r="C865">
        <v>21.0</v>
      </c>
      <c r="D865">
        <v>0.18</v>
      </c>
      <c r="E865">
        <v>0.0086</v>
      </c>
      <c r="F865" t="s">
        <v>2942</v>
      </c>
      <c r="G865" t="s">
        <v>2943</v>
      </c>
      <c r="H865" t="s">
        <v>2963</v>
      </c>
      <c r="I865" t="s">
        <v>197</v>
      </c>
    </row>
    <row r="866" customHeight="1" ht="14.0">
      <c r="A866" t="s">
        <v>1459</v>
      </c>
      <c r="B866" s="153" t="s">
        <v>1460</v>
      </c>
      <c r="C866">
        <v>0.0</v>
      </c>
      <c r="D866">
        <v>0.0</v>
      </c>
      <c r="F866" t="s">
        <v>2994</v>
      </c>
      <c r="G866" t="s">
        <v>2962</v>
      </c>
      <c r="H866" t="s">
        <v>2963</v>
      </c>
      <c r="I866" t="s">
        <v>83</v>
      </c>
    </row>
    <row r="867" customHeight="1" ht="14.0">
      <c r="A867" t="s">
        <v>1461</v>
      </c>
      <c r="B867" s="153" t="s">
        <v>1462</v>
      </c>
      <c r="C867">
        <v>0.0</v>
      </c>
      <c r="D867">
        <v>0.0</v>
      </c>
      <c r="F867" t="s">
        <v>2942</v>
      </c>
      <c r="G867" t="s">
        <v>2962</v>
      </c>
      <c r="H867" t="s">
        <v>3161</v>
      </c>
      <c r="I867" t="s">
        <v>83</v>
      </c>
    </row>
    <row r="868" customHeight="1" ht="14.0">
      <c r="A868" t="s">
        <v>1463</v>
      </c>
      <c r="B868" s="153" t="s">
        <v>1464</v>
      </c>
      <c r="C868">
        <v>29.0</v>
      </c>
      <c r="D868">
        <v>674.25</v>
      </c>
      <c r="E868">
        <v>23.25</v>
      </c>
      <c r="F868" t="s">
        <v>2942</v>
      </c>
      <c r="G868" t="s">
        <v>2962</v>
      </c>
      <c r="H868" t="s">
        <v>3161</v>
      </c>
      <c r="I868" t="s">
        <v>197</v>
      </c>
    </row>
    <row r="869" customHeight="1" ht="14.0">
      <c r="A869" t="s">
        <v>776</v>
      </c>
      <c r="B869" s="153" t="s">
        <v>777</v>
      </c>
      <c r="C869">
        <v>167.0</v>
      </c>
      <c r="D869">
        <v>3668.85</v>
      </c>
      <c r="E869">
        <v>21.9692</v>
      </c>
      <c r="F869" t="s">
        <v>2942</v>
      </c>
      <c r="G869" t="s">
        <v>2962</v>
      </c>
      <c r="H869" t="s">
        <v>30</v>
      </c>
      <c r="I869" t="s">
        <v>197</v>
      </c>
    </row>
    <row r="870" customHeight="1" ht="14.0">
      <c r="A870" t="s">
        <v>3765</v>
      </c>
      <c r="B870" s="153" t="s">
        <v>3766</v>
      </c>
      <c r="C870">
        <v>0.0</v>
      </c>
      <c r="D870">
        <v>0.0</v>
      </c>
      <c r="F870" t="s">
        <v>2942</v>
      </c>
      <c r="G870" t="s">
        <v>2962</v>
      </c>
      <c r="H870" t="s">
        <v>3455</v>
      </c>
      <c r="I870" t="s">
        <v>3153</v>
      </c>
    </row>
    <row r="871" customHeight="1" ht="14.0">
      <c r="A871" t="s">
        <v>3767</v>
      </c>
      <c r="B871" s="153" t="s">
        <v>3768</v>
      </c>
      <c r="C871">
        <v>22.0</v>
      </c>
      <c r="D871">
        <v>0.0</v>
      </c>
      <c r="E871">
        <v>0.0</v>
      </c>
      <c r="F871" t="s">
        <v>2942</v>
      </c>
      <c r="G871" t="s">
        <v>2962</v>
      </c>
      <c r="H871" t="s">
        <v>3161</v>
      </c>
      <c r="I871" t="s">
        <v>197</v>
      </c>
    </row>
    <row r="872" customHeight="1" ht="14.0">
      <c r="A872" t="s">
        <v>3769</v>
      </c>
      <c r="B872" s="153" t="s">
        <v>3770</v>
      </c>
      <c r="C872">
        <v>947.0</v>
      </c>
      <c r="D872">
        <v>402.01</v>
      </c>
      <c r="E872">
        <v>0.4245</v>
      </c>
      <c r="F872" t="s">
        <v>3197</v>
      </c>
      <c r="G872" t="s">
        <v>2962</v>
      </c>
      <c r="H872" t="s">
        <v>3455</v>
      </c>
    </row>
    <row r="873" customHeight="1" ht="14.0">
      <c r="A873" t="s">
        <v>3771</v>
      </c>
      <c r="B873" s="153" t="s">
        <v>3772</v>
      </c>
      <c r="C873">
        <v>114.0</v>
      </c>
      <c r="D873">
        <v>54.72</v>
      </c>
      <c r="E873">
        <v>0.48</v>
      </c>
      <c r="F873" t="s">
        <v>2942</v>
      </c>
      <c r="G873" t="s">
        <v>2962</v>
      </c>
      <c r="H873" t="s">
        <v>3161</v>
      </c>
      <c r="I873" t="s">
        <v>3366</v>
      </c>
    </row>
    <row r="874" customHeight="1" ht="14.0">
      <c r="A874" t="s">
        <v>3773</v>
      </c>
      <c r="B874" s="153" t="s">
        <v>3774</v>
      </c>
      <c r="C874">
        <v>0.0</v>
      </c>
      <c r="D874">
        <v>0.0</v>
      </c>
      <c r="F874" t="s">
        <v>2942</v>
      </c>
      <c r="G874" t="s">
        <v>2943</v>
      </c>
      <c r="H874" t="s">
        <v>2944</v>
      </c>
      <c r="I874" t="s">
        <v>3775</v>
      </c>
    </row>
    <row r="875" customHeight="1" ht="14.0">
      <c r="A875" t="s">
        <v>3776</v>
      </c>
      <c r="B875" s="153" t="s">
        <v>3777</v>
      </c>
      <c r="C875">
        <v>0.0</v>
      </c>
      <c r="D875">
        <v>0.0</v>
      </c>
      <c r="F875" t="s">
        <v>2942</v>
      </c>
      <c r="G875" t="s">
        <v>2943</v>
      </c>
      <c r="H875" t="s">
        <v>2944</v>
      </c>
      <c r="I875" t="s">
        <v>3775</v>
      </c>
    </row>
    <row r="876" customHeight="1" ht="14.0">
      <c r="A876" t="s">
        <v>3778</v>
      </c>
      <c r="B876" s="153" t="s">
        <v>3779</v>
      </c>
      <c r="C876">
        <v>588.0</v>
      </c>
      <c r="D876">
        <v>323.4</v>
      </c>
      <c r="E876">
        <v>0.55</v>
      </c>
      <c r="F876" t="s">
        <v>2942</v>
      </c>
      <c r="G876" t="s">
        <v>2962</v>
      </c>
      <c r="H876" t="s">
        <v>3161</v>
      </c>
      <c r="I876" t="s">
        <v>3167</v>
      </c>
    </row>
    <row r="877" customHeight="1" ht="14.0">
      <c r="A877" t="s">
        <v>3780</v>
      </c>
      <c r="B877" s="153" t="s">
        <v>3781</v>
      </c>
      <c r="C877">
        <v>344.0</v>
      </c>
      <c r="D877">
        <v>172.0</v>
      </c>
      <c r="E877">
        <v>0.5</v>
      </c>
      <c r="F877" t="s">
        <v>2942</v>
      </c>
      <c r="G877" t="s">
        <v>2962</v>
      </c>
      <c r="H877" t="s">
        <v>3161</v>
      </c>
      <c r="I877" t="s">
        <v>3447</v>
      </c>
    </row>
    <row r="878" customHeight="1" ht="14.0">
      <c r="A878" t="s">
        <v>3782</v>
      </c>
      <c r="B878" s="153">
        <v>78360.0</v>
      </c>
      <c r="C878">
        <v>0.0</v>
      </c>
      <c r="D878">
        <v>0.0</v>
      </c>
      <c r="F878" t="s">
        <v>2942</v>
      </c>
      <c r="G878" t="s">
        <v>2943</v>
      </c>
      <c r="H878" t="s">
        <v>2944</v>
      </c>
      <c r="I878" t="s">
        <v>3783</v>
      </c>
    </row>
    <row r="879" customHeight="1" ht="14.0">
      <c r="A879" t="s">
        <v>3784</v>
      </c>
      <c r="B879" s="153">
        <v>78798.0</v>
      </c>
      <c r="C879">
        <v>0.0</v>
      </c>
      <c r="D879">
        <v>0.0</v>
      </c>
      <c r="F879" t="s">
        <v>2942</v>
      </c>
      <c r="G879" t="s">
        <v>2943</v>
      </c>
      <c r="H879" t="s">
        <v>2944</v>
      </c>
      <c r="I879" t="s">
        <v>3783</v>
      </c>
    </row>
    <row r="880" customHeight="1" ht="14.0">
      <c r="A880" t="s">
        <v>3785</v>
      </c>
      <c r="B880" s="153" t="s">
        <v>3786</v>
      </c>
      <c r="C880">
        <v>0.0</v>
      </c>
      <c r="D880">
        <v>0.0</v>
      </c>
      <c r="F880" t="s">
        <v>2942</v>
      </c>
      <c r="G880" t="s">
        <v>2962</v>
      </c>
      <c r="H880" t="s">
        <v>3198</v>
      </c>
    </row>
    <row r="881" customHeight="1" ht="14.0">
      <c r="A881" t="s">
        <v>3787</v>
      </c>
      <c r="B881" s="153" t="s">
        <v>3788</v>
      </c>
      <c r="C881">
        <v>1000.0</v>
      </c>
      <c r="D881">
        <v>2081.1</v>
      </c>
      <c r="E881">
        <v>2.0811</v>
      </c>
      <c r="F881" t="s">
        <v>2942</v>
      </c>
      <c r="G881" t="s">
        <v>2962</v>
      </c>
      <c r="H881" t="s">
        <v>3198</v>
      </c>
    </row>
    <row r="882" customHeight="1" ht="14.0">
      <c r="A882" t="s">
        <v>3789</v>
      </c>
      <c r="B882" s="153" t="s">
        <v>3790</v>
      </c>
      <c r="C882">
        <v>2000.0</v>
      </c>
      <c r="D882">
        <v>3882.37</v>
      </c>
      <c r="E882">
        <v>1.9412</v>
      </c>
      <c r="F882" t="s">
        <v>2942</v>
      </c>
      <c r="G882" t="s">
        <v>2962</v>
      </c>
      <c r="H882" t="s">
        <v>3198</v>
      </c>
    </row>
    <row r="883" customHeight="1" ht="14.0">
      <c r="A883" t="s">
        <v>3791</v>
      </c>
      <c r="B883" s="153" t="s">
        <v>3792</v>
      </c>
      <c r="C883">
        <v>0.0</v>
      </c>
      <c r="D883">
        <v>0.0</v>
      </c>
      <c r="F883" t="s">
        <v>2942</v>
      </c>
      <c r="G883" t="s">
        <v>2962</v>
      </c>
      <c r="H883" t="s">
        <v>3198</v>
      </c>
    </row>
    <row r="884" customHeight="1" ht="14.0">
      <c r="A884" t="s">
        <v>3793</v>
      </c>
      <c r="B884" s="153" t="s">
        <v>3794</v>
      </c>
      <c r="C884">
        <v>0.0</v>
      </c>
      <c r="D884">
        <v>0.0</v>
      </c>
      <c r="F884" t="s">
        <v>2942</v>
      </c>
      <c r="G884" t="s">
        <v>2943</v>
      </c>
      <c r="H884" t="s">
        <v>2944</v>
      </c>
      <c r="I884" t="s">
        <v>799</v>
      </c>
    </row>
    <row r="885" customHeight="1" ht="14.0">
      <c r="A885" t="s">
        <v>3795</v>
      </c>
      <c r="B885" s="153" t="s">
        <v>3796</v>
      </c>
      <c r="C885">
        <v>336.0</v>
      </c>
      <c r="D885">
        <v>174.72</v>
      </c>
      <c r="E885">
        <v>0.52</v>
      </c>
      <c r="F885" t="s">
        <v>2942</v>
      </c>
      <c r="G885" t="s">
        <v>2962</v>
      </c>
      <c r="H885" t="s">
        <v>3161</v>
      </c>
      <c r="I885" t="s">
        <v>3366</v>
      </c>
    </row>
    <row r="886" customHeight="1" ht="14.0">
      <c r="A886" t="s">
        <v>3797</v>
      </c>
      <c r="B886" s="153">
        <v>96001.0</v>
      </c>
      <c r="C886">
        <v>0.0</v>
      </c>
      <c r="D886">
        <v>0.0</v>
      </c>
      <c r="F886" t="s">
        <v>2942</v>
      </c>
      <c r="G886" t="s">
        <v>2943</v>
      </c>
      <c r="H886" t="s">
        <v>2944</v>
      </c>
      <c r="I886" t="s">
        <v>3442</v>
      </c>
    </row>
    <row r="887" customHeight="1" ht="14.0">
      <c r="A887" t="s">
        <v>3798</v>
      </c>
      <c r="B887" s="153">
        <v>96005.0</v>
      </c>
      <c r="C887">
        <v>0.0</v>
      </c>
      <c r="D887">
        <v>0.0</v>
      </c>
      <c r="F887" t="s">
        <v>2942</v>
      </c>
      <c r="G887" t="s">
        <v>2943</v>
      </c>
      <c r="H887" t="s">
        <v>2944</v>
      </c>
      <c r="I887" t="s">
        <v>3442</v>
      </c>
    </row>
    <row r="888" customHeight="1" ht="14.0">
      <c r="A888" t="s">
        <v>3799</v>
      </c>
      <c r="B888" s="153" t="s">
        <v>3800</v>
      </c>
      <c r="C888">
        <v>0.0</v>
      </c>
      <c r="D888">
        <v>0.0</v>
      </c>
      <c r="F888" t="s">
        <v>2942</v>
      </c>
      <c r="G888" t="s">
        <v>2943</v>
      </c>
      <c r="H888" t="s">
        <v>2944</v>
      </c>
      <c r="I888" t="s">
        <v>197</v>
      </c>
    </row>
    <row r="889" customHeight="1" ht="14.0">
      <c r="A889" t="s">
        <v>3801</v>
      </c>
      <c r="B889" s="153">
        <v>96003.0</v>
      </c>
      <c r="C889">
        <v>0.0</v>
      </c>
      <c r="D889">
        <v>0.0</v>
      </c>
      <c r="F889" t="s">
        <v>2942</v>
      </c>
      <c r="G889" t="s">
        <v>2943</v>
      </c>
      <c r="H889" t="s">
        <v>2944</v>
      </c>
      <c r="I889" t="s">
        <v>3442</v>
      </c>
    </row>
    <row r="890" customHeight="1" ht="14.0">
      <c r="A890" t="s">
        <v>3802</v>
      </c>
      <c r="B890" s="153">
        <v>96004.0</v>
      </c>
      <c r="C890">
        <v>0.0</v>
      </c>
      <c r="D890">
        <v>0.0</v>
      </c>
      <c r="F890" t="s">
        <v>2942</v>
      </c>
      <c r="G890" t="s">
        <v>2943</v>
      </c>
      <c r="H890" t="s">
        <v>2944</v>
      </c>
      <c r="I890" t="s">
        <v>3442</v>
      </c>
    </row>
    <row r="891" customHeight="1" ht="14.0">
      <c r="A891" t="s">
        <v>1465</v>
      </c>
      <c r="B891" s="153" t="s">
        <v>1466</v>
      </c>
      <c r="C891">
        <v>0.0</v>
      </c>
      <c r="D891">
        <v>0.0</v>
      </c>
      <c r="F891" t="s">
        <v>2942</v>
      </c>
      <c r="G891" t="s">
        <v>2943</v>
      </c>
      <c r="H891" t="s">
        <v>2944</v>
      </c>
      <c r="I891" t="s">
        <v>3803</v>
      </c>
    </row>
    <row r="892" customHeight="1" ht="14.0">
      <c r="A892" t="s">
        <v>1467</v>
      </c>
      <c r="B892" s="153" t="s">
        <v>1468</v>
      </c>
      <c r="C892">
        <v>879.0</v>
      </c>
      <c r="D892">
        <v>5871.54</v>
      </c>
      <c r="E892">
        <v>6.6798</v>
      </c>
      <c r="F892" t="s">
        <v>2942</v>
      </c>
      <c r="G892" t="s">
        <v>2962</v>
      </c>
      <c r="H892" t="s">
        <v>3005</v>
      </c>
      <c r="I892" t="s">
        <v>3804</v>
      </c>
    </row>
    <row r="893" customHeight="1" ht="14.0">
      <c r="A893" t="s">
        <v>3805</v>
      </c>
      <c r="B893" s="153" t="s">
        <v>3806</v>
      </c>
      <c r="C893">
        <v>920.0</v>
      </c>
      <c r="D893">
        <v>385.14</v>
      </c>
      <c r="E893">
        <v>0.4186</v>
      </c>
      <c r="F893" t="s">
        <v>3197</v>
      </c>
      <c r="G893" t="s">
        <v>2962</v>
      </c>
      <c r="H893" t="s">
        <v>3455</v>
      </c>
    </row>
    <row r="894" customHeight="1" ht="14.0">
      <c r="A894" t="s">
        <v>3807</v>
      </c>
      <c r="B894" s="153" t="s">
        <v>3808</v>
      </c>
      <c r="C894">
        <v>582.0</v>
      </c>
      <c r="D894">
        <v>320.1</v>
      </c>
      <c r="E894">
        <v>0.55</v>
      </c>
      <c r="F894" t="s">
        <v>2942</v>
      </c>
      <c r="G894" t="s">
        <v>2962</v>
      </c>
      <c r="H894" t="s">
        <v>3161</v>
      </c>
      <c r="I894" t="s">
        <v>3167</v>
      </c>
    </row>
    <row r="895" customHeight="1" ht="14.0">
      <c r="A895" t="s">
        <v>3809</v>
      </c>
      <c r="B895" s="153" t="s">
        <v>3810</v>
      </c>
      <c r="C895">
        <v>570.0</v>
      </c>
      <c r="D895">
        <v>285.0</v>
      </c>
      <c r="E895">
        <v>0.5</v>
      </c>
      <c r="F895" t="s">
        <v>2942</v>
      </c>
      <c r="G895" t="s">
        <v>2962</v>
      </c>
      <c r="H895" t="s">
        <v>3161</v>
      </c>
      <c r="I895" t="s">
        <v>3447</v>
      </c>
    </row>
    <row r="896" customHeight="1" ht="14.0">
      <c r="A896" t="s">
        <v>1469</v>
      </c>
      <c r="B896" s="153" t="s">
        <v>1470</v>
      </c>
      <c r="C896">
        <v>0.0</v>
      </c>
      <c r="D896">
        <v>0.0</v>
      </c>
      <c r="F896" t="s">
        <v>2942</v>
      </c>
      <c r="G896" t="s">
        <v>2943</v>
      </c>
      <c r="H896" t="s">
        <v>2963</v>
      </c>
      <c r="I896" t="s">
        <v>3811</v>
      </c>
    </row>
    <row r="897" customHeight="1" ht="14.0">
      <c r="A897" t="s">
        <v>1471</v>
      </c>
      <c r="B897" s="153" t="s">
        <v>1472</v>
      </c>
      <c r="C897">
        <v>396.0</v>
      </c>
      <c r="D897">
        <v>1539.4</v>
      </c>
      <c r="E897">
        <v>3.8874</v>
      </c>
      <c r="F897" t="s">
        <v>2942</v>
      </c>
      <c r="G897" t="s">
        <v>2962</v>
      </c>
      <c r="H897" t="s">
        <v>2963</v>
      </c>
      <c r="I897" t="s">
        <v>3811</v>
      </c>
    </row>
    <row r="898" customHeight="1" ht="14.0">
      <c r="A898" t="s">
        <v>1473</v>
      </c>
      <c r="B898" s="153" t="s">
        <v>1474</v>
      </c>
      <c r="C898">
        <v>350.0</v>
      </c>
      <c r="D898">
        <v>1351.91</v>
      </c>
      <c r="E898">
        <v>3.8626</v>
      </c>
      <c r="F898" t="s">
        <v>2942</v>
      </c>
      <c r="G898" t="s">
        <v>2962</v>
      </c>
      <c r="H898" t="s">
        <v>2963</v>
      </c>
      <c r="I898" t="s">
        <v>3811</v>
      </c>
    </row>
    <row r="899" customHeight="1" ht="14.0">
      <c r="A899" t="s">
        <v>1475</v>
      </c>
      <c r="B899" s="153" t="s">
        <v>1476</v>
      </c>
      <c r="C899">
        <v>0.0</v>
      </c>
      <c r="D899">
        <v>0.0</v>
      </c>
      <c r="F899" t="s">
        <v>2942</v>
      </c>
      <c r="G899" t="s">
        <v>2943</v>
      </c>
      <c r="H899" t="s">
        <v>2963</v>
      </c>
      <c r="I899" t="s">
        <v>3811</v>
      </c>
    </row>
    <row r="900" customHeight="1" ht="14.0">
      <c r="A900" t="s">
        <v>1477</v>
      </c>
      <c r="B900" s="153" t="s">
        <v>1478</v>
      </c>
      <c r="C900">
        <v>0.0</v>
      </c>
      <c r="D900">
        <v>0.0</v>
      </c>
      <c r="F900" t="s">
        <v>2942</v>
      </c>
      <c r="G900" t="s">
        <v>2962</v>
      </c>
      <c r="H900" t="s">
        <v>2963</v>
      </c>
      <c r="I900" t="s">
        <v>228</v>
      </c>
    </row>
    <row r="901" customHeight="1" ht="14.0">
      <c r="A901" t="s">
        <v>1479</v>
      </c>
      <c r="B901" s="153" t="s">
        <v>1480</v>
      </c>
      <c r="C901">
        <v>0.0</v>
      </c>
      <c r="D901">
        <v>0.0</v>
      </c>
      <c r="F901" t="s">
        <v>2942</v>
      </c>
      <c r="G901" t="s">
        <v>2943</v>
      </c>
      <c r="H901" t="s">
        <v>2963</v>
      </c>
      <c r="I901" t="s">
        <v>228</v>
      </c>
    </row>
    <row r="902" customHeight="1" ht="14.0">
      <c r="A902" t="s">
        <v>3812</v>
      </c>
      <c r="B902" s="153" t="s">
        <v>3813</v>
      </c>
      <c r="C902">
        <v>0.0</v>
      </c>
      <c r="D902">
        <v>0.0</v>
      </c>
      <c r="F902" t="s">
        <v>2942</v>
      </c>
      <c r="G902" t="s">
        <v>2943</v>
      </c>
      <c r="H902" t="s">
        <v>2944</v>
      </c>
      <c r="I902" t="s">
        <v>3814</v>
      </c>
    </row>
    <row r="903" customHeight="1" ht="14.0">
      <c r="A903" t="s">
        <v>3815</v>
      </c>
      <c r="B903" s="153" t="s">
        <v>3816</v>
      </c>
      <c r="C903">
        <v>0.0</v>
      </c>
      <c r="D903">
        <v>0.0</v>
      </c>
      <c r="F903" t="s">
        <v>2942</v>
      </c>
      <c r="G903" t="s">
        <v>2943</v>
      </c>
      <c r="H903" t="s">
        <v>2944</v>
      </c>
      <c r="I903" t="s">
        <v>3450</v>
      </c>
    </row>
    <row r="904" customHeight="1" ht="14.0">
      <c r="A904" t="s">
        <v>3817</v>
      </c>
      <c r="B904" s="153" t="s">
        <v>3818</v>
      </c>
      <c r="C904">
        <v>3937.0</v>
      </c>
      <c r="D904">
        <v>0.01</v>
      </c>
      <c r="E904">
        <v>0.0</v>
      </c>
      <c r="F904" t="s">
        <v>3197</v>
      </c>
      <c r="G904" t="s">
        <v>2962</v>
      </c>
      <c r="H904" t="s">
        <v>2963</v>
      </c>
    </row>
    <row r="905" customHeight="1" ht="14.0">
      <c r="A905" t="s">
        <v>3819</v>
      </c>
      <c r="B905" s="153" t="s">
        <v>3820</v>
      </c>
      <c r="C905">
        <v>1620.0</v>
      </c>
      <c r="D905">
        <v>324.0</v>
      </c>
      <c r="E905">
        <v>0.2</v>
      </c>
      <c r="F905" t="s">
        <v>3197</v>
      </c>
      <c r="G905" t="s">
        <v>2962</v>
      </c>
      <c r="H905" t="s">
        <v>3198</v>
      </c>
    </row>
    <row r="906" customHeight="1" ht="14.0">
      <c r="A906" t="s">
        <v>3821</v>
      </c>
      <c r="B906" s="153" t="s">
        <v>3822</v>
      </c>
      <c r="C906">
        <v>0.0</v>
      </c>
      <c r="D906">
        <v>0.0</v>
      </c>
      <c r="F906" t="s">
        <v>2942</v>
      </c>
      <c r="G906" t="s">
        <v>2962</v>
      </c>
      <c r="H906" t="s">
        <v>2963</v>
      </c>
      <c r="I906" t="s">
        <v>3823</v>
      </c>
    </row>
    <row r="907" customHeight="1" ht="14.0">
      <c r="A907" t="s">
        <v>3824</v>
      </c>
      <c r="B907" s="153" t="s">
        <v>3825</v>
      </c>
      <c r="C907">
        <v>8.0</v>
      </c>
      <c r="D907">
        <v>41.83</v>
      </c>
      <c r="E907">
        <v>5.2288</v>
      </c>
      <c r="F907" t="s">
        <v>2942</v>
      </c>
      <c r="G907" t="s">
        <v>2962</v>
      </c>
      <c r="H907" t="s">
        <v>2963</v>
      </c>
      <c r="I907" t="s">
        <v>3823</v>
      </c>
    </row>
    <row r="908" customHeight="1" ht="14.0">
      <c r="A908" t="s">
        <v>3826</v>
      </c>
      <c r="B908" s="153" t="s">
        <v>3827</v>
      </c>
      <c r="C908">
        <v>279.0</v>
      </c>
      <c r="D908">
        <v>1444.85</v>
      </c>
      <c r="E908">
        <v>5.1787</v>
      </c>
      <c r="F908" t="s">
        <v>2942</v>
      </c>
      <c r="G908" t="s">
        <v>2962</v>
      </c>
      <c r="H908" t="s">
        <v>2963</v>
      </c>
      <c r="I908" t="s">
        <v>3823</v>
      </c>
    </row>
    <row r="909" customHeight="1" ht="14.0">
      <c r="A909" t="s">
        <v>3828</v>
      </c>
      <c r="B909" s="153" t="s">
        <v>3829</v>
      </c>
      <c r="C909">
        <v>66.0</v>
      </c>
      <c r="D909">
        <v>342.06</v>
      </c>
      <c r="E909">
        <v>5.1827</v>
      </c>
      <c r="F909" t="s">
        <v>2942</v>
      </c>
      <c r="G909" t="s">
        <v>2962</v>
      </c>
      <c r="H909" t="s">
        <v>2963</v>
      </c>
      <c r="I909" t="s">
        <v>3823</v>
      </c>
    </row>
    <row r="910" customHeight="1" ht="14.0">
      <c r="A910" t="s">
        <v>3830</v>
      </c>
      <c r="B910" s="153" t="s">
        <v>3831</v>
      </c>
      <c r="C910">
        <v>276.0</v>
      </c>
      <c r="D910">
        <v>1429.3</v>
      </c>
      <c r="E910">
        <v>5.1786</v>
      </c>
      <c r="F910" t="s">
        <v>2942</v>
      </c>
      <c r="G910" t="s">
        <v>2962</v>
      </c>
      <c r="H910" t="s">
        <v>2963</v>
      </c>
      <c r="I910" t="s">
        <v>3823</v>
      </c>
    </row>
    <row r="911" customHeight="1" ht="14.0">
      <c r="A911" t="s">
        <v>3832</v>
      </c>
      <c r="B911" s="153" t="s">
        <v>3833</v>
      </c>
      <c r="C911">
        <v>568.0</v>
      </c>
      <c r="D911">
        <v>312.4</v>
      </c>
      <c r="E911">
        <v>0.55</v>
      </c>
      <c r="F911" t="s">
        <v>2942</v>
      </c>
      <c r="G911" t="s">
        <v>2962</v>
      </c>
      <c r="H911" t="s">
        <v>3161</v>
      </c>
      <c r="I911" t="s">
        <v>3167</v>
      </c>
    </row>
    <row r="912" customHeight="1" ht="14.0">
      <c r="A912" t="s">
        <v>3834</v>
      </c>
      <c r="B912" s="153" t="s">
        <v>3835</v>
      </c>
      <c r="C912">
        <v>512.0</v>
      </c>
      <c r="D912">
        <v>256.0</v>
      </c>
      <c r="E912">
        <v>0.5</v>
      </c>
      <c r="F912" t="s">
        <v>2942</v>
      </c>
      <c r="G912" t="s">
        <v>2962</v>
      </c>
      <c r="H912" t="s">
        <v>3161</v>
      </c>
      <c r="I912" t="s">
        <v>3447</v>
      </c>
    </row>
    <row r="913" customHeight="1" ht="14.0">
      <c r="A913" t="s">
        <v>3836</v>
      </c>
      <c r="B913" s="153" t="s">
        <v>3837</v>
      </c>
      <c r="C913">
        <v>348.0</v>
      </c>
      <c r="D913">
        <v>191.4</v>
      </c>
      <c r="E913">
        <v>0.55</v>
      </c>
      <c r="F913" t="s">
        <v>2942</v>
      </c>
      <c r="G913" t="s">
        <v>2962</v>
      </c>
      <c r="H913" t="s">
        <v>3161</v>
      </c>
      <c r="I913" t="s">
        <v>3167</v>
      </c>
    </row>
    <row r="914" customHeight="1" ht="14.0">
      <c r="A914" t="s">
        <v>3838</v>
      </c>
      <c r="B914" s="153" t="s">
        <v>3839</v>
      </c>
      <c r="C914">
        <v>630.0</v>
      </c>
      <c r="D914">
        <v>315.0</v>
      </c>
      <c r="E914">
        <v>0.5</v>
      </c>
      <c r="F914" t="s">
        <v>2942</v>
      </c>
      <c r="G914" t="s">
        <v>2962</v>
      </c>
      <c r="H914" t="s">
        <v>3161</v>
      </c>
      <c r="I914" t="s">
        <v>3447</v>
      </c>
    </row>
    <row r="915" customHeight="1" ht="14.0">
      <c r="A915" t="s">
        <v>3840</v>
      </c>
      <c r="B915" s="153" t="s">
        <v>3841</v>
      </c>
      <c r="C915">
        <v>168.0</v>
      </c>
      <c r="D915">
        <v>80.64</v>
      </c>
      <c r="E915">
        <v>0.48</v>
      </c>
      <c r="F915" t="s">
        <v>2942</v>
      </c>
      <c r="G915" t="s">
        <v>2962</v>
      </c>
      <c r="H915" t="s">
        <v>3161</v>
      </c>
      <c r="I915" t="s">
        <v>3366</v>
      </c>
    </row>
    <row r="916" customHeight="1" ht="14.0">
      <c r="A916" t="s">
        <v>1481</v>
      </c>
      <c r="B916" s="153" t="s">
        <v>1482</v>
      </c>
      <c r="C916">
        <v>0.0</v>
      </c>
      <c r="D916">
        <v>0.0</v>
      </c>
      <c r="F916" t="s">
        <v>2942</v>
      </c>
      <c r="G916" t="s">
        <v>2943</v>
      </c>
      <c r="H916" t="s">
        <v>2963</v>
      </c>
      <c r="I916" t="s">
        <v>3842</v>
      </c>
    </row>
    <row r="917" customHeight="1" ht="14.0">
      <c r="A917" t="s">
        <v>1483</v>
      </c>
      <c r="B917" s="153" t="s">
        <v>1484</v>
      </c>
      <c r="C917">
        <v>0.0</v>
      </c>
      <c r="D917">
        <v>0.0</v>
      </c>
      <c r="F917" t="s">
        <v>2942</v>
      </c>
      <c r="G917" t="s">
        <v>2943</v>
      </c>
      <c r="H917" t="s">
        <v>2944</v>
      </c>
      <c r="I917" t="s">
        <v>3843</v>
      </c>
    </row>
    <row r="918" customHeight="1" ht="14.0">
      <c r="A918" t="s">
        <v>1485</v>
      </c>
      <c r="B918" s="153" t="s">
        <v>1486</v>
      </c>
      <c r="C918">
        <v>0.0</v>
      </c>
      <c r="D918">
        <v>0.0</v>
      </c>
      <c r="F918" t="s">
        <v>2942</v>
      </c>
      <c r="G918" t="s">
        <v>2943</v>
      </c>
      <c r="H918" t="s">
        <v>2944</v>
      </c>
      <c r="I918" t="s">
        <v>3491</v>
      </c>
    </row>
    <row r="919" customHeight="1" ht="14.0">
      <c r="A919" t="s">
        <v>1487</v>
      </c>
      <c r="B919" s="153" t="s">
        <v>1488</v>
      </c>
      <c r="C919">
        <v>0.0</v>
      </c>
      <c r="D919">
        <v>0.0</v>
      </c>
      <c r="F919" t="s">
        <v>2942</v>
      </c>
      <c r="G919" t="s">
        <v>2943</v>
      </c>
      <c r="H919" t="s">
        <v>2944</v>
      </c>
      <c r="I919" t="s">
        <v>3491</v>
      </c>
    </row>
    <row r="920" customHeight="1" ht="14.0">
      <c r="A920" t="s">
        <v>1489</v>
      </c>
      <c r="B920" s="153" t="s">
        <v>1490</v>
      </c>
      <c r="C920">
        <v>0.0</v>
      </c>
      <c r="D920">
        <v>0.0</v>
      </c>
      <c r="F920" t="s">
        <v>2942</v>
      </c>
      <c r="G920" t="s">
        <v>2943</v>
      </c>
      <c r="H920" t="s">
        <v>2944</v>
      </c>
      <c r="I920" t="s">
        <v>3843</v>
      </c>
    </row>
    <row r="921" customHeight="1" ht="14.0">
      <c r="A921" t="s">
        <v>1491</v>
      </c>
      <c r="B921" s="153" t="s">
        <v>1492</v>
      </c>
      <c r="C921">
        <v>0.0</v>
      </c>
      <c r="D921">
        <v>0.0</v>
      </c>
      <c r="F921" t="s">
        <v>2942</v>
      </c>
      <c r="G921" t="s">
        <v>2943</v>
      </c>
      <c r="H921" t="s">
        <v>2944</v>
      </c>
      <c r="I921" t="s">
        <v>3491</v>
      </c>
    </row>
    <row r="922" customHeight="1" ht="14.0">
      <c r="A922" t="s">
        <v>3844</v>
      </c>
      <c r="B922" s="153" t="s">
        <v>3845</v>
      </c>
      <c r="C922">
        <v>0.0</v>
      </c>
      <c r="D922">
        <v>0.0</v>
      </c>
      <c r="F922" t="s">
        <v>2942</v>
      </c>
      <c r="G922" t="s">
        <v>2943</v>
      </c>
      <c r="H922" t="s">
        <v>2944</v>
      </c>
      <c r="I922" t="s">
        <v>3843</v>
      </c>
    </row>
    <row r="923" customHeight="1" ht="14.0">
      <c r="A923" t="s">
        <v>1493</v>
      </c>
      <c r="B923" s="153" t="s">
        <v>1494</v>
      </c>
      <c r="C923">
        <v>0.0</v>
      </c>
      <c r="D923">
        <v>0.0</v>
      </c>
      <c r="F923" t="s">
        <v>2942</v>
      </c>
      <c r="G923" t="s">
        <v>2943</v>
      </c>
      <c r="H923" t="s">
        <v>2944</v>
      </c>
      <c r="I923" t="s">
        <v>3843</v>
      </c>
    </row>
    <row r="924" customHeight="1" ht="14.0">
      <c r="A924" t="s">
        <v>3846</v>
      </c>
      <c r="B924" s="153" t="s">
        <v>3847</v>
      </c>
      <c r="C924">
        <v>0.0</v>
      </c>
      <c r="D924">
        <v>0.0</v>
      </c>
      <c r="F924" t="s">
        <v>2942</v>
      </c>
      <c r="G924" t="s">
        <v>2943</v>
      </c>
      <c r="H924" t="s">
        <v>2944</v>
      </c>
      <c r="I924" t="s">
        <v>3843</v>
      </c>
    </row>
    <row r="925" customHeight="1" ht="14.0">
      <c r="A925" t="s">
        <v>3848</v>
      </c>
      <c r="B925" s="153" t="s">
        <v>3849</v>
      </c>
      <c r="C925">
        <v>0.0</v>
      </c>
      <c r="D925">
        <v>0.0</v>
      </c>
      <c r="F925" t="s">
        <v>2942</v>
      </c>
      <c r="G925" t="s">
        <v>2943</v>
      </c>
      <c r="H925" t="s">
        <v>2944</v>
      </c>
      <c r="I925" t="s">
        <v>3843</v>
      </c>
    </row>
    <row r="926" customHeight="1" ht="14.0">
      <c r="A926" t="s">
        <v>1495</v>
      </c>
      <c r="B926" s="153" t="s">
        <v>1496</v>
      </c>
      <c r="C926">
        <v>0.0</v>
      </c>
      <c r="D926">
        <v>0.0</v>
      </c>
      <c r="F926" t="s">
        <v>2942</v>
      </c>
      <c r="G926" t="s">
        <v>2943</v>
      </c>
      <c r="H926" t="s">
        <v>2944</v>
      </c>
      <c r="I926" t="s">
        <v>3843</v>
      </c>
    </row>
    <row r="927" customHeight="1" ht="14.0">
      <c r="A927" t="s">
        <v>1497</v>
      </c>
      <c r="B927" s="153" t="s">
        <v>1498</v>
      </c>
      <c r="C927">
        <v>0.0</v>
      </c>
      <c r="D927">
        <v>0.0</v>
      </c>
      <c r="F927" t="s">
        <v>2942</v>
      </c>
      <c r="G927" t="s">
        <v>2943</v>
      </c>
      <c r="H927" t="s">
        <v>2944</v>
      </c>
      <c r="I927" t="s">
        <v>3843</v>
      </c>
    </row>
    <row r="928" customHeight="1" ht="14.0">
      <c r="A928" t="s">
        <v>1499</v>
      </c>
      <c r="B928" s="153" t="s">
        <v>1500</v>
      </c>
      <c r="C928">
        <v>0.0</v>
      </c>
      <c r="D928">
        <v>0.0</v>
      </c>
      <c r="F928" t="s">
        <v>2942</v>
      </c>
      <c r="G928" t="s">
        <v>2943</v>
      </c>
      <c r="H928" t="s">
        <v>2944</v>
      </c>
      <c r="I928" t="s">
        <v>3843</v>
      </c>
    </row>
    <row r="929" customHeight="1" ht="14.0">
      <c r="A929" t="s">
        <v>1501</v>
      </c>
      <c r="B929" s="153" t="s">
        <v>1502</v>
      </c>
      <c r="C929">
        <v>1.0</v>
      </c>
      <c r="D929">
        <v>0.01</v>
      </c>
      <c r="E929">
        <v>0.01</v>
      </c>
      <c r="F929" t="s">
        <v>2942</v>
      </c>
      <c r="G929" t="s">
        <v>2962</v>
      </c>
      <c r="H929" t="s">
        <v>2963</v>
      </c>
      <c r="I929" t="s">
        <v>3843</v>
      </c>
    </row>
    <row r="930" customHeight="1" ht="14.0">
      <c r="A930" t="s">
        <v>1503</v>
      </c>
      <c r="B930" s="153" t="s">
        <v>1504</v>
      </c>
      <c r="C930">
        <v>24.0</v>
      </c>
      <c r="D930">
        <v>0.01</v>
      </c>
      <c r="E930">
        <v>4.0E-4</v>
      </c>
      <c r="F930" t="s">
        <v>2942</v>
      </c>
      <c r="G930" t="s">
        <v>2962</v>
      </c>
      <c r="H930" t="s">
        <v>2963</v>
      </c>
      <c r="I930" t="s">
        <v>3843</v>
      </c>
    </row>
    <row r="931" customHeight="1" ht="14.0">
      <c r="A931" t="s">
        <v>1505</v>
      </c>
      <c r="B931" s="153" t="s">
        <v>1506</v>
      </c>
      <c r="C931">
        <v>0.0</v>
      </c>
      <c r="D931">
        <v>0.0</v>
      </c>
      <c r="F931" t="s">
        <v>2942</v>
      </c>
      <c r="G931" t="s">
        <v>2943</v>
      </c>
      <c r="H931" t="s">
        <v>2963</v>
      </c>
      <c r="I931" t="s">
        <v>3843</v>
      </c>
    </row>
    <row r="932" customHeight="1" ht="14.0">
      <c r="A932" t="s">
        <v>1507</v>
      </c>
      <c r="B932" s="153" t="s">
        <v>1508</v>
      </c>
      <c r="C932">
        <v>0.0</v>
      </c>
      <c r="D932">
        <v>0.0</v>
      </c>
      <c r="F932" t="s">
        <v>2942</v>
      </c>
      <c r="G932" t="s">
        <v>2943</v>
      </c>
      <c r="H932" t="s">
        <v>2963</v>
      </c>
      <c r="I932" t="s">
        <v>3843</v>
      </c>
    </row>
    <row r="933" customHeight="1" ht="14.0">
      <c r="A933" t="s">
        <v>1509</v>
      </c>
      <c r="B933" s="153" t="s">
        <v>1510</v>
      </c>
      <c r="C933">
        <v>0.0</v>
      </c>
      <c r="D933">
        <v>0.0</v>
      </c>
      <c r="F933" t="s">
        <v>2942</v>
      </c>
      <c r="G933" t="s">
        <v>2943</v>
      </c>
      <c r="H933" t="s">
        <v>2963</v>
      </c>
      <c r="I933" t="s">
        <v>3843</v>
      </c>
    </row>
    <row r="934" customHeight="1" ht="14.0">
      <c r="A934" t="s">
        <v>1511</v>
      </c>
      <c r="B934" s="153" t="s">
        <v>1512</v>
      </c>
      <c r="C934">
        <v>0.0</v>
      </c>
      <c r="D934">
        <v>0.0</v>
      </c>
      <c r="F934" t="s">
        <v>2942</v>
      </c>
      <c r="G934" t="s">
        <v>2943</v>
      </c>
      <c r="H934" t="s">
        <v>2963</v>
      </c>
      <c r="I934" t="s">
        <v>3843</v>
      </c>
    </row>
    <row r="935" customHeight="1" ht="14.0">
      <c r="A935" t="s">
        <v>1513</v>
      </c>
      <c r="B935" s="153" t="s">
        <v>1514</v>
      </c>
      <c r="C935">
        <v>0.0</v>
      </c>
      <c r="D935">
        <v>0.0</v>
      </c>
      <c r="F935" t="s">
        <v>2942</v>
      </c>
      <c r="G935" t="s">
        <v>2943</v>
      </c>
      <c r="H935" t="s">
        <v>2963</v>
      </c>
      <c r="I935" t="s">
        <v>3843</v>
      </c>
    </row>
    <row r="936" customHeight="1" ht="14.0">
      <c r="A936" t="s">
        <v>1515</v>
      </c>
      <c r="B936" s="153" t="s">
        <v>1516</v>
      </c>
      <c r="C936">
        <v>0.0</v>
      </c>
      <c r="D936">
        <v>0.0</v>
      </c>
      <c r="F936" t="s">
        <v>2942</v>
      </c>
      <c r="G936" t="s">
        <v>2943</v>
      </c>
      <c r="H936" t="s">
        <v>2963</v>
      </c>
      <c r="I936" t="s">
        <v>3843</v>
      </c>
    </row>
    <row r="937" customHeight="1" ht="14.0">
      <c r="A937" t="s">
        <v>1517</v>
      </c>
      <c r="B937" s="153" t="s">
        <v>1518</v>
      </c>
      <c r="C937">
        <v>0.0</v>
      </c>
      <c r="D937">
        <v>0.0</v>
      </c>
      <c r="F937" t="s">
        <v>2942</v>
      </c>
      <c r="G937" t="s">
        <v>2943</v>
      </c>
      <c r="H937" t="s">
        <v>2963</v>
      </c>
      <c r="I937" t="s">
        <v>3843</v>
      </c>
    </row>
    <row r="938" customHeight="1" ht="14.0">
      <c r="A938" t="s">
        <v>1519</v>
      </c>
      <c r="B938" s="153" t="s">
        <v>1520</v>
      </c>
      <c r="C938">
        <v>0.0</v>
      </c>
      <c r="D938">
        <v>0.0</v>
      </c>
      <c r="F938" t="s">
        <v>2942</v>
      </c>
      <c r="G938" t="s">
        <v>2943</v>
      </c>
      <c r="H938" t="s">
        <v>2963</v>
      </c>
      <c r="I938" t="s">
        <v>3843</v>
      </c>
    </row>
    <row r="939" customHeight="1" ht="14.0">
      <c r="A939" t="s">
        <v>1521</v>
      </c>
      <c r="B939" s="153" t="s">
        <v>1522</v>
      </c>
      <c r="C939">
        <v>9.0</v>
      </c>
      <c r="D939">
        <v>0.01</v>
      </c>
      <c r="E939">
        <v>0.0011</v>
      </c>
      <c r="F939" t="s">
        <v>2942</v>
      </c>
      <c r="G939" t="s">
        <v>2962</v>
      </c>
      <c r="H939" t="s">
        <v>2963</v>
      </c>
      <c r="I939" t="s">
        <v>3843</v>
      </c>
    </row>
    <row r="940" customHeight="1" ht="14.0">
      <c r="A940" t="s">
        <v>1523</v>
      </c>
      <c r="B940" s="153" t="s">
        <v>1524</v>
      </c>
      <c r="C940">
        <v>18.0</v>
      </c>
      <c r="D940">
        <v>0.01</v>
      </c>
      <c r="E940">
        <v>6.0E-4</v>
      </c>
      <c r="F940" t="s">
        <v>2942</v>
      </c>
      <c r="G940" t="s">
        <v>2962</v>
      </c>
      <c r="H940" t="s">
        <v>2963</v>
      </c>
      <c r="I940" t="s">
        <v>3843</v>
      </c>
    </row>
    <row r="941" customHeight="1" ht="14.0">
      <c r="A941" t="s">
        <v>1525</v>
      </c>
      <c r="B941" s="153" t="s">
        <v>1526</v>
      </c>
      <c r="C941">
        <v>0.0</v>
      </c>
      <c r="D941">
        <v>0.0</v>
      </c>
      <c r="F941" t="s">
        <v>2942</v>
      </c>
      <c r="G941" t="s">
        <v>2943</v>
      </c>
      <c r="H941" t="s">
        <v>2963</v>
      </c>
      <c r="I941" t="s">
        <v>3843</v>
      </c>
    </row>
    <row r="942" customHeight="1" ht="14.0">
      <c r="A942" t="s">
        <v>1527</v>
      </c>
      <c r="B942" s="153" t="s">
        <v>1528</v>
      </c>
      <c r="C942">
        <v>0.0</v>
      </c>
      <c r="D942">
        <v>0.0</v>
      </c>
      <c r="F942" t="s">
        <v>2942</v>
      </c>
      <c r="G942" t="s">
        <v>2943</v>
      </c>
      <c r="H942" t="s">
        <v>2963</v>
      </c>
      <c r="I942" t="s">
        <v>3843</v>
      </c>
    </row>
    <row r="943" customHeight="1" ht="14.0">
      <c r="A943" t="s">
        <v>1529</v>
      </c>
      <c r="B943" s="153" t="s">
        <v>1530</v>
      </c>
      <c r="C943">
        <v>0.0</v>
      </c>
      <c r="D943">
        <v>0.0</v>
      </c>
      <c r="F943" t="s">
        <v>2942</v>
      </c>
      <c r="G943" t="s">
        <v>2943</v>
      </c>
      <c r="H943" t="s">
        <v>2963</v>
      </c>
      <c r="I943" t="s">
        <v>3843</v>
      </c>
    </row>
    <row r="944" customHeight="1" ht="14.0">
      <c r="A944" t="s">
        <v>1531</v>
      </c>
      <c r="B944" s="153" t="s">
        <v>1532</v>
      </c>
      <c r="C944">
        <v>0.0</v>
      </c>
      <c r="D944">
        <v>0.0</v>
      </c>
      <c r="F944" t="s">
        <v>2942</v>
      </c>
      <c r="G944" t="s">
        <v>2943</v>
      </c>
      <c r="H944" t="s">
        <v>2963</v>
      </c>
      <c r="I944" t="s">
        <v>3843</v>
      </c>
    </row>
    <row r="945" customHeight="1" ht="14.0">
      <c r="A945" t="s">
        <v>1533</v>
      </c>
      <c r="B945" s="153" t="s">
        <v>1534</v>
      </c>
      <c r="C945">
        <v>0.0</v>
      </c>
      <c r="D945">
        <v>0.0</v>
      </c>
      <c r="F945" t="s">
        <v>2942</v>
      </c>
      <c r="G945" t="s">
        <v>2943</v>
      </c>
      <c r="H945" t="s">
        <v>2963</v>
      </c>
      <c r="I945" t="s">
        <v>3843</v>
      </c>
    </row>
    <row r="946" customHeight="1" ht="14.0">
      <c r="A946" t="s">
        <v>1535</v>
      </c>
      <c r="B946" s="153" t="s">
        <v>1536</v>
      </c>
      <c r="C946">
        <v>5.0</v>
      </c>
      <c r="D946">
        <v>0.01</v>
      </c>
      <c r="E946">
        <v>0.002</v>
      </c>
      <c r="F946" t="s">
        <v>2942</v>
      </c>
      <c r="G946" t="s">
        <v>2962</v>
      </c>
      <c r="H946" t="s">
        <v>2963</v>
      </c>
      <c r="I946" t="s">
        <v>3843</v>
      </c>
    </row>
    <row r="947" customHeight="1" ht="14.0">
      <c r="A947" t="s">
        <v>1537</v>
      </c>
      <c r="B947" s="153" t="s">
        <v>1538</v>
      </c>
      <c r="C947">
        <v>3.0</v>
      </c>
      <c r="D947">
        <v>0.01</v>
      </c>
      <c r="E947">
        <v>0.0033</v>
      </c>
      <c r="F947" t="s">
        <v>2942</v>
      </c>
      <c r="G947" t="s">
        <v>2962</v>
      </c>
      <c r="H947" t="s">
        <v>2963</v>
      </c>
      <c r="I947" t="s">
        <v>3843</v>
      </c>
    </row>
    <row r="948" customHeight="1" ht="14.0">
      <c r="A948" t="s">
        <v>1539</v>
      </c>
      <c r="B948" s="153" t="s">
        <v>1540</v>
      </c>
      <c r="C948">
        <v>0.0</v>
      </c>
      <c r="D948">
        <v>0.0</v>
      </c>
      <c r="F948" t="s">
        <v>2942</v>
      </c>
      <c r="G948" t="s">
        <v>2943</v>
      </c>
      <c r="H948" t="s">
        <v>2963</v>
      </c>
      <c r="I948" t="s">
        <v>3843</v>
      </c>
    </row>
    <row r="949" customHeight="1" ht="14.0">
      <c r="A949" t="s">
        <v>1541</v>
      </c>
      <c r="B949" s="153" t="s">
        <v>1542</v>
      </c>
      <c r="C949">
        <v>0.0</v>
      </c>
      <c r="D949">
        <v>0.0</v>
      </c>
      <c r="F949" t="s">
        <v>2942</v>
      </c>
      <c r="G949" t="s">
        <v>2943</v>
      </c>
      <c r="H949" t="s">
        <v>2963</v>
      </c>
      <c r="I949" t="s">
        <v>3843</v>
      </c>
    </row>
    <row r="950" customHeight="1" ht="14.0">
      <c r="A950" t="s">
        <v>1543</v>
      </c>
      <c r="B950" s="153" t="s">
        <v>1544</v>
      </c>
      <c r="C950">
        <v>37.0</v>
      </c>
      <c r="D950">
        <v>0.01</v>
      </c>
      <c r="E950">
        <v>3.0E-4</v>
      </c>
      <c r="F950" t="s">
        <v>2942</v>
      </c>
      <c r="G950" t="s">
        <v>2962</v>
      </c>
      <c r="H950" t="s">
        <v>2963</v>
      </c>
      <c r="I950" t="s">
        <v>3843</v>
      </c>
    </row>
    <row r="951" customHeight="1" ht="14.0">
      <c r="A951" t="s">
        <v>1545</v>
      </c>
      <c r="B951" s="153" t="s">
        <v>1546</v>
      </c>
      <c r="C951">
        <v>0.0</v>
      </c>
      <c r="D951">
        <v>0.0</v>
      </c>
      <c r="F951" t="s">
        <v>2942</v>
      </c>
      <c r="G951" t="s">
        <v>2943</v>
      </c>
      <c r="H951" t="s">
        <v>2963</v>
      </c>
      <c r="I951" t="s">
        <v>3843</v>
      </c>
    </row>
    <row r="952" customHeight="1" ht="14.0">
      <c r="A952" t="s">
        <v>1547</v>
      </c>
      <c r="B952" s="153" t="s">
        <v>1548</v>
      </c>
      <c r="C952">
        <v>0.0</v>
      </c>
      <c r="D952">
        <v>0.0</v>
      </c>
      <c r="F952" t="s">
        <v>2942</v>
      </c>
      <c r="G952" t="s">
        <v>2943</v>
      </c>
      <c r="H952" t="s">
        <v>2963</v>
      </c>
      <c r="I952" t="s">
        <v>3843</v>
      </c>
    </row>
    <row r="953" customHeight="1" ht="14.0">
      <c r="A953" t="s">
        <v>1549</v>
      </c>
      <c r="B953" s="153" t="s">
        <v>1550</v>
      </c>
      <c r="C953">
        <v>0.0</v>
      </c>
      <c r="D953">
        <v>0.0</v>
      </c>
      <c r="F953" t="s">
        <v>2942</v>
      </c>
      <c r="G953" t="s">
        <v>2943</v>
      </c>
      <c r="H953" t="s">
        <v>2963</v>
      </c>
      <c r="I953" t="s">
        <v>3843</v>
      </c>
    </row>
    <row r="954" customHeight="1" ht="14.0">
      <c r="A954" t="s">
        <v>1551</v>
      </c>
      <c r="B954" s="153" t="s">
        <v>1552</v>
      </c>
      <c r="C954">
        <v>0.0</v>
      </c>
      <c r="D954">
        <v>0.0</v>
      </c>
      <c r="F954" t="s">
        <v>2942</v>
      </c>
      <c r="G954" t="s">
        <v>2943</v>
      </c>
      <c r="H954" t="s">
        <v>2963</v>
      </c>
      <c r="I954" t="s">
        <v>3843</v>
      </c>
    </row>
    <row r="955" customHeight="1" ht="14.0">
      <c r="A955" t="s">
        <v>1553</v>
      </c>
      <c r="B955" s="153" t="s">
        <v>1554</v>
      </c>
      <c r="C955">
        <v>0.0</v>
      </c>
      <c r="D955">
        <v>0.0</v>
      </c>
      <c r="F955" t="s">
        <v>2942</v>
      </c>
      <c r="G955" t="s">
        <v>2943</v>
      </c>
      <c r="H955" t="s">
        <v>2963</v>
      </c>
      <c r="I955" t="s">
        <v>3843</v>
      </c>
    </row>
    <row r="956" customHeight="1" ht="14.0">
      <c r="A956" t="s">
        <v>1555</v>
      </c>
      <c r="B956" s="153" t="s">
        <v>1556</v>
      </c>
      <c r="C956">
        <v>4.0</v>
      </c>
      <c r="D956">
        <v>0.01</v>
      </c>
      <c r="E956">
        <v>0.0025</v>
      </c>
      <c r="F956" t="s">
        <v>2942</v>
      </c>
      <c r="G956" t="s">
        <v>2962</v>
      </c>
      <c r="H956" t="s">
        <v>2963</v>
      </c>
      <c r="I956" t="s">
        <v>3843</v>
      </c>
    </row>
    <row r="957" customHeight="1" ht="14.0">
      <c r="A957" t="s">
        <v>1557</v>
      </c>
      <c r="B957" s="153" t="s">
        <v>1558</v>
      </c>
      <c r="C957">
        <v>1.0</v>
      </c>
      <c r="D957">
        <v>0.01</v>
      </c>
      <c r="E957">
        <v>0.01</v>
      </c>
      <c r="F957" t="s">
        <v>2942</v>
      </c>
      <c r="G957" t="s">
        <v>2962</v>
      </c>
      <c r="H957" t="s">
        <v>2963</v>
      </c>
      <c r="I957" t="s">
        <v>3843</v>
      </c>
    </row>
    <row r="958" customHeight="1" ht="14.0">
      <c r="A958" t="s">
        <v>1559</v>
      </c>
      <c r="B958" s="153" t="s">
        <v>1560</v>
      </c>
      <c r="C958">
        <v>0.0</v>
      </c>
      <c r="D958">
        <v>0.0</v>
      </c>
      <c r="F958" t="s">
        <v>2942</v>
      </c>
      <c r="G958" t="s">
        <v>2943</v>
      </c>
      <c r="H958" t="s">
        <v>2963</v>
      </c>
      <c r="I958" t="s">
        <v>3843</v>
      </c>
    </row>
    <row r="959" customHeight="1" ht="14.0">
      <c r="A959" t="s">
        <v>1561</v>
      </c>
      <c r="B959" s="153" t="s">
        <v>1562</v>
      </c>
      <c r="C959">
        <v>26.0</v>
      </c>
      <c r="D959">
        <v>0.01</v>
      </c>
      <c r="E959">
        <v>4.0E-4</v>
      </c>
      <c r="F959" t="s">
        <v>2942</v>
      </c>
      <c r="G959" t="s">
        <v>2962</v>
      </c>
      <c r="H959" t="s">
        <v>2963</v>
      </c>
      <c r="I959" t="s">
        <v>3843</v>
      </c>
    </row>
    <row r="960" customHeight="1" ht="14.0">
      <c r="A960" t="s">
        <v>1563</v>
      </c>
      <c r="B960" s="153" t="s">
        <v>1564</v>
      </c>
      <c r="C960">
        <v>17.0</v>
      </c>
      <c r="D960">
        <v>0.01</v>
      </c>
      <c r="E960">
        <v>6.0E-4</v>
      </c>
      <c r="F960" t="s">
        <v>2942</v>
      </c>
      <c r="G960" t="s">
        <v>2962</v>
      </c>
      <c r="H960" t="s">
        <v>2963</v>
      </c>
      <c r="I960" t="s">
        <v>3843</v>
      </c>
    </row>
    <row r="961" customHeight="1" ht="14.0">
      <c r="A961" t="s">
        <v>1565</v>
      </c>
      <c r="B961" s="153" t="s">
        <v>1566</v>
      </c>
      <c r="C961">
        <v>0.0</v>
      </c>
      <c r="D961">
        <v>0.0</v>
      </c>
      <c r="F961" t="s">
        <v>2942</v>
      </c>
      <c r="G961" t="s">
        <v>2943</v>
      </c>
      <c r="H961" t="s">
        <v>2963</v>
      </c>
      <c r="I961" t="s">
        <v>3843</v>
      </c>
    </row>
    <row r="962" customHeight="1" ht="14.0">
      <c r="A962" t="s">
        <v>1567</v>
      </c>
      <c r="B962" s="153" t="s">
        <v>1568</v>
      </c>
      <c r="C962">
        <v>0.0</v>
      </c>
      <c r="D962">
        <v>0.0</v>
      </c>
      <c r="F962" t="s">
        <v>2942</v>
      </c>
      <c r="G962" t="s">
        <v>2943</v>
      </c>
      <c r="H962" t="s">
        <v>2963</v>
      </c>
      <c r="I962" t="s">
        <v>3843</v>
      </c>
    </row>
    <row r="963" customHeight="1" ht="14.0">
      <c r="A963" t="s">
        <v>1569</v>
      </c>
      <c r="B963" s="153" t="s">
        <v>1570</v>
      </c>
      <c r="C963">
        <v>2.0</v>
      </c>
      <c r="D963">
        <v>0.01</v>
      </c>
      <c r="E963">
        <v>0.005</v>
      </c>
      <c r="F963" t="s">
        <v>2942</v>
      </c>
      <c r="G963" t="s">
        <v>2962</v>
      </c>
      <c r="H963" t="s">
        <v>2963</v>
      </c>
      <c r="I963" t="s">
        <v>3843</v>
      </c>
    </row>
    <row r="964" customHeight="1" ht="14.0">
      <c r="A964" t="s">
        <v>1571</v>
      </c>
      <c r="B964" s="153" t="s">
        <v>1572</v>
      </c>
      <c r="C964">
        <v>0.0</v>
      </c>
      <c r="D964">
        <v>0.0</v>
      </c>
      <c r="F964" t="s">
        <v>2942</v>
      </c>
      <c r="G964" t="s">
        <v>2943</v>
      </c>
      <c r="H964" t="s">
        <v>2963</v>
      </c>
      <c r="I964" t="s">
        <v>3843</v>
      </c>
    </row>
    <row r="965" customHeight="1" ht="14.0">
      <c r="A965" t="s">
        <v>1573</v>
      </c>
      <c r="B965" s="153" t="s">
        <v>1574</v>
      </c>
      <c r="C965">
        <v>0.0</v>
      </c>
      <c r="D965">
        <v>0.0</v>
      </c>
      <c r="F965" t="s">
        <v>2942</v>
      </c>
      <c r="G965" t="s">
        <v>2943</v>
      </c>
      <c r="H965" t="s">
        <v>2963</v>
      </c>
      <c r="I965" t="s">
        <v>3843</v>
      </c>
    </row>
    <row r="966" customHeight="1" ht="14.0">
      <c r="A966" t="s">
        <v>1575</v>
      </c>
      <c r="B966" s="153" t="s">
        <v>1576</v>
      </c>
      <c r="C966">
        <v>0.0</v>
      </c>
      <c r="D966">
        <v>0.0</v>
      </c>
      <c r="F966" t="s">
        <v>2942</v>
      </c>
      <c r="G966" t="s">
        <v>2943</v>
      </c>
      <c r="H966" t="s">
        <v>2963</v>
      </c>
      <c r="I966" t="s">
        <v>3843</v>
      </c>
    </row>
    <row r="967" customHeight="1" ht="14.0">
      <c r="A967" t="s">
        <v>1577</v>
      </c>
      <c r="B967" s="153" t="s">
        <v>1578</v>
      </c>
      <c r="C967">
        <v>0.0</v>
      </c>
      <c r="D967">
        <v>0.0</v>
      </c>
      <c r="F967" t="s">
        <v>2942</v>
      </c>
      <c r="G967" t="s">
        <v>2943</v>
      </c>
      <c r="H967" t="s">
        <v>2963</v>
      </c>
      <c r="I967" t="s">
        <v>3843</v>
      </c>
    </row>
    <row r="968" customHeight="1" ht="14.0">
      <c r="A968" t="s">
        <v>1579</v>
      </c>
      <c r="B968" s="153" t="s">
        <v>1580</v>
      </c>
      <c r="C968">
        <v>0.0</v>
      </c>
      <c r="D968">
        <v>0.0</v>
      </c>
      <c r="F968" t="s">
        <v>2942</v>
      </c>
      <c r="G968" t="s">
        <v>2943</v>
      </c>
      <c r="H968" t="s">
        <v>2963</v>
      </c>
      <c r="I968" t="s">
        <v>3843</v>
      </c>
    </row>
    <row r="969" customHeight="1" ht="14.0">
      <c r="A969" t="s">
        <v>1581</v>
      </c>
      <c r="B969" s="153" t="s">
        <v>1582</v>
      </c>
      <c r="C969">
        <v>3.0</v>
      </c>
      <c r="D969">
        <v>0.0</v>
      </c>
      <c r="E969">
        <v>0.0</v>
      </c>
      <c r="F969" t="s">
        <v>2942</v>
      </c>
      <c r="G969" t="s">
        <v>2962</v>
      </c>
      <c r="H969" t="s">
        <v>2963</v>
      </c>
      <c r="I969" t="s">
        <v>3843</v>
      </c>
    </row>
    <row r="970" customHeight="1" ht="14.0">
      <c r="A970" t="s">
        <v>1583</v>
      </c>
      <c r="B970" s="153" t="s">
        <v>1584</v>
      </c>
      <c r="C970">
        <v>2.0</v>
      </c>
      <c r="D970">
        <v>0.01</v>
      </c>
      <c r="E970">
        <v>0.005</v>
      </c>
      <c r="F970" t="s">
        <v>2942</v>
      </c>
      <c r="G970" t="s">
        <v>2962</v>
      </c>
      <c r="H970" t="s">
        <v>2963</v>
      </c>
      <c r="I970" t="s">
        <v>3843</v>
      </c>
    </row>
    <row r="971" customHeight="1" ht="14.0">
      <c r="A971" t="s">
        <v>1585</v>
      </c>
      <c r="B971" s="153" t="s">
        <v>1586</v>
      </c>
      <c r="C971">
        <v>0.0</v>
      </c>
      <c r="D971">
        <v>0.0</v>
      </c>
      <c r="F971" t="s">
        <v>2942</v>
      </c>
      <c r="G971" t="s">
        <v>2943</v>
      </c>
      <c r="H971" t="s">
        <v>2963</v>
      </c>
      <c r="I971" t="s">
        <v>3843</v>
      </c>
    </row>
    <row r="972" customHeight="1" ht="14.0">
      <c r="A972" t="s">
        <v>1587</v>
      </c>
      <c r="B972" s="153" t="s">
        <v>1588</v>
      </c>
      <c r="C972">
        <v>0.0</v>
      </c>
      <c r="D972">
        <v>0.0</v>
      </c>
      <c r="F972" t="s">
        <v>2942</v>
      </c>
      <c r="G972" t="s">
        <v>2943</v>
      </c>
      <c r="H972" t="s">
        <v>2963</v>
      </c>
      <c r="I972" t="s">
        <v>3843</v>
      </c>
    </row>
    <row r="973" customHeight="1" ht="14.0">
      <c r="A973" t="s">
        <v>1589</v>
      </c>
      <c r="B973" s="153" t="s">
        <v>1590</v>
      </c>
      <c r="C973">
        <v>0.0</v>
      </c>
      <c r="D973">
        <v>0.0</v>
      </c>
      <c r="F973" t="s">
        <v>2942</v>
      </c>
      <c r="G973" t="s">
        <v>2943</v>
      </c>
      <c r="H973" t="s">
        <v>2963</v>
      </c>
      <c r="I973" t="s">
        <v>3843</v>
      </c>
    </row>
    <row r="974" customHeight="1" ht="14.0">
      <c r="A974" t="s">
        <v>1591</v>
      </c>
      <c r="B974" s="153" t="s">
        <v>1592</v>
      </c>
      <c r="C974">
        <v>1.0</v>
      </c>
      <c r="D974">
        <v>0.0</v>
      </c>
      <c r="E974">
        <v>0.0</v>
      </c>
      <c r="F974" t="s">
        <v>2942</v>
      </c>
      <c r="G974" t="s">
        <v>2962</v>
      </c>
      <c r="H974" t="s">
        <v>2963</v>
      </c>
      <c r="I974" t="s">
        <v>3843</v>
      </c>
    </row>
    <row r="975" customHeight="1" ht="14.0">
      <c r="A975" t="s">
        <v>1593</v>
      </c>
      <c r="B975" s="153" t="s">
        <v>1594</v>
      </c>
      <c r="C975">
        <v>0.0</v>
      </c>
      <c r="D975">
        <v>0.0</v>
      </c>
      <c r="F975" t="s">
        <v>2942</v>
      </c>
      <c r="G975" t="s">
        <v>2943</v>
      </c>
      <c r="H975" t="s">
        <v>2963</v>
      </c>
      <c r="I975" t="s">
        <v>3843</v>
      </c>
    </row>
    <row r="976" customHeight="1" ht="14.0">
      <c r="A976" t="s">
        <v>1595</v>
      </c>
      <c r="B976" s="153" t="s">
        <v>1596</v>
      </c>
      <c r="C976">
        <v>0.0</v>
      </c>
      <c r="D976">
        <v>0.0</v>
      </c>
      <c r="F976" t="s">
        <v>2942</v>
      </c>
      <c r="G976" t="s">
        <v>2943</v>
      </c>
      <c r="H976" t="s">
        <v>2963</v>
      </c>
      <c r="I976" t="s">
        <v>3843</v>
      </c>
    </row>
    <row r="977" customHeight="1" ht="14.0">
      <c r="A977" t="s">
        <v>1597</v>
      </c>
      <c r="B977" s="153" t="s">
        <v>1598</v>
      </c>
      <c r="C977">
        <v>0.0</v>
      </c>
      <c r="D977">
        <v>0.0</v>
      </c>
      <c r="F977" t="s">
        <v>2942</v>
      </c>
      <c r="G977" t="s">
        <v>2943</v>
      </c>
      <c r="H977" t="s">
        <v>2963</v>
      </c>
      <c r="I977" t="s">
        <v>3843</v>
      </c>
    </row>
    <row r="978" customHeight="1" ht="14.0">
      <c r="A978" t="s">
        <v>1599</v>
      </c>
      <c r="B978" s="153" t="s">
        <v>1600</v>
      </c>
      <c r="C978">
        <v>2.0</v>
      </c>
      <c r="D978">
        <v>0.01</v>
      </c>
      <c r="E978">
        <v>0.005</v>
      </c>
      <c r="F978" t="s">
        <v>2942</v>
      </c>
      <c r="G978" t="s">
        <v>2962</v>
      </c>
      <c r="H978" t="s">
        <v>2963</v>
      </c>
      <c r="I978" t="s">
        <v>3843</v>
      </c>
    </row>
    <row r="979" customHeight="1" ht="14.0">
      <c r="A979" t="s">
        <v>1601</v>
      </c>
      <c r="B979" s="153" t="s">
        <v>1602</v>
      </c>
      <c r="C979">
        <v>9.0</v>
      </c>
      <c r="D979">
        <v>0.01</v>
      </c>
      <c r="E979">
        <v>0.0011</v>
      </c>
      <c r="F979" t="s">
        <v>2942</v>
      </c>
      <c r="G979" t="s">
        <v>2962</v>
      </c>
      <c r="H979" t="s">
        <v>2963</v>
      </c>
      <c r="I979" t="s">
        <v>3843</v>
      </c>
    </row>
    <row r="980" customHeight="1" ht="14.0">
      <c r="A980" t="s">
        <v>1603</v>
      </c>
      <c r="B980" s="153" t="s">
        <v>1604</v>
      </c>
      <c r="C980">
        <v>6.0</v>
      </c>
      <c r="D980">
        <v>0.01</v>
      </c>
      <c r="E980">
        <v>0.0017</v>
      </c>
      <c r="F980" t="s">
        <v>2942</v>
      </c>
      <c r="G980" t="s">
        <v>2962</v>
      </c>
      <c r="H980" t="s">
        <v>2963</v>
      </c>
      <c r="I980" t="s">
        <v>3843</v>
      </c>
    </row>
    <row r="981" customHeight="1" ht="14.0">
      <c r="A981" t="s">
        <v>1605</v>
      </c>
      <c r="B981" s="153" t="s">
        <v>1606</v>
      </c>
      <c r="C981">
        <v>0.0</v>
      </c>
      <c r="D981">
        <v>0.0</v>
      </c>
      <c r="F981" t="s">
        <v>2942</v>
      </c>
      <c r="G981" t="s">
        <v>2943</v>
      </c>
      <c r="H981" t="s">
        <v>2963</v>
      </c>
      <c r="I981" t="s">
        <v>3843</v>
      </c>
    </row>
    <row r="982" customHeight="1" ht="14.0">
      <c r="A982" t="s">
        <v>1607</v>
      </c>
      <c r="B982" s="153" t="s">
        <v>1608</v>
      </c>
      <c r="C982">
        <v>0.0</v>
      </c>
      <c r="D982">
        <v>0.0</v>
      </c>
      <c r="F982" t="s">
        <v>2942</v>
      </c>
      <c r="G982" t="s">
        <v>2943</v>
      </c>
      <c r="H982" t="s">
        <v>2963</v>
      </c>
      <c r="I982" t="s">
        <v>3843</v>
      </c>
    </row>
    <row r="983" customHeight="1" ht="14.0">
      <c r="A983" t="s">
        <v>1609</v>
      </c>
      <c r="B983" s="153" t="s">
        <v>1610</v>
      </c>
      <c r="C983">
        <v>0.0</v>
      </c>
      <c r="D983">
        <v>0.0</v>
      </c>
      <c r="F983" t="s">
        <v>2942</v>
      </c>
      <c r="G983" t="s">
        <v>2943</v>
      </c>
      <c r="H983" t="s">
        <v>2963</v>
      </c>
      <c r="I983" t="s">
        <v>3843</v>
      </c>
    </row>
    <row r="984" customHeight="1" ht="14.0">
      <c r="A984" t="s">
        <v>1611</v>
      </c>
      <c r="B984" s="153" t="s">
        <v>1612</v>
      </c>
      <c r="C984">
        <v>0.0</v>
      </c>
      <c r="D984">
        <v>0.0</v>
      </c>
      <c r="F984" t="s">
        <v>2942</v>
      </c>
      <c r="G984" t="s">
        <v>2943</v>
      </c>
      <c r="H984" t="s">
        <v>2963</v>
      </c>
      <c r="I984" t="s">
        <v>3843</v>
      </c>
    </row>
    <row r="985" customHeight="1" ht="14.0">
      <c r="A985" t="s">
        <v>1613</v>
      </c>
      <c r="B985" s="153" t="s">
        <v>1614</v>
      </c>
      <c r="C985">
        <v>0.0</v>
      </c>
      <c r="D985">
        <v>0.0</v>
      </c>
      <c r="F985" t="s">
        <v>2942</v>
      </c>
      <c r="G985" t="s">
        <v>2943</v>
      </c>
      <c r="H985" t="s">
        <v>2963</v>
      </c>
      <c r="I985" t="s">
        <v>3843</v>
      </c>
    </row>
    <row r="986" customHeight="1" ht="14.0">
      <c r="A986" t="s">
        <v>1615</v>
      </c>
      <c r="B986" s="153" t="s">
        <v>1616</v>
      </c>
      <c r="C986">
        <v>2.0</v>
      </c>
      <c r="D986">
        <v>0.01</v>
      </c>
      <c r="E986">
        <v>0.005</v>
      </c>
      <c r="F986" t="s">
        <v>2942</v>
      </c>
      <c r="G986" t="s">
        <v>2962</v>
      </c>
      <c r="H986" t="s">
        <v>2963</v>
      </c>
      <c r="I986" t="s">
        <v>3843</v>
      </c>
    </row>
    <row r="987" customHeight="1" ht="14.0">
      <c r="A987" t="s">
        <v>1617</v>
      </c>
      <c r="B987" s="153" t="s">
        <v>1618</v>
      </c>
      <c r="C987">
        <v>4.0</v>
      </c>
      <c r="D987">
        <v>0.0</v>
      </c>
      <c r="E987">
        <v>0.0</v>
      </c>
      <c r="F987" t="s">
        <v>2942</v>
      </c>
      <c r="G987" t="s">
        <v>2962</v>
      </c>
      <c r="H987" t="s">
        <v>2963</v>
      </c>
      <c r="I987" t="s">
        <v>3843</v>
      </c>
    </row>
    <row r="988" customHeight="1" ht="14.0">
      <c r="A988" t="s">
        <v>1619</v>
      </c>
      <c r="B988" s="153" t="s">
        <v>1620</v>
      </c>
      <c r="C988">
        <v>6.0</v>
      </c>
      <c r="D988">
        <v>0.01</v>
      </c>
      <c r="E988">
        <v>0.0017</v>
      </c>
      <c r="F988" t="s">
        <v>2942</v>
      </c>
      <c r="G988" t="s">
        <v>2962</v>
      </c>
      <c r="H988" t="s">
        <v>2963</v>
      </c>
      <c r="I988" t="s">
        <v>3843</v>
      </c>
    </row>
    <row r="989" customHeight="1" ht="14.0">
      <c r="A989" t="s">
        <v>1621</v>
      </c>
      <c r="B989" s="153" t="s">
        <v>1622</v>
      </c>
      <c r="C989">
        <v>9.0</v>
      </c>
      <c r="D989">
        <v>0.0</v>
      </c>
      <c r="E989">
        <v>0.0</v>
      </c>
      <c r="F989" t="s">
        <v>2942</v>
      </c>
      <c r="G989" t="s">
        <v>2962</v>
      </c>
      <c r="H989" t="s">
        <v>2963</v>
      </c>
      <c r="I989" t="s">
        <v>3843</v>
      </c>
    </row>
    <row r="990" customHeight="1" ht="14.0">
      <c r="A990" t="s">
        <v>1623</v>
      </c>
      <c r="B990" s="153" t="s">
        <v>1624</v>
      </c>
      <c r="C990">
        <v>0.0</v>
      </c>
      <c r="D990">
        <v>0.0</v>
      </c>
      <c r="F990" t="s">
        <v>2942</v>
      </c>
      <c r="G990" t="s">
        <v>2943</v>
      </c>
      <c r="H990" t="s">
        <v>2963</v>
      </c>
      <c r="I990" t="s">
        <v>3843</v>
      </c>
    </row>
    <row r="991" customHeight="1" ht="14.0">
      <c r="A991" t="s">
        <v>1625</v>
      </c>
      <c r="B991" s="153" t="s">
        <v>1626</v>
      </c>
      <c r="C991">
        <v>0.0</v>
      </c>
      <c r="D991">
        <v>0.0</v>
      </c>
      <c r="F991" t="s">
        <v>2942</v>
      </c>
      <c r="G991" t="s">
        <v>2943</v>
      </c>
      <c r="H991" t="s">
        <v>2963</v>
      </c>
      <c r="I991" t="s">
        <v>3843</v>
      </c>
    </row>
    <row r="992" customHeight="1" ht="14.0">
      <c r="A992" t="s">
        <v>3850</v>
      </c>
      <c r="B992" s="153" t="s">
        <v>3851</v>
      </c>
      <c r="C992">
        <v>0.0</v>
      </c>
      <c r="D992">
        <v>0.0</v>
      </c>
      <c r="F992" t="s">
        <v>2942</v>
      </c>
      <c r="G992" t="s">
        <v>2943</v>
      </c>
      <c r="H992" t="s">
        <v>2944</v>
      </c>
      <c r="I992" t="s">
        <v>453</v>
      </c>
    </row>
    <row r="993" customHeight="1" ht="14.0">
      <c r="A993" t="s">
        <v>3852</v>
      </c>
      <c r="B993" s="153" t="s">
        <v>3853</v>
      </c>
      <c r="C993">
        <v>0.0</v>
      </c>
      <c r="D993">
        <v>0.0</v>
      </c>
      <c r="F993" t="s">
        <v>2942</v>
      </c>
      <c r="G993" t="s">
        <v>2943</v>
      </c>
      <c r="H993" t="s">
        <v>2944</v>
      </c>
      <c r="I993" t="s">
        <v>453</v>
      </c>
    </row>
    <row r="994" customHeight="1" ht="14.0">
      <c r="A994" t="s">
        <v>1627</v>
      </c>
      <c r="B994" s="153" t="s">
        <v>1628</v>
      </c>
      <c r="C994">
        <v>0.0</v>
      </c>
      <c r="D994">
        <v>0.0</v>
      </c>
      <c r="F994" t="s">
        <v>2942</v>
      </c>
      <c r="G994" t="s">
        <v>2943</v>
      </c>
      <c r="H994" t="s">
        <v>2944</v>
      </c>
      <c r="I994" t="s">
        <v>453</v>
      </c>
    </row>
    <row r="995" customHeight="1" ht="14.0">
      <c r="A995" t="s">
        <v>3854</v>
      </c>
      <c r="B995" s="153" t="s">
        <v>3855</v>
      </c>
      <c r="C995">
        <v>0.0</v>
      </c>
      <c r="D995">
        <v>0.0</v>
      </c>
      <c r="F995" t="s">
        <v>2942</v>
      </c>
      <c r="G995" t="s">
        <v>2943</v>
      </c>
      <c r="H995" t="s">
        <v>2944</v>
      </c>
      <c r="I995" t="s">
        <v>453</v>
      </c>
    </row>
    <row r="996" customHeight="1" ht="14.0">
      <c r="A996" t="s">
        <v>3856</v>
      </c>
      <c r="B996" s="153" t="s">
        <v>3857</v>
      </c>
      <c r="C996">
        <v>0.0</v>
      </c>
      <c r="D996">
        <v>0.0</v>
      </c>
      <c r="F996" t="s">
        <v>2942</v>
      </c>
      <c r="G996" t="s">
        <v>2943</v>
      </c>
      <c r="H996" t="s">
        <v>2944</v>
      </c>
      <c r="I996" t="s">
        <v>3450</v>
      </c>
    </row>
    <row r="997" customHeight="1" ht="14.0">
      <c r="A997" t="s">
        <v>3858</v>
      </c>
      <c r="B997" s="153" t="s">
        <v>3859</v>
      </c>
      <c r="C997">
        <v>36.0</v>
      </c>
      <c r="D997">
        <v>485.64</v>
      </c>
      <c r="E997">
        <v>13.49</v>
      </c>
      <c r="F997" t="s">
        <v>2942</v>
      </c>
      <c r="G997" t="s">
        <v>2962</v>
      </c>
      <c r="I997" t="s">
        <v>197</v>
      </c>
    </row>
    <row r="998" customHeight="1" ht="14.0">
      <c r="A998" t="s">
        <v>1629</v>
      </c>
      <c r="B998" s="153" t="s">
        <v>1630</v>
      </c>
      <c r="C998">
        <v>1089.0</v>
      </c>
      <c r="D998">
        <v>1359.61</v>
      </c>
      <c r="E998">
        <v>1.2485</v>
      </c>
      <c r="F998" t="s">
        <v>2942</v>
      </c>
      <c r="G998" t="s">
        <v>2943</v>
      </c>
      <c r="H998" t="s">
        <v>3161</v>
      </c>
      <c r="I998" t="s">
        <v>197</v>
      </c>
    </row>
    <row r="999" customHeight="1" ht="14.0">
      <c r="A999" t="s">
        <v>3860</v>
      </c>
      <c r="B999" s="153" t="s">
        <v>3861</v>
      </c>
      <c r="C999">
        <v>64.0</v>
      </c>
      <c r="D999">
        <v>863.36</v>
      </c>
      <c r="E999">
        <v>13.49</v>
      </c>
      <c r="F999" t="s">
        <v>2942</v>
      </c>
      <c r="G999" t="s">
        <v>2962</v>
      </c>
      <c r="I999" t="s">
        <v>197</v>
      </c>
    </row>
    <row r="1000" customHeight="1" ht="14.0">
      <c r="A1000" t="s">
        <v>1649</v>
      </c>
      <c r="B1000" s="153" t="s">
        <v>1650</v>
      </c>
      <c r="C1000">
        <v>0.0</v>
      </c>
      <c r="D1000">
        <v>0.0</v>
      </c>
      <c r="F1000" t="s">
        <v>2942</v>
      </c>
      <c r="G1000" t="s">
        <v>2943</v>
      </c>
      <c r="H1000" t="s">
        <v>2963</v>
      </c>
      <c r="I1000" t="s">
        <v>3125</v>
      </c>
    </row>
    <row r="1001" customHeight="1" ht="14.0">
      <c r="A1001" t="s">
        <v>1651</v>
      </c>
      <c r="B1001" s="153" t="s">
        <v>1652</v>
      </c>
      <c r="C1001">
        <v>0.0</v>
      </c>
      <c r="D1001">
        <v>0.0</v>
      </c>
      <c r="F1001" t="s">
        <v>2942</v>
      </c>
      <c r="G1001" t="s">
        <v>2943</v>
      </c>
      <c r="H1001" t="s">
        <v>2963</v>
      </c>
      <c r="I1001" t="s">
        <v>3125</v>
      </c>
    </row>
    <row r="1002" customHeight="1" ht="14.0">
      <c r="A1002" t="s">
        <v>1653</v>
      </c>
      <c r="B1002" s="153" t="s">
        <v>1654</v>
      </c>
      <c r="C1002">
        <v>228.0</v>
      </c>
      <c r="D1002">
        <v>153.85</v>
      </c>
      <c r="E1002">
        <v>0.6748</v>
      </c>
      <c r="F1002" t="s">
        <v>2942</v>
      </c>
      <c r="G1002" t="s">
        <v>2962</v>
      </c>
      <c r="H1002" t="s">
        <v>2963</v>
      </c>
      <c r="I1002" t="s">
        <v>3125</v>
      </c>
    </row>
    <row r="1003" customHeight="1" ht="14.0">
      <c r="A1003" t="s">
        <v>1655</v>
      </c>
      <c r="B1003" s="153" t="s">
        <v>1656</v>
      </c>
      <c r="C1003">
        <v>60.0</v>
      </c>
      <c r="D1003">
        <v>40.12</v>
      </c>
      <c r="E1003">
        <v>0.6687</v>
      </c>
      <c r="F1003" t="s">
        <v>2942</v>
      </c>
      <c r="G1003" t="s">
        <v>2962</v>
      </c>
      <c r="H1003" t="s">
        <v>2963</v>
      </c>
      <c r="I1003" t="s">
        <v>3125</v>
      </c>
    </row>
    <row r="1004" customHeight="1" ht="14.0">
      <c r="A1004" t="s">
        <v>1657</v>
      </c>
      <c r="B1004" s="153" t="s">
        <v>1658</v>
      </c>
      <c r="C1004">
        <v>0.0</v>
      </c>
      <c r="D1004">
        <v>0.0</v>
      </c>
      <c r="F1004" t="s">
        <v>2942</v>
      </c>
      <c r="G1004" t="s">
        <v>2943</v>
      </c>
      <c r="H1004" t="s">
        <v>2963</v>
      </c>
      <c r="I1004" t="s">
        <v>3125</v>
      </c>
    </row>
    <row r="1005" customHeight="1" ht="14.0">
      <c r="A1005" t="s">
        <v>1659</v>
      </c>
      <c r="B1005" s="153" t="s">
        <v>1660</v>
      </c>
      <c r="C1005">
        <v>90.0</v>
      </c>
      <c r="D1005">
        <v>60.5</v>
      </c>
      <c r="E1005">
        <v>0.6722</v>
      </c>
      <c r="F1005" t="s">
        <v>2942</v>
      </c>
      <c r="G1005" t="s">
        <v>2962</v>
      </c>
      <c r="H1005" t="s">
        <v>2963</v>
      </c>
      <c r="I1005" t="s">
        <v>3125</v>
      </c>
    </row>
    <row r="1006" customHeight="1" ht="14.0">
      <c r="A1006" t="s">
        <v>1661</v>
      </c>
      <c r="B1006" s="153" t="s">
        <v>1662</v>
      </c>
      <c r="C1006">
        <v>0.0</v>
      </c>
      <c r="D1006">
        <v>0.0</v>
      </c>
      <c r="F1006" t="s">
        <v>2942</v>
      </c>
      <c r="G1006" t="s">
        <v>2943</v>
      </c>
      <c r="H1006" t="s">
        <v>2963</v>
      </c>
      <c r="I1006" t="s">
        <v>3125</v>
      </c>
    </row>
    <row r="1007" customHeight="1" ht="14.0">
      <c r="A1007" t="s">
        <v>1663</v>
      </c>
      <c r="B1007" s="153" t="s">
        <v>1664</v>
      </c>
      <c r="C1007">
        <v>330.0</v>
      </c>
      <c r="D1007">
        <v>222.84</v>
      </c>
      <c r="E1007">
        <v>0.6753</v>
      </c>
      <c r="F1007" t="s">
        <v>2942</v>
      </c>
      <c r="G1007" t="s">
        <v>2962</v>
      </c>
      <c r="H1007" t="s">
        <v>2963</v>
      </c>
      <c r="I1007" t="s">
        <v>3125</v>
      </c>
    </row>
    <row r="1008" customHeight="1" ht="14.0">
      <c r="A1008" t="s">
        <v>1665</v>
      </c>
      <c r="B1008" s="153" t="s">
        <v>1666</v>
      </c>
      <c r="C1008">
        <v>30.0</v>
      </c>
      <c r="D1008">
        <v>19.9</v>
      </c>
      <c r="E1008">
        <v>0.6633</v>
      </c>
      <c r="F1008" t="s">
        <v>2942</v>
      </c>
      <c r="G1008" t="s">
        <v>2962</v>
      </c>
      <c r="H1008" t="s">
        <v>2963</v>
      </c>
      <c r="I1008" t="s">
        <v>3125</v>
      </c>
    </row>
    <row r="1009" customHeight="1" ht="14.0">
      <c r="A1009" t="s">
        <v>3862</v>
      </c>
      <c r="B1009" s="153" t="s">
        <v>1668</v>
      </c>
      <c r="C1009">
        <v>1.0</v>
      </c>
      <c r="D1009">
        <v>59.68</v>
      </c>
      <c r="E1009">
        <v>59.68</v>
      </c>
      <c r="F1009" t="s">
        <v>2994</v>
      </c>
      <c r="G1009" t="s">
        <v>2943</v>
      </c>
      <c r="H1009" t="s">
        <v>2963</v>
      </c>
      <c r="I1009" t="s">
        <v>3125</v>
      </c>
    </row>
    <row r="1010" customHeight="1" ht="14.0">
      <c r="A1010" t="s">
        <v>3863</v>
      </c>
      <c r="B1010" s="153" t="s">
        <v>3864</v>
      </c>
      <c r="C1010">
        <v>835.0</v>
      </c>
      <c r="D1010">
        <v>842.44</v>
      </c>
      <c r="E1010">
        <v>1.0089</v>
      </c>
      <c r="F1010" t="s">
        <v>2942</v>
      </c>
      <c r="G1010" t="s">
        <v>2962</v>
      </c>
      <c r="H1010" t="s">
        <v>3865</v>
      </c>
      <c r="I1010" t="s">
        <v>647</v>
      </c>
    </row>
    <row r="1011" customHeight="1" ht="14.0">
      <c r="A1011" t="s">
        <v>3866</v>
      </c>
      <c r="B1011" s="153" t="s">
        <v>3867</v>
      </c>
      <c r="C1011">
        <v>840.0</v>
      </c>
      <c r="D1011">
        <v>847.47</v>
      </c>
      <c r="E1011">
        <v>1.0089</v>
      </c>
      <c r="F1011" t="s">
        <v>2942</v>
      </c>
      <c r="G1011" t="s">
        <v>2962</v>
      </c>
      <c r="H1011" t="s">
        <v>3865</v>
      </c>
      <c r="I1011" t="s">
        <v>647</v>
      </c>
    </row>
    <row r="1012" customHeight="1" ht="14.0">
      <c r="A1012" t="s">
        <v>3868</v>
      </c>
      <c r="B1012" s="153" t="s">
        <v>3869</v>
      </c>
      <c r="C1012">
        <v>785.0</v>
      </c>
      <c r="D1012">
        <v>791.93</v>
      </c>
      <c r="E1012">
        <v>1.0088</v>
      </c>
      <c r="F1012" t="s">
        <v>2942</v>
      </c>
      <c r="G1012" t="s">
        <v>2962</v>
      </c>
      <c r="H1012" t="s">
        <v>3865</v>
      </c>
      <c r="I1012" t="s">
        <v>647</v>
      </c>
    </row>
    <row r="1013" customHeight="1" ht="14.0">
      <c r="A1013" t="s">
        <v>3870</v>
      </c>
      <c r="B1013" s="153" t="s">
        <v>3871</v>
      </c>
      <c r="C1013">
        <v>799.0</v>
      </c>
      <c r="D1013">
        <v>806.06</v>
      </c>
      <c r="E1013">
        <v>1.0088</v>
      </c>
      <c r="F1013" t="s">
        <v>2942</v>
      </c>
      <c r="G1013" t="s">
        <v>2962</v>
      </c>
      <c r="H1013" t="s">
        <v>3865</v>
      </c>
      <c r="I1013" t="s">
        <v>647</v>
      </c>
    </row>
    <row r="1014" customHeight="1" ht="14.0">
      <c r="A1014" t="s">
        <v>3872</v>
      </c>
      <c r="B1014" s="153" t="s">
        <v>3873</v>
      </c>
      <c r="C1014">
        <v>821.0</v>
      </c>
      <c r="D1014">
        <v>828.27</v>
      </c>
      <c r="E1014">
        <v>1.0089</v>
      </c>
      <c r="F1014" t="s">
        <v>2942</v>
      </c>
      <c r="G1014" t="s">
        <v>2962</v>
      </c>
      <c r="H1014" t="s">
        <v>3865</v>
      </c>
      <c r="I1014" t="s">
        <v>647</v>
      </c>
    </row>
    <row r="1015" customHeight="1" ht="14.0">
      <c r="A1015" t="s">
        <v>3874</v>
      </c>
      <c r="B1015" s="153" t="s">
        <v>3875</v>
      </c>
      <c r="C1015">
        <v>845.0</v>
      </c>
      <c r="D1015">
        <v>852.52</v>
      </c>
      <c r="E1015">
        <v>1.0089</v>
      </c>
      <c r="F1015" t="s">
        <v>2942</v>
      </c>
      <c r="G1015" t="s">
        <v>2962</v>
      </c>
      <c r="H1015" t="s">
        <v>3865</v>
      </c>
      <c r="I1015" t="s">
        <v>647</v>
      </c>
    </row>
    <row r="1016" customHeight="1" ht="14.0">
      <c r="A1016" t="s">
        <v>3876</v>
      </c>
      <c r="B1016" s="153" t="s">
        <v>3877</v>
      </c>
      <c r="C1016">
        <v>931.0</v>
      </c>
      <c r="D1016">
        <v>939.32</v>
      </c>
      <c r="E1016">
        <v>1.0089</v>
      </c>
      <c r="F1016" t="s">
        <v>2942</v>
      </c>
      <c r="G1016" t="s">
        <v>2962</v>
      </c>
      <c r="H1016" t="s">
        <v>3865</v>
      </c>
      <c r="I1016" t="s">
        <v>647</v>
      </c>
    </row>
    <row r="1017" customHeight="1" ht="14.0">
      <c r="A1017" t="s">
        <v>3878</v>
      </c>
      <c r="B1017" s="153" t="s">
        <v>3879</v>
      </c>
      <c r="C1017">
        <v>17.0</v>
      </c>
      <c r="D1017">
        <v>72.63</v>
      </c>
      <c r="E1017">
        <v>4.2724</v>
      </c>
      <c r="F1017" t="s">
        <v>2942</v>
      </c>
      <c r="G1017" t="s">
        <v>2962</v>
      </c>
      <c r="I1017" t="s">
        <v>197</v>
      </c>
    </row>
    <row r="1018" customHeight="1" ht="14.0">
      <c r="A1018" t="s">
        <v>3880</v>
      </c>
      <c r="B1018" s="153" t="s">
        <v>3881</v>
      </c>
      <c r="C1018">
        <v>5.0</v>
      </c>
      <c r="D1018">
        <v>162.91</v>
      </c>
      <c r="E1018">
        <v>32.582</v>
      </c>
      <c r="F1018" t="s">
        <v>2942</v>
      </c>
      <c r="G1018" t="s">
        <v>2962</v>
      </c>
      <c r="H1018" t="s">
        <v>3865</v>
      </c>
      <c r="I1018" t="s">
        <v>647</v>
      </c>
    </row>
    <row r="1019" customHeight="1" ht="14.0">
      <c r="A1019" t="s">
        <v>3882</v>
      </c>
      <c r="B1019" s="153" t="s">
        <v>3883</v>
      </c>
      <c r="C1019">
        <v>162.0</v>
      </c>
      <c r="D1019">
        <v>16.2</v>
      </c>
      <c r="E1019">
        <v>0.1</v>
      </c>
      <c r="F1019" t="s">
        <v>3197</v>
      </c>
      <c r="G1019" t="s">
        <v>2962</v>
      </c>
      <c r="H1019" t="s">
        <v>3455</v>
      </c>
    </row>
    <row r="1020" customHeight="1" ht="14.0">
      <c r="A1020" t="s">
        <v>3884</v>
      </c>
      <c r="B1020" s="153" t="s">
        <v>3885</v>
      </c>
      <c r="C1020">
        <v>0.0</v>
      </c>
      <c r="D1020">
        <v>0.0</v>
      </c>
      <c r="F1020" t="s">
        <v>2942</v>
      </c>
      <c r="G1020" t="s">
        <v>2962</v>
      </c>
      <c r="H1020" t="s">
        <v>2963</v>
      </c>
    </row>
    <row r="1021" customHeight="1" ht="14.0">
      <c r="A1021" t="s">
        <v>3886</v>
      </c>
      <c r="B1021" s="153">
        <v>26414.0</v>
      </c>
      <c r="C1021">
        <v>0.0</v>
      </c>
      <c r="D1021">
        <v>0.0</v>
      </c>
      <c r="F1021" t="s">
        <v>2942</v>
      </c>
      <c r="G1021" t="s">
        <v>2943</v>
      </c>
      <c r="H1021" t="s">
        <v>2944</v>
      </c>
      <c r="I1021" t="s">
        <v>3783</v>
      </c>
    </row>
    <row r="1022" customHeight="1" ht="14.0">
      <c r="A1022" t="s">
        <v>3887</v>
      </c>
      <c r="B1022" s="153">
        <v>30049.0</v>
      </c>
      <c r="C1022">
        <v>0.0</v>
      </c>
      <c r="D1022">
        <v>0.0</v>
      </c>
      <c r="F1022" t="s">
        <v>2942</v>
      </c>
      <c r="G1022" t="s">
        <v>2943</v>
      </c>
      <c r="H1022" t="s">
        <v>2944</v>
      </c>
      <c r="I1022" t="s">
        <v>3783</v>
      </c>
    </row>
    <row r="1023" customHeight="1" ht="14.0">
      <c r="A1023" t="s">
        <v>3888</v>
      </c>
      <c r="B1023" s="153" t="s">
        <v>3889</v>
      </c>
      <c r="C1023">
        <v>0.0</v>
      </c>
      <c r="D1023">
        <v>0.0</v>
      </c>
      <c r="F1023" t="s">
        <v>2942</v>
      </c>
      <c r="G1023" t="s">
        <v>2943</v>
      </c>
      <c r="H1023" t="s">
        <v>2944</v>
      </c>
      <c r="I1023" t="s">
        <v>3708</v>
      </c>
    </row>
    <row r="1024" customHeight="1" ht="14.0">
      <c r="A1024" t="s">
        <v>3890</v>
      </c>
      <c r="B1024" s="153" t="s">
        <v>3891</v>
      </c>
      <c r="C1024">
        <v>0.0</v>
      </c>
      <c r="D1024">
        <v>0.0</v>
      </c>
      <c r="F1024" t="s">
        <v>2942</v>
      </c>
      <c r="G1024" t="s">
        <v>2943</v>
      </c>
      <c r="H1024" t="s">
        <v>2944</v>
      </c>
      <c r="I1024" t="s">
        <v>2977</v>
      </c>
    </row>
    <row r="1025" customHeight="1" ht="14.0">
      <c r="A1025" t="s">
        <v>3892</v>
      </c>
      <c r="B1025" s="153" t="s">
        <v>3893</v>
      </c>
      <c r="C1025">
        <v>0.0</v>
      </c>
      <c r="D1025">
        <v>0.0</v>
      </c>
      <c r="F1025" t="s">
        <v>2994</v>
      </c>
      <c r="G1025" t="s">
        <v>2943</v>
      </c>
      <c r="H1025" t="s">
        <v>2963</v>
      </c>
      <c r="I1025" t="s">
        <v>3491</v>
      </c>
    </row>
    <row r="1026" customHeight="1" ht="14.0">
      <c r="A1026" t="s">
        <v>1671</v>
      </c>
      <c r="B1026" s="153" t="s">
        <v>1672</v>
      </c>
      <c r="C1026">
        <v>0.0</v>
      </c>
      <c r="D1026">
        <v>0.0</v>
      </c>
      <c r="F1026" t="s">
        <v>2994</v>
      </c>
      <c r="G1026" t="s">
        <v>2943</v>
      </c>
      <c r="H1026" t="s">
        <v>2963</v>
      </c>
      <c r="I1026" t="s">
        <v>3894</v>
      </c>
    </row>
    <row r="1027" customHeight="1" ht="14.0">
      <c r="A1027" t="s">
        <v>1673</v>
      </c>
      <c r="B1027" s="153" t="s">
        <v>1674</v>
      </c>
      <c r="C1027">
        <v>0.0</v>
      </c>
      <c r="D1027">
        <v>0.0</v>
      </c>
      <c r="F1027" t="s">
        <v>2942</v>
      </c>
      <c r="G1027" t="s">
        <v>2943</v>
      </c>
      <c r="H1027" t="s">
        <v>2963</v>
      </c>
      <c r="I1027" t="s">
        <v>3088</v>
      </c>
    </row>
    <row r="1028" customHeight="1" ht="14.0">
      <c r="A1028" t="s">
        <v>3895</v>
      </c>
      <c r="B1028" s="153" t="s">
        <v>3896</v>
      </c>
      <c r="C1028">
        <v>0.0</v>
      </c>
      <c r="D1028">
        <v>0.0</v>
      </c>
      <c r="F1028" t="s">
        <v>2942</v>
      </c>
      <c r="G1028" t="s">
        <v>2943</v>
      </c>
      <c r="H1028" t="s">
        <v>2944</v>
      </c>
      <c r="I1028" t="s">
        <v>3491</v>
      </c>
    </row>
    <row r="1029" customHeight="1" ht="14.0">
      <c r="A1029" t="s">
        <v>3897</v>
      </c>
      <c r="B1029" s="153" t="s">
        <v>3898</v>
      </c>
      <c r="C1029">
        <v>0.0</v>
      </c>
      <c r="D1029">
        <v>0.0</v>
      </c>
      <c r="F1029" t="s">
        <v>2942</v>
      </c>
      <c r="G1029" t="s">
        <v>2943</v>
      </c>
      <c r="H1029" t="s">
        <v>2944</v>
      </c>
      <c r="I1029" t="s">
        <v>3491</v>
      </c>
    </row>
    <row r="1030" customHeight="1" ht="14.0">
      <c r="A1030" t="s">
        <v>3899</v>
      </c>
      <c r="B1030" s="153" t="s">
        <v>3900</v>
      </c>
      <c r="C1030">
        <v>0.0</v>
      </c>
      <c r="D1030">
        <v>0.0</v>
      </c>
      <c r="F1030" t="s">
        <v>2942</v>
      </c>
      <c r="G1030" t="s">
        <v>2943</v>
      </c>
      <c r="H1030" t="s">
        <v>2944</v>
      </c>
      <c r="I1030" t="s">
        <v>3491</v>
      </c>
    </row>
    <row r="1031" customHeight="1" ht="14.0">
      <c r="A1031" t="s">
        <v>3901</v>
      </c>
      <c r="B1031" s="153" t="s">
        <v>3902</v>
      </c>
      <c r="C1031">
        <v>0.0</v>
      </c>
      <c r="D1031">
        <v>0.0</v>
      </c>
      <c r="F1031" t="s">
        <v>2942</v>
      </c>
      <c r="G1031" t="s">
        <v>2943</v>
      </c>
      <c r="H1031" t="s">
        <v>2944</v>
      </c>
      <c r="I1031" t="s">
        <v>3491</v>
      </c>
    </row>
    <row r="1032" customHeight="1" ht="14.0">
      <c r="A1032" t="s">
        <v>3903</v>
      </c>
      <c r="B1032" s="153" t="s">
        <v>3904</v>
      </c>
      <c r="C1032">
        <v>0.0</v>
      </c>
      <c r="D1032">
        <v>0.0</v>
      </c>
      <c r="F1032" t="s">
        <v>2942</v>
      </c>
      <c r="G1032" t="s">
        <v>2943</v>
      </c>
      <c r="H1032" t="s">
        <v>2944</v>
      </c>
      <c r="I1032" t="s">
        <v>3491</v>
      </c>
    </row>
    <row r="1033" customHeight="1" ht="14.0">
      <c r="A1033" t="s">
        <v>3905</v>
      </c>
      <c r="B1033" s="153" t="s">
        <v>3906</v>
      </c>
      <c r="C1033">
        <v>0.0</v>
      </c>
      <c r="D1033">
        <v>0.0</v>
      </c>
      <c r="F1033" t="s">
        <v>2942</v>
      </c>
      <c r="G1033" t="s">
        <v>2943</v>
      </c>
      <c r="H1033" t="s">
        <v>2944</v>
      </c>
      <c r="I1033" t="s">
        <v>3491</v>
      </c>
    </row>
    <row r="1034" customHeight="1" ht="14.0">
      <c r="A1034" t="s">
        <v>3907</v>
      </c>
      <c r="B1034" s="153" t="s">
        <v>3908</v>
      </c>
      <c r="C1034">
        <v>0.0</v>
      </c>
      <c r="D1034">
        <v>0.0</v>
      </c>
      <c r="F1034" t="s">
        <v>2942</v>
      </c>
      <c r="G1034" t="s">
        <v>2943</v>
      </c>
      <c r="H1034" t="s">
        <v>2944</v>
      </c>
      <c r="I1034" t="s">
        <v>3491</v>
      </c>
    </row>
    <row r="1035" customHeight="1" ht="14.0">
      <c r="A1035" t="s">
        <v>3909</v>
      </c>
      <c r="B1035" s="153" t="s">
        <v>3910</v>
      </c>
      <c r="C1035">
        <v>0.0</v>
      </c>
      <c r="D1035">
        <v>0.0</v>
      </c>
      <c r="F1035" t="s">
        <v>2994</v>
      </c>
      <c r="G1035" t="s">
        <v>2943</v>
      </c>
      <c r="H1035" t="s">
        <v>2944</v>
      </c>
      <c r="I1035" t="s">
        <v>83</v>
      </c>
    </row>
    <row r="1036" customHeight="1" ht="14.0">
      <c r="A1036" t="s">
        <v>3911</v>
      </c>
      <c r="B1036" s="153" t="s">
        <v>3912</v>
      </c>
      <c r="C1036">
        <v>0.0</v>
      </c>
      <c r="D1036">
        <v>0.0</v>
      </c>
      <c r="F1036" t="s">
        <v>2942</v>
      </c>
      <c r="G1036" t="s">
        <v>2943</v>
      </c>
      <c r="H1036" t="s">
        <v>2944</v>
      </c>
      <c r="I1036" t="s">
        <v>197</v>
      </c>
    </row>
    <row r="1037" customHeight="1" ht="14.0">
      <c r="A1037" t="s">
        <v>3913</v>
      </c>
      <c r="B1037" s="153" t="s">
        <v>3914</v>
      </c>
      <c r="C1037">
        <v>0.0</v>
      </c>
      <c r="D1037">
        <v>0.0</v>
      </c>
      <c r="F1037" t="s">
        <v>2942</v>
      </c>
      <c r="G1037" t="s">
        <v>2943</v>
      </c>
      <c r="H1037" t="s">
        <v>2944</v>
      </c>
      <c r="I1037" t="s">
        <v>3176</v>
      </c>
    </row>
    <row r="1038" customHeight="1" ht="14.0">
      <c r="A1038" t="s">
        <v>3915</v>
      </c>
      <c r="B1038" s="153" t="s">
        <v>3916</v>
      </c>
      <c r="C1038">
        <v>0.0</v>
      </c>
      <c r="D1038">
        <v>0.0</v>
      </c>
      <c r="F1038" t="s">
        <v>2942</v>
      </c>
      <c r="G1038" t="s">
        <v>2943</v>
      </c>
      <c r="H1038" t="s">
        <v>2944</v>
      </c>
      <c r="I1038" t="s">
        <v>3176</v>
      </c>
    </row>
    <row r="1039" customHeight="1" ht="14.0">
      <c r="A1039" t="s">
        <v>3917</v>
      </c>
      <c r="B1039" s="153" t="s">
        <v>3918</v>
      </c>
      <c r="C1039">
        <v>0.0</v>
      </c>
      <c r="D1039">
        <v>0.0</v>
      </c>
      <c r="F1039" t="s">
        <v>2942</v>
      </c>
      <c r="G1039" t="s">
        <v>2943</v>
      </c>
      <c r="H1039" t="s">
        <v>2944</v>
      </c>
      <c r="I1039" t="s">
        <v>3176</v>
      </c>
    </row>
    <row r="1040" customHeight="1" ht="14.0">
      <c r="A1040" t="s">
        <v>3919</v>
      </c>
      <c r="B1040" s="153" t="s">
        <v>3920</v>
      </c>
      <c r="C1040">
        <v>0.0</v>
      </c>
      <c r="D1040">
        <v>0.0</v>
      </c>
      <c r="F1040" t="s">
        <v>2942</v>
      </c>
      <c r="G1040" t="s">
        <v>2943</v>
      </c>
      <c r="H1040" t="s">
        <v>2944</v>
      </c>
      <c r="I1040" t="s">
        <v>3176</v>
      </c>
    </row>
    <row r="1041" customHeight="1" ht="14.0">
      <c r="A1041" t="s">
        <v>3921</v>
      </c>
      <c r="B1041" s="153" t="s">
        <v>3922</v>
      </c>
      <c r="C1041">
        <v>0.0</v>
      </c>
      <c r="D1041">
        <v>0.0</v>
      </c>
      <c r="F1041" t="s">
        <v>2942</v>
      </c>
      <c r="G1041" t="s">
        <v>2943</v>
      </c>
      <c r="H1041" t="s">
        <v>2944</v>
      </c>
      <c r="I1041" t="s">
        <v>3125</v>
      </c>
    </row>
    <row r="1042" customHeight="1" ht="14.0">
      <c r="A1042" t="s">
        <v>3923</v>
      </c>
      <c r="B1042" s="153" t="s">
        <v>1632</v>
      </c>
      <c r="C1042">
        <v>78.0</v>
      </c>
      <c r="D1042">
        <v>52.56</v>
      </c>
      <c r="E1042">
        <v>0.6738</v>
      </c>
      <c r="F1042" t="s">
        <v>2942</v>
      </c>
      <c r="G1042" t="s">
        <v>2962</v>
      </c>
      <c r="H1042" t="s">
        <v>2963</v>
      </c>
      <c r="I1042" t="s">
        <v>3125</v>
      </c>
    </row>
    <row r="1043" customHeight="1" ht="14.0">
      <c r="A1043" t="s">
        <v>3924</v>
      </c>
      <c r="B1043" s="153" t="s">
        <v>3925</v>
      </c>
      <c r="C1043">
        <v>0.0</v>
      </c>
      <c r="D1043">
        <v>0.0</v>
      </c>
      <c r="F1043" t="s">
        <v>2942</v>
      </c>
      <c r="G1043" t="s">
        <v>2943</v>
      </c>
      <c r="H1043" t="s">
        <v>2944</v>
      </c>
      <c r="I1043" t="s">
        <v>3125</v>
      </c>
    </row>
    <row r="1044" customHeight="1" ht="14.0">
      <c r="A1044" t="s">
        <v>3926</v>
      </c>
      <c r="B1044" s="153" t="s">
        <v>1634</v>
      </c>
      <c r="C1044">
        <v>0.0</v>
      </c>
      <c r="D1044">
        <v>0.0</v>
      </c>
      <c r="F1044" t="s">
        <v>2942</v>
      </c>
      <c r="G1044" t="s">
        <v>2943</v>
      </c>
      <c r="H1044" t="s">
        <v>2963</v>
      </c>
      <c r="I1044" t="s">
        <v>3125</v>
      </c>
    </row>
    <row r="1045" customHeight="1" ht="14.0">
      <c r="A1045" t="s">
        <v>3927</v>
      </c>
      <c r="B1045" s="153" t="s">
        <v>3928</v>
      </c>
      <c r="C1045">
        <v>0.0</v>
      </c>
      <c r="D1045">
        <v>0.0</v>
      </c>
      <c r="F1045" t="s">
        <v>2942</v>
      </c>
      <c r="G1045" t="s">
        <v>2943</v>
      </c>
      <c r="H1045" t="s">
        <v>2944</v>
      </c>
      <c r="I1045" t="s">
        <v>3125</v>
      </c>
    </row>
    <row r="1046" customHeight="1" ht="14.0">
      <c r="A1046" t="s">
        <v>3929</v>
      </c>
      <c r="B1046" s="153" t="s">
        <v>3930</v>
      </c>
      <c r="C1046">
        <v>0.0</v>
      </c>
      <c r="D1046">
        <v>0.0</v>
      </c>
      <c r="F1046" t="s">
        <v>2942</v>
      </c>
      <c r="G1046" t="s">
        <v>2943</v>
      </c>
      <c r="H1046" t="s">
        <v>2944</v>
      </c>
      <c r="I1046" t="s">
        <v>3125</v>
      </c>
    </row>
    <row r="1047" customHeight="1" ht="14.0">
      <c r="A1047" t="s">
        <v>3931</v>
      </c>
      <c r="B1047" s="153" t="s">
        <v>3932</v>
      </c>
      <c r="C1047">
        <v>0.0</v>
      </c>
      <c r="D1047">
        <v>0.0</v>
      </c>
      <c r="F1047" t="s">
        <v>2942</v>
      </c>
      <c r="G1047" t="s">
        <v>2943</v>
      </c>
      <c r="H1047" t="s">
        <v>2944</v>
      </c>
      <c r="I1047" t="s">
        <v>3933</v>
      </c>
    </row>
    <row r="1048" customHeight="1" ht="14.0">
      <c r="A1048" t="s">
        <v>3934</v>
      </c>
      <c r="B1048" s="153" t="s">
        <v>3935</v>
      </c>
      <c r="C1048">
        <v>0.0</v>
      </c>
      <c r="D1048">
        <v>0.0</v>
      </c>
      <c r="F1048" t="s">
        <v>2942</v>
      </c>
      <c r="G1048" t="s">
        <v>2943</v>
      </c>
      <c r="H1048" t="s">
        <v>2944</v>
      </c>
      <c r="I1048" t="s">
        <v>3125</v>
      </c>
    </row>
    <row r="1049" customHeight="1" ht="14.0">
      <c r="A1049" t="s">
        <v>3936</v>
      </c>
      <c r="B1049" s="153" t="s">
        <v>3937</v>
      </c>
      <c r="C1049">
        <v>0.0</v>
      </c>
      <c r="D1049">
        <v>0.0</v>
      </c>
      <c r="F1049" t="s">
        <v>2942</v>
      </c>
      <c r="G1049" t="s">
        <v>2943</v>
      </c>
      <c r="H1049" t="s">
        <v>2944</v>
      </c>
      <c r="I1049" t="s">
        <v>3125</v>
      </c>
    </row>
    <row r="1050" customHeight="1" ht="14.0">
      <c r="A1050" t="s">
        <v>3938</v>
      </c>
      <c r="B1050" s="153" t="s">
        <v>1636</v>
      </c>
      <c r="C1050">
        <v>0.0</v>
      </c>
      <c r="D1050">
        <v>0.0</v>
      </c>
      <c r="F1050" t="s">
        <v>2942</v>
      </c>
      <c r="G1050" t="s">
        <v>2943</v>
      </c>
      <c r="H1050" t="s">
        <v>2963</v>
      </c>
      <c r="I1050" t="s">
        <v>3125</v>
      </c>
    </row>
    <row r="1051" customHeight="1" ht="14.0">
      <c r="A1051" t="s">
        <v>3939</v>
      </c>
      <c r="B1051" s="153" t="s">
        <v>3940</v>
      </c>
      <c r="C1051">
        <v>0.0</v>
      </c>
      <c r="D1051">
        <v>0.0</v>
      </c>
      <c r="F1051" t="s">
        <v>2942</v>
      </c>
      <c r="G1051" t="s">
        <v>2943</v>
      </c>
      <c r="H1051" t="s">
        <v>2944</v>
      </c>
      <c r="I1051" t="s">
        <v>3125</v>
      </c>
    </row>
    <row r="1052" customHeight="1" ht="14.0">
      <c r="A1052" t="s">
        <v>3941</v>
      </c>
      <c r="B1052" s="153" t="s">
        <v>3942</v>
      </c>
      <c r="C1052">
        <v>0.0</v>
      </c>
      <c r="D1052">
        <v>0.0</v>
      </c>
      <c r="F1052" t="s">
        <v>2942</v>
      </c>
      <c r="G1052" t="s">
        <v>2943</v>
      </c>
      <c r="H1052" t="s">
        <v>2944</v>
      </c>
      <c r="I1052" t="s">
        <v>3125</v>
      </c>
    </row>
    <row r="1053" customHeight="1" ht="14.0">
      <c r="A1053" t="s">
        <v>3943</v>
      </c>
      <c r="B1053" s="153" t="s">
        <v>3944</v>
      </c>
      <c r="C1053">
        <v>0.0</v>
      </c>
      <c r="D1053">
        <v>0.0</v>
      </c>
      <c r="F1053" t="s">
        <v>2942</v>
      </c>
      <c r="G1053" t="s">
        <v>2943</v>
      </c>
      <c r="H1053" t="s">
        <v>2944</v>
      </c>
      <c r="I1053" t="s">
        <v>3125</v>
      </c>
    </row>
    <row r="1054" customHeight="1" ht="14.0">
      <c r="A1054" t="s">
        <v>3945</v>
      </c>
      <c r="B1054" s="153" t="s">
        <v>3946</v>
      </c>
      <c r="C1054">
        <v>0.0</v>
      </c>
      <c r="D1054">
        <v>0.0</v>
      </c>
      <c r="F1054" t="s">
        <v>2942</v>
      </c>
      <c r="G1054" t="s">
        <v>2943</v>
      </c>
      <c r="H1054" t="s">
        <v>2944</v>
      </c>
      <c r="I1054" t="s">
        <v>3125</v>
      </c>
    </row>
    <row r="1055" customHeight="1" ht="14.0">
      <c r="A1055" t="s">
        <v>3947</v>
      </c>
      <c r="B1055" s="153" t="s">
        <v>3948</v>
      </c>
      <c r="C1055">
        <v>0.0</v>
      </c>
      <c r="D1055">
        <v>0.0</v>
      </c>
      <c r="F1055" t="s">
        <v>2942</v>
      </c>
      <c r="G1055" t="s">
        <v>2943</v>
      </c>
      <c r="H1055" t="s">
        <v>2944</v>
      </c>
      <c r="I1055" t="s">
        <v>3125</v>
      </c>
    </row>
    <row r="1056" customHeight="1" ht="14.0">
      <c r="A1056" t="s">
        <v>3949</v>
      </c>
      <c r="B1056" s="153" t="s">
        <v>3950</v>
      </c>
      <c r="C1056">
        <v>0.0</v>
      </c>
      <c r="D1056">
        <v>0.0</v>
      </c>
      <c r="F1056" t="s">
        <v>2942</v>
      </c>
      <c r="G1056" t="s">
        <v>2943</v>
      </c>
      <c r="H1056" t="s">
        <v>2944</v>
      </c>
      <c r="I1056" t="s">
        <v>3125</v>
      </c>
    </row>
    <row r="1057" customHeight="1" ht="14.0">
      <c r="A1057" t="s">
        <v>3951</v>
      </c>
      <c r="B1057" s="153" t="s">
        <v>1638</v>
      </c>
      <c r="C1057">
        <v>408.0</v>
      </c>
      <c r="D1057">
        <v>275.86</v>
      </c>
      <c r="E1057">
        <v>0.6761</v>
      </c>
      <c r="F1057" t="s">
        <v>2942</v>
      </c>
      <c r="G1057" t="s">
        <v>2962</v>
      </c>
      <c r="H1057" t="s">
        <v>2963</v>
      </c>
      <c r="I1057" t="s">
        <v>3125</v>
      </c>
    </row>
    <row r="1058" customHeight="1" ht="14.0">
      <c r="A1058" t="s">
        <v>3952</v>
      </c>
      <c r="B1058" s="153" t="s">
        <v>3953</v>
      </c>
      <c r="C1058">
        <v>0.0</v>
      </c>
      <c r="D1058">
        <v>0.0</v>
      </c>
      <c r="F1058" t="s">
        <v>2942</v>
      </c>
      <c r="G1058" t="s">
        <v>2943</v>
      </c>
      <c r="H1058" t="s">
        <v>2944</v>
      </c>
      <c r="I1058" t="s">
        <v>3125</v>
      </c>
    </row>
    <row r="1059" customHeight="1" ht="14.0">
      <c r="A1059" t="s">
        <v>3954</v>
      </c>
      <c r="B1059" s="153" t="s">
        <v>3955</v>
      </c>
      <c r="C1059">
        <v>0.0</v>
      </c>
      <c r="D1059">
        <v>0.0</v>
      </c>
      <c r="F1059" t="s">
        <v>2942</v>
      </c>
      <c r="G1059" t="s">
        <v>2943</v>
      </c>
      <c r="H1059" t="s">
        <v>2944</v>
      </c>
      <c r="I1059" t="s">
        <v>3125</v>
      </c>
    </row>
    <row r="1060" customHeight="1" ht="14.0">
      <c r="A1060" t="s">
        <v>3956</v>
      </c>
      <c r="B1060" s="153" t="s">
        <v>3957</v>
      </c>
      <c r="C1060">
        <v>0.0</v>
      </c>
      <c r="D1060">
        <v>0.0</v>
      </c>
      <c r="F1060" t="s">
        <v>2942</v>
      </c>
      <c r="G1060" t="s">
        <v>2943</v>
      </c>
      <c r="H1060" t="s">
        <v>2944</v>
      </c>
      <c r="I1060" t="s">
        <v>3125</v>
      </c>
    </row>
    <row r="1061" customHeight="1" ht="14.0">
      <c r="A1061" t="s">
        <v>3958</v>
      </c>
      <c r="B1061" s="153" t="s">
        <v>3959</v>
      </c>
      <c r="C1061">
        <v>0.0</v>
      </c>
      <c r="D1061">
        <v>0.0</v>
      </c>
      <c r="F1061" t="s">
        <v>2942</v>
      </c>
      <c r="G1061" t="s">
        <v>2943</v>
      </c>
      <c r="H1061" t="s">
        <v>2944</v>
      </c>
      <c r="I1061" t="s">
        <v>3125</v>
      </c>
    </row>
    <row r="1062" customHeight="1" ht="14.0">
      <c r="A1062" t="s">
        <v>3960</v>
      </c>
      <c r="B1062" s="153" t="s">
        <v>3961</v>
      </c>
      <c r="C1062">
        <v>0.0</v>
      </c>
      <c r="D1062">
        <v>0.0</v>
      </c>
      <c r="F1062" t="s">
        <v>2942</v>
      </c>
      <c r="G1062" t="s">
        <v>2943</v>
      </c>
      <c r="H1062" t="s">
        <v>2944</v>
      </c>
      <c r="I1062" t="s">
        <v>3125</v>
      </c>
    </row>
    <row r="1063" customHeight="1" ht="14.0">
      <c r="A1063" t="s">
        <v>3962</v>
      </c>
      <c r="B1063" s="153" t="s">
        <v>1640</v>
      </c>
      <c r="C1063">
        <v>174.0</v>
      </c>
      <c r="D1063">
        <v>117.53</v>
      </c>
      <c r="E1063">
        <v>0.6755</v>
      </c>
      <c r="F1063" t="s">
        <v>2942</v>
      </c>
      <c r="G1063" t="s">
        <v>2962</v>
      </c>
      <c r="H1063" t="s">
        <v>2963</v>
      </c>
      <c r="I1063" t="s">
        <v>3125</v>
      </c>
    </row>
    <row r="1064" customHeight="1" ht="14.0">
      <c r="A1064" t="s">
        <v>3963</v>
      </c>
      <c r="B1064" s="153" t="s">
        <v>3964</v>
      </c>
      <c r="C1064">
        <v>0.0</v>
      </c>
      <c r="D1064">
        <v>0.0</v>
      </c>
      <c r="F1064" t="s">
        <v>2942</v>
      </c>
      <c r="G1064" t="s">
        <v>2943</v>
      </c>
      <c r="H1064" t="s">
        <v>2944</v>
      </c>
      <c r="I1064" t="s">
        <v>3125</v>
      </c>
    </row>
    <row r="1065" customHeight="1" ht="14.0">
      <c r="A1065" t="s">
        <v>3965</v>
      </c>
      <c r="B1065" s="153" t="s">
        <v>1642</v>
      </c>
      <c r="C1065">
        <v>0.0</v>
      </c>
      <c r="D1065">
        <v>0.0</v>
      </c>
      <c r="F1065" t="s">
        <v>2942</v>
      </c>
      <c r="G1065" t="s">
        <v>2943</v>
      </c>
      <c r="H1065" t="s">
        <v>2963</v>
      </c>
      <c r="I1065" t="s">
        <v>3125</v>
      </c>
    </row>
    <row r="1066" customHeight="1" ht="14.0">
      <c r="A1066" t="s">
        <v>3966</v>
      </c>
      <c r="B1066" s="153" t="s">
        <v>3967</v>
      </c>
      <c r="C1066">
        <v>0.0</v>
      </c>
      <c r="D1066">
        <v>0.0</v>
      </c>
      <c r="F1066" t="s">
        <v>2942</v>
      </c>
      <c r="G1066" t="s">
        <v>2943</v>
      </c>
      <c r="H1066" t="s">
        <v>2944</v>
      </c>
      <c r="I1066" t="s">
        <v>3125</v>
      </c>
    </row>
    <row r="1067" customHeight="1" ht="14.0">
      <c r="A1067" t="s">
        <v>3968</v>
      </c>
      <c r="B1067" s="153" t="s">
        <v>3969</v>
      </c>
      <c r="C1067">
        <v>0.0</v>
      </c>
      <c r="D1067">
        <v>0.0</v>
      </c>
      <c r="F1067" t="s">
        <v>2942</v>
      </c>
      <c r="G1067" t="s">
        <v>2943</v>
      </c>
      <c r="H1067" t="s">
        <v>2944</v>
      </c>
      <c r="I1067" t="s">
        <v>3125</v>
      </c>
    </row>
    <row r="1068" customHeight="1" ht="14.0">
      <c r="A1068" t="s">
        <v>3970</v>
      </c>
      <c r="B1068" s="153" t="s">
        <v>3971</v>
      </c>
      <c r="C1068">
        <v>0.0</v>
      </c>
      <c r="D1068">
        <v>0.0</v>
      </c>
      <c r="F1068" t="s">
        <v>2942</v>
      </c>
      <c r="G1068" t="s">
        <v>2943</v>
      </c>
      <c r="H1068" t="s">
        <v>2944</v>
      </c>
      <c r="I1068" t="s">
        <v>3125</v>
      </c>
    </row>
    <row r="1069" customHeight="1" ht="14.0">
      <c r="A1069" t="s">
        <v>3972</v>
      </c>
      <c r="B1069" s="153" t="s">
        <v>3973</v>
      </c>
      <c r="C1069">
        <v>0.0</v>
      </c>
      <c r="D1069">
        <v>0.0</v>
      </c>
      <c r="F1069" t="s">
        <v>2942</v>
      </c>
      <c r="G1069" t="s">
        <v>2943</v>
      </c>
      <c r="H1069" t="s">
        <v>2944</v>
      </c>
      <c r="I1069" t="s">
        <v>3125</v>
      </c>
    </row>
    <row r="1070" customHeight="1" ht="14.0">
      <c r="A1070" t="s">
        <v>3974</v>
      </c>
      <c r="B1070" s="153" t="s">
        <v>3975</v>
      </c>
      <c r="C1070">
        <v>0.0</v>
      </c>
      <c r="D1070">
        <v>0.0</v>
      </c>
      <c r="F1070" t="s">
        <v>2942</v>
      </c>
      <c r="G1070" t="s">
        <v>2943</v>
      </c>
      <c r="H1070" t="s">
        <v>2944</v>
      </c>
      <c r="I1070" t="s">
        <v>3125</v>
      </c>
    </row>
    <row r="1071" customHeight="1" ht="14.0">
      <c r="A1071" t="s">
        <v>3976</v>
      </c>
      <c r="B1071" s="153" t="s">
        <v>3977</v>
      </c>
      <c r="C1071">
        <v>0.0</v>
      </c>
      <c r="D1071">
        <v>0.0</v>
      </c>
      <c r="F1071" t="s">
        <v>2942</v>
      </c>
      <c r="G1071" t="s">
        <v>2943</v>
      </c>
      <c r="H1071" t="s">
        <v>2944</v>
      </c>
      <c r="I1071" t="s">
        <v>3125</v>
      </c>
    </row>
    <row r="1072" customHeight="1" ht="14.0">
      <c r="A1072" t="s">
        <v>3978</v>
      </c>
      <c r="B1072" s="153" t="s">
        <v>3979</v>
      </c>
      <c r="C1072">
        <v>0.0</v>
      </c>
      <c r="D1072">
        <v>0.0</v>
      </c>
      <c r="F1072" t="s">
        <v>2942</v>
      </c>
      <c r="G1072" t="s">
        <v>2943</v>
      </c>
      <c r="H1072" t="s">
        <v>2944</v>
      </c>
      <c r="I1072" t="s">
        <v>3125</v>
      </c>
    </row>
    <row r="1073" customHeight="1" ht="14.0">
      <c r="A1073" t="s">
        <v>3980</v>
      </c>
      <c r="B1073" s="153" t="s">
        <v>3981</v>
      </c>
      <c r="C1073">
        <v>0.0</v>
      </c>
      <c r="D1073">
        <v>0.0</v>
      </c>
      <c r="F1073" t="s">
        <v>2942</v>
      </c>
      <c r="G1073" t="s">
        <v>2943</v>
      </c>
      <c r="H1073" t="s">
        <v>2944</v>
      </c>
      <c r="I1073" t="s">
        <v>3125</v>
      </c>
    </row>
    <row r="1074" customHeight="1" ht="14.0">
      <c r="A1074" t="s">
        <v>3982</v>
      </c>
      <c r="B1074" s="153" t="s">
        <v>3983</v>
      </c>
      <c r="C1074">
        <v>0.0</v>
      </c>
      <c r="D1074">
        <v>0.0</v>
      </c>
      <c r="F1074" t="s">
        <v>2942</v>
      </c>
      <c r="G1074" t="s">
        <v>2943</v>
      </c>
      <c r="H1074" t="s">
        <v>2944</v>
      </c>
      <c r="I1074" t="s">
        <v>3933</v>
      </c>
    </row>
    <row r="1075" customHeight="1" ht="14.0">
      <c r="A1075" t="s">
        <v>3984</v>
      </c>
      <c r="B1075" s="153" t="s">
        <v>3985</v>
      </c>
      <c r="C1075">
        <v>0.0</v>
      </c>
      <c r="D1075">
        <v>0.0</v>
      </c>
      <c r="F1075" t="s">
        <v>2942</v>
      </c>
      <c r="G1075" t="s">
        <v>2943</v>
      </c>
      <c r="H1075" t="s">
        <v>2944</v>
      </c>
      <c r="I1075" t="s">
        <v>3933</v>
      </c>
    </row>
    <row r="1076" customHeight="1" ht="14.0">
      <c r="A1076" t="s">
        <v>3986</v>
      </c>
      <c r="B1076" s="153" t="s">
        <v>3987</v>
      </c>
      <c r="C1076">
        <v>0.0</v>
      </c>
      <c r="D1076">
        <v>0.0</v>
      </c>
      <c r="F1076" t="s">
        <v>2942</v>
      </c>
      <c r="G1076" t="s">
        <v>2943</v>
      </c>
      <c r="H1076" t="s">
        <v>2944</v>
      </c>
      <c r="I1076" t="s">
        <v>3933</v>
      </c>
    </row>
    <row r="1077" customHeight="1" ht="14.0">
      <c r="A1077" t="s">
        <v>3988</v>
      </c>
      <c r="B1077" s="153" t="s">
        <v>1644</v>
      </c>
      <c r="C1077">
        <v>6.0</v>
      </c>
      <c r="D1077">
        <v>4.06</v>
      </c>
      <c r="E1077">
        <v>0.6767</v>
      </c>
      <c r="F1077" t="s">
        <v>2942</v>
      </c>
      <c r="G1077" t="s">
        <v>2943</v>
      </c>
      <c r="H1077" t="s">
        <v>2963</v>
      </c>
      <c r="I1077" t="s">
        <v>3125</v>
      </c>
    </row>
    <row r="1078" customHeight="1" ht="14.0">
      <c r="A1078" t="s">
        <v>3989</v>
      </c>
      <c r="B1078" s="153" t="s">
        <v>3990</v>
      </c>
      <c r="C1078">
        <v>0.0</v>
      </c>
      <c r="D1078">
        <v>0.0</v>
      </c>
      <c r="F1078" t="s">
        <v>2942</v>
      </c>
      <c r="G1078" t="s">
        <v>2943</v>
      </c>
      <c r="H1078" t="s">
        <v>2944</v>
      </c>
      <c r="I1078" t="s">
        <v>3125</v>
      </c>
    </row>
    <row r="1079" customHeight="1" ht="14.0">
      <c r="A1079" t="s">
        <v>3991</v>
      </c>
      <c r="B1079" s="153" t="s">
        <v>3992</v>
      </c>
      <c r="C1079">
        <v>0.0</v>
      </c>
      <c r="D1079">
        <v>0.0</v>
      </c>
      <c r="F1079" t="s">
        <v>2942</v>
      </c>
      <c r="G1079" t="s">
        <v>2943</v>
      </c>
      <c r="H1079" t="s">
        <v>2944</v>
      </c>
      <c r="I1079" t="s">
        <v>3125</v>
      </c>
    </row>
    <row r="1080" customHeight="1" ht="14.0">
      <c r="A1080" t="s">
        <v>3993</v>
      </c>
      <c r="B1080" s="153" t="s">
        <v>3994</v>
      </c>
      <c r="C1080">
        <v>0.0</v>
      </c>
      <c r="D1080">
        <v>0.0</v>
      </c>
      <c r="F1080" t="s">
        <v>2942</v>
      </c>
      <c r="G1080" t="s">
        <v>2943</v>
      </c>
      <c r="H1080" t="s">
        <v>2944</v>
      </c>
      <c r="I1080" t="s">
        <v>3125</v>
      </c>
    </row>
    <row r="1081" customHeight="1" ht="14.0">
      <c r="A1081" t="s">
        <v>3995</v>
      </c>
      <c r="B1081" s="153" t="s">
        <v>1646</v>
      </c>
      <c r="C1081">
        <v>360.0</v>
      </c>
      <c r="D1081">
        <v>243.36</v>
      </c>
      <c r="E1081">
        <v>0.676</v>
      </c>
      <c r="F1081" t="s">
        <v>2942</v>
      </c>
      <c r="G1081" t="s">
        <v>2962</v>
      </c>
      <c r="H1081" t="s">
        <v>2963</v>
      </c>
      <c r="I1081" t="s">
        <v>3125</v>
      </c>
    </row>
    <row r="1082" customHeight="1" ht="14.0">
      <c r="A1082" t="s">
        <v>3996</v>
      </c>
      <c r="B1082" s="153" t="s">
        <v>3997</v>
      </c>
      <c r="C1082">
        <v>0.0</v>
      </c>
      <c r="D1082">
        <v>0.0</v>
      </c>
      <c r="F1082" t="s">
        <v>2942</v>
      </c>
      <c r="G1082" t="s">
        <v>2943</v>
      </c>
      <c r="H1082" t="s">
        <v>2944</v>
      </c>
      <c r="I1082" t="s">
        <v>3125</v>
      </c>
    </row>
    <row r="1083" customHeight="1" ht="14.0">
      <c r="A1083" t="s">
        <v>3998</v>
      </c>
      <c r="B1083" s="153" t="s">
        <v>1648</v>
      </c>
      <c r="C1083">
        <v>0.0</v>
      </c>
      <c r="D1083">
        <v>0.0</v>
      </c>
      <c r="F1083" t="s">
        <v>2942</v>
      </c>
      <c r="G1083" t="s">
        <v>2943</v>
      </c>
      <c r="H1083" t="s">
        <v>2963</v>
      </c>
      <c r="I1083" t="s">
        <v>3125</v>
      </c>
    </row>
    <row r="1084" customHeight="1" ht="14.0">
      <c r="A1084" t="s">
        <v>3999</v>
      </c>
      <c r="B1084" s="153" t="s">
        <v>4000</v>
      </c>
      <c r="C1084">
        <v>0.0</v>
      </c>
      <c r="D1084">
        <v>0.0</v>
      </c>
      <c r="F1084" t="s">
        <v>2942</v>
      </c>
      <c r="G1084" t="s">
        <v>2943</v>
      </c>
      <c r="H1084" t="s">
        <v>2944</v>
      </c>
      <c r="I1084" t="s">
        <v>3125</v>
      </c>
    </row>
    <row r="1085" customHeight="1" ht="14.0">
      <c r="A1085" t="s">
        <v>4001</v>
      </c>
      <c r="B1085" s="153" t="s">
        <v>4002</v>
      </c>
      <c r="C1085">
        <v>0.0</v>
      </c>
      <c r="D1085">
        <v>0.0</v>
      </c>
      <c r="F1085" t="s">
        <v>2942</v>
      </c>
      <c r="G1085" t="s">
        <v>2943</v>
      </c>
      <c r="H1085" t="s">
        <v>2944</v>
      </c>
      <c r="I1085" t="s">
        <v>3125</v>
      </c>
    </row>
    <row r="1086" customHeight="1" ht="14.0">
      <c r="A1086" t="s">
        <v>4003</v>
      </c>
      <c r="B1086" s="153" t="s">
        <v>4004</v>
      </c>
      <c r="C1086">
        <v>0.0</v>
      </c>
      <c r="D1086">
        <v>0.0</v>
      </c>
      <c r="F1086" t="s">
        <v>2942</v>
      </c>
      <c r="G1086" t="s">
        <v>2943</v>
      </c>
      <c r="H1086" t="s">
        <v>2944</v>
      </c>
      <c r="I1086" t="s">
        <v>3179</v>
      </c>
    </row>
    <row r="1087" customHeight="1" ht="14.0">
      <c r="A1087" t="s">
        <v>4005</v>
      </c>
      <c r="B1087" s="153" t="s">
        <v>4006</v>
      </c>
      <c r="C1087">
        <v>0.0</v>
      </c>
      <c r="D1087">
        <v>0.0</v>
      </c>
      <c r="F1087" t="s">
        <v>2994</v>
      </c>
      <c r="G1087" t="s">
        <v>2943</v>
      </c>
      <c r="H1087" t="s">
        <v>2944</v>
      </c>
      <c r="I1087" t="s">
        <v>197</v>
      </c>
    </row>
    <row r="1088" customHeight="1" ht="14.0">
      <c r="A1088" t="s">
        <v>4007</v>
      </c>
      <c r="B1088" s="153" t="s">
        <v>4008</v>
      </c>
      <c r="C1088">
        <v>0.0</v>
      </c>
      <c r="D1088">
        <v>0.0</v>
      </c>
      <c r="F1088" t="s">
        <v>2942</v>
      </c>
      <c r="G1088" t="s">
        <v>2943</v>
      </c>
      <c r="H1088" t="s">
        <v>2944</v>
      </c>
      <c r="I1088" t="s">
        <v>3125</v>
      </c>
    </row>
    <row r="1089" customHeight="1" ht="14.0">
      <c r="A1089" t="s">
        <v>4009</v>
      </c>
      <c r="B1089" s="153" t="s">
        <v>4010</v>
      </c>
      <c r="C1089">
        <v>0.0</v>
      </c>
      <c r="D1089">
        <v>0.0</v>
      </c>
      <c r="F1089" t="s">
        <v>2942</v>
      </c>
      <c r="G1089" t="s">
        <v>2943</v>
      </c>
      <c r="H1089" t="s">
        <v>2944</v>
      </c>
      <c r="I1089" t="s">
        <v>3933</v>
      </c>
    </row>
    <row r="1090" customHeight="1" ht="14.0">
      <c r="A1090" t="s">
        <v>4011</v>
      </c>
      <c r="B1090" s="153" t="s">
        <v>4012</v>
      </c>
      <c r="C1090">
        <v>0.0</v>
      </c>
      <c r="D1090">
        <v>0.0</v>
      </c>
      <c r="F1090" t="s">
        <v>2942</v>
      </c>
      <c r="G1090" t="s">
        <v>2943</v>
      </c>
      <c r="H1090" t="s">
        <v>2944</v>
      </c>
      <c r="I1090" t="s">
        <v>3125</v>
      </c>
    </row>
    <row r="1091" customHeight="1" ht="14.0">
      <c r="A1091" t="s">
        <v>4013</v>
      </c>
      <c r="B1091" s="153" t="s">
        <v>4014</v>
      </c>
      <c r="C1091">
        <v>0.0</v>
      </c>
      <c r="D1091">
        <v>0.0</v>
      </c>
      <c r="F1091" t="s">
        <v>2942</v>
      </c>
      <c r="G1091" t="s">
        <v>2943</v>
      </c>
      <c r="H1091" t="s">
        <v>2944</v>
      </c>
      <c r="I1091" t="s">
        <v>3125</v>
      </c>
    </row>
    <row r="1092" customHeight="1" ht="14.0">
      <c r="A1092" t="s">
        <v>4015</v>
      </c>
      <c r="B1092" s="153" t="s">
        <v>4016</v>
      </c>
      <c r="C1092">
        <v>0.0</v>
      </c>
      <c r="D1092">
        <v>0.0</v>
      </c>
      <c r="F1092" t="s">
        <v>2942</v>
      </c>
      <c r="G1092" t="s">
        <v>2943</v>
      </c>
      <c r="H1092" t="s">
        <v>2944</v>
      </c>
      <c r="I1092" t="s">
        <v>3933</v>
      </c>
    </row>
    <row r="1093" customHeight="1" ht="14.0">
      <c r="A1093" t="s">
        <v>4017</v>
      </c>
      <c r="B1093" s="153" t="s">
        <v>4018</v>
      </c>
      <c r="C1093">
        <v>0.0</v>
      </c>
      <c r="D1093">
        <v>0.0</v>
      </c>
      <c r="F1093" t="s">
        <v>2942</v>
      </c>
      <c r="G1093" t="s">
        <v>2943</v>
      </c>
      <c r="H1093" t="s">
        <v>2944</v>
      </c>
      <c r="I1093" t="s">
        <v>3024</v>
      </c>
    </row>
    <row r="1094" customHeight="1" ht="14.0">
      <c r="A1094" t="s">
        <v>4019</v>
      </c>
      <c r="B1094" s="153" t="s">
        <v>4020</v>
      </c>
      <c r="C1094">
        <v>0.0</v>
      </c>
      <c r="D1094">
        <v>0.0</v>
      </c>
      <c r="F1094" t="s">
        <v>2942</v>
      </c>
      <c r="G1094" t="s">
        <v>2943</v>
      </c>
      <c r="H1094" t="s">
        <v>2944</v>
      </c>
      <c r="I1094" t="s">
        <v>3021</v>
      </c>
    </row>
    <row r="1095" customHeight="1" ht="14.0">
      <c r="A1095" t="s">
        <v>4021</v>
      </c>
      <c r="B1095" s="153" t="s">
        <v>4022</v>
      </c>
      <c r="C1095">
        <v>0.0</v>
      </c>
      <c r="D1095">
        <v>0.0</v>
      </c>
      <c r="F1095" t="s">
        <v>2942</v>
      </c>
      <c r="G1095" t="s">
        <v>2943</v>
      </c>
      <c r="H1095" t="s">
        <v>2944</v>
      </c>
      <c r="I1095" t="s">
        <v>3021</v>
      </c>
    </row>
    <row r="1096" customHeight="1" ht="14.0">
      <c r="A1096" t="s">
        <v>4023</v>
      </c>
      <c r="B1096" s="153" t="s">
        <v>4024</v>
      </c>
      <c r="C1096">
        <v>0.0</v>
      </c>
      <c r="D1096">
        <v>0.0</v>
      </c>
      <c r="F1096" t="s">
        <v>2942</v>
      </c>
      <c r="G1096" t="s">
        <v>2943</v>
      </c>
      <c r="H1096" t="s">
        <v>2944</v>
      </c>
      <c r="I1096" t="s">
        <v>3021</v>
      </c>
    </row>
    <row r="1097" customHeight="1" ht="14.0">
      <c r="A1097" t="s">
        <v>4025</v>
      </c>
      <c r="B1097" s="153" t="s">
        <v>4026</v>
      </c>
      <c r="C1097">
        <v>0.0</v>
      </c>
      <c r="D1097">
        <v>0.0</v>
      </c>
      <c r="F1097" t="s">
        <v>2942</v>
      </c>
      <c r="G1097" t="s">
        <v>2943</v>
      </c>
      <c r="H1097" t="s">
        <v>2944</v>
      </c>
      <c r="I1097" t="s">
        <v>3021</v>
      </c>
    </row>
    <row r="1098" customHeight="1" ht="14.0">
      <c r="A1098" t="s">
        <v>4027</v>
      </c>
      <c r="B1098" s="153" t="s">
        <v>4028</v>
      </c>
      <c r="C1098">
        <v>0.0</v>
      </c>
      <c r="D1098">
        <v>0.0</v>
      </c>
      <c r="F1098" t="s">
        <v>2942</v>
      </c>
      <c r="G1098" t="s">
        <v>2943</v>
      </c>
      <c r="H1098" t="s">
        <v>2944</v>
      </c>
      <c r="I1098" t="s">
        <v>3021</v>
      </c>
    </row>
    <row r="1099" customHeight="1" ht="14.0">
      <c r="A1099" t="s">
        <v>4029</v>
      </c>
      <c r="B1099" s="153" t="s">
        <v>4030</v>
      </c>
      <c r="C1099">
        <v>0.0</v>
      </c>
      <c r="D1099">
        <v>0.0</v>
      </c>
      <c r="F1099" t="s">
        <v>2942</v>
      </c>
      <c r="G1099" t="s">
        <v>2943</v>
      </c>
      <c r="H1099" t="s">
        <v>2944</v>
      </c>
      <c r="I1099" t="s">
        <v>3021</v>
      </c>
    </row>
    <row r="1100" customHeight="1" ht="14.0">
      <c r="A1100" t="s">
        <v>4031</v>
      </c>
      <c r="B1100" s="153" t="s">
        <v>1670</v>
      </c>
      <c r="C1100">
        <v>0.0</v>
      </c>
      <c r="D1100">
        <v>0.0</v>
      </c>
      <c r="F1100" t="s">
        <v>2994</v>
      </c>
      <c r="G1100" t="s">
        <v>2943</v>
      </c>
      <c r="H1100" t="s">
        <v>2963</v>
      </c>
      <c r="I1100" t="s">
        <v>3125</v>
      </c>
    </row>
    <row r="1101" customHeight="1" ht="14.0">
      <c r="A1101" t="s">
        <v>4032</v>
      </c>
      <c r="B1101" s="153" t="s">
        <v>4033</v>
      </c>
      <c r="C1101">
        <v>189.0</v>
      </c>
      <c r="D1101">
        <v>103.95</v>
      </c>
      <c r="E1101">
        <v>0.55</v>
      </c>
      <c r="F1101" t="s">
        <v>2942</v>
      </c>
      <c r="G1101" t="s">
        <v>2962</v>
      </c>
      <c r="H1101" t="s">
        <v>3161</v>
      </c>
      <c r="I1101" t="s">
        <v>3167</v>
      </c>
    </row>
    <row r="1102" customHeight="1" ht="14.0">
      <c r="A1102" t="s">
        <v>4034</v>
      </c>
      <c r="B1102" s="153" t="s">
        <v>4035</v>
      </c>
      <c r="C1102">
        <v>474.0</v>
      </c>
      <c r="D1102">
        <v>237.0</v>
      </c>
      <c r="E1102">
        <v>0.5</v>
      </c>
      <c r="F1102" t="s">
        <v>2942</v>
      </c>
      <c r="G1102" t="s">
        <v>2962</v>
      </c>
      <c r="H1102" t="s">
        <v>3161</v>
      </c>
      <c r="I1102" t="s">
        <v>3447</v>
      </c>
    </row>
    <row r="1103" customHeight="1" ht="14.0">
      <c r="A1103" t="s">
        <v>4036</v>
      </c>
      <c r="B1103" s="153" t="s">
        <v>4037</v>
      </c>
      <c r="C1103">
        <v>24.0</v>
      </c>
      <c r="D1103">
        <v>12.96</v>
      </c>
      <c r="E1103">
        <v>0.54</v>
      </c>
      <c r="F1103" t="s">
        <v>2942</v>
      </c>
      <c r="G1103" t="s">
        <v>2962</v>
      </c>
      <c r="H1103" t="s">
        <v>3161</v>
      </c>
      <c r="I1103" t="s">
        <v>3366</v>
      </c>
    </row>
    <row r="1104" customHeight="1" ht="14.0">
      <c r="A1104" t="s">
        <v>1675</v>
      </c>
      <c r="B1104" s="153" t="s">
        <v>1676</v>
      </c>
      <c r="C1104">
        <v>0.0</v>
      </c>
      <c r="D1104">
        <v>0.0</v>
      </c>
      <c r="F1104" t="s">
        <v>2942</v>
      </c>
      <c r="G1104" t="s">
        <v>2943</v>
      </c>
      <c r="H1104" t="s">
        <v>2944</v>
      </c>
      <c r="I1104" t="s">
        <v>3695</v>
      </c>
    </row>
    <row r="1105" customHeight="1" ht="14.0">
      <c r="A1105" t="s">
        <v>1677</v>
      </c>
      <c r="B1105" s="153" t="s">
        <v>1678</v>
      </c>
      <c r="C1105">
        <v>0.0</v>
      </c>
      <c r="D1105">
        <v>0.0</v>
      </c>
      <c r="F1105" t="s">
        <v>2942</v>
      </c>
      <c r="G1105" t="s">
        <v>2943</v>
      </c>
      <c r="H1105" t="s">
        <v>2944</v>
      </c>
      <c r="I1105" t="s">
        <v>3695</v>
      </c>
    </row>
    <row r="1106" customHeight="1" ht="14.0">
      <c r="A1106" t="s">
        <v>4038</v>
      </c>
      <c r="B1106" s="153" t="s">
        <v>4039</v>
      </c>
      <c r="C1106">
        <v>0.0</v>
      </c>
      <c r="D1106">
        <v>0.0</v>
      </c>
      <c r="F1106" t="s">
        <v>2942</v>
      </c>
      <c r="G1106" t="s">
        <v>2943</v>
      </c>
      <c r="H1106" t="s">
        <v>2944</v>
      </c>
      <c r="I1106" t="s">
        <v>3695</v>
      </c>
    </row>
    <row r="1107" customHeight="1" ht="14.0">
      <c r="A1107" t="s">
        <v>1679</v>
      </c>
      <c r="B1107" s="153" t="s">
        <v>1680</v>
      </c>
      <c r="C1107">
        <v>0.0</v>
      </c>
      <c r="D1107">
        <v>0.0</v>
      </c>
      <c r="F1107" t="s">
        <v>2942</v>
      </c>
      <c r="G1107" t="s">
        <v>2943</v>
      </c>
      <c r="H1107" t="s">
        <v>2944</v>
      </c>
      <c r="I1107" t="s">
        <v>3694</v>
      </c>
    </row>
    <row r="1108" customHeight="1" ht="14.0">
      <c r="A1108" t="s">
        <v>1681</v>
      </c>
      <c r="B1108" s="153" t="s">
        <v>1682</v>
      </c>
      <c r="C1108">
        <v>0.0</v>
      </c>
      <c r="D1108">
        <v>0.0</v>
      </c>
      <c r="F1108" t="s">
        <v>2942</v>
      </c>
      <c r="G1108" t="s">
        <v>2943</v>
      </c>
      <c r="H1108" t="s">
        <v>2944</v>
      </c>
      <c r="I1108" t="s">
        <v>3694</v>
      </c>
    </row>
    <row r="1109" customHeight="1" ht="14.0">
      <c r="A1109" t="s">
        <v>1683</v>
      </c>
      <c r="B1109" s="153" t="s">
        <v>1684</v>
      </c>
      <c r="C1109">
        <v>0.0</v>
      </c>
      <c r="D1109">
        <v>0.0</v>
      </c>
      <c r="F1109" t="s">
        <v>2942</v>
      </c>
      <c r="G1109" t="s">
        <v>2943</v>
      </c>
      <c r="H1109" t="s">
        <v>2944</v>
      </c>
      <c r="I1109" t="s">
        <v>3059</v>
      </c>
    </row>
    <row r="1110" customHeight="1" ht="14.0">
      <c r="A1110" t="s">
        <v>4040</v>
      </c>
      <c r="B1110" s="153" t="s">
        <v>4041</v>
      </c>
      <c r="C1110">
        <v>6.0</v>
      </c>
      <c r="D1110">
        <v>6.03</v>
      </c>
      <c r="E1110">
        <v>1.005</v>
      </c>
      <c r="F1110" t="s">
        <v>2942</v>
      </c>
      <c r="G1110" t="s">
        <v>2962</v>
      </c>
      <c r="H1110" t="s">
        <v>2984</v>
      </c>
      <c r="I1110" t="s">
        <v>771</v>
      </c>
    </row>
    <row r="1111" customHeight="1" ht="14.0">
      <c r="A1111" t="s">
        <v>4042</v>
      </c>
      <c r="B1111" s="153" t="s">
        <v>4043</v>
      </c>
      <c r="C1111">
        <v>54.0</v>
      </c>
      <c r="D1111">
        <v>54.3</v>
      </c>
      <c r="E1111">
        <v>1.0056</v>
      </c>
      <c r="F1111" t="s">
        <v>2942</v>
      </c>
      <c r="G1111" t="s">
        <v>2962</v>
      </c>
      <c r="H1111" t="s">
        <v>2984</v>
      </c>
      <c r="I1111" t="s">
        <v>771</v>
      </c>
    </row>
    <row r="1112" customHeight="1" ht="14.0">
      <c r="A1112" t="s">
        <v>772</v>
      </c>
      <c r="B1112" s="153" t="s">
        <v>773</v>
      </c>
      <c r="C1112">
        <v>6.0</v>
      </c>
      <c r="D1112">
        <v>6.03</v>
      </c>
      <c r="E1112">
        <v>1.005</v>
      </c>
      <c r="F1112" t="s">
        <v>2942</v>
      </c>
      <c r="G1112" t="s">
        <v>2962</v>
      </c>
      <c r="H1112" t="s">
        <v>30</v>
      </c>
      <c r="I1112" t="s">
        <v>771</v>
      </c>
    </row>
    <row r="1113" customHeight="1" ht="14.0">
      <c r="A1113" t="s">
        <v>4044</v>
      </c>
      <c r="B1113" s="153" t="s">
        <v>4045</v>
      </c>
      <c r="C1113">
        <v>54.0</v>
      </c>
      <c r="D1113">
        <v>54.28</v>
      </c>
      <c r="E1113">
        <v>1.0052</v>
      </c>
      <c r="F1113" t="s">
        <v>2942</v>
      </c>
      <c r="G1113" t="s">
        <v>2962</v>
      </c>
      <c r="H1113" t="s">
        <v>2984</v>
      </c>
      <c r="I1113" t="s">
        <v>771</v>
      </c>
    </row>
    <row r="1114" customHeight="1" ht="14.0">
      <c r="A1114" t="s">
        <v>4046</v>
      </c>
      <c r="B1114" s="153" t="s">
        <v>4047</v>
      </c>
      <c r="C1114">
        <v>24.0</v>
      </c>
      <c r="D1114">
        <v>24.13</v>
      </c>
      <c r="E1114">
        <v>1.0054</v>
      </c>
      <c r="F1114" t="s">
        <v>2942</v>
      </c>
      <c r="G1114" t="s">
        <v>2962</v>
      </c>
      <c r="H1114" t="s">
        <v>2984</v>
      </c>
      <c r="I1114" t="s">
        <v>771</v>
      </c>
    </row>
    <row r="1115" customHeight="1" ht="14.0">
      <c r="A1115" t="s">
        <v>4048</v>
      </c>
      <c r="B1115" s="153" t="s">
        <v>4049</v>
      </c>
      <c r="C1115">
        <v>78.0</v>
      </c>
      <c r="D1115">
        <v>78.42</v>
      </c>
      <c r="E1115">
        <v>1.0054</v>
      </c>
      <c r="F1115" t="s">
        <v>2942</v>
      </c>
      <c r="G1115" t="s">
        <v>2962</v>
      </c>
      <c r="H1115" t="s">
        <v>2984</v>
      </c>
      <c r="I1115" t="s">
        <v>771</v>
      </c>
    </row>
    <row r="1116" customHeight="1" ht="14.0">
      <c r="A1116" t="s">
        <v>774</v>
      </c>
      <c r="B1116" s="153" t="s">
        <v>775</v>
      </c>
      <c r="C1116">
        <v>0.0</v>
      </c>
      <c r="D1116">
        <v>0.0</v>
      </c>
      <c r="F1116" t="s">
        <v>2942</v>
      </c>
      <c r="G1116" t="s">
        <v>2962</v>
      </c>
      <c r="H1116" t="s">
        <v>30</v>
      </c>
      <c r="I1116" t="s">
        <v>771</v>
      </c>
    </row>
    <row r="1117" customHeight="1" ht="14.0">
      <c r="A1117" t="s">
        <v>4050</v>
      </c>
      <c r="B1117" s="153" t="s">
        <v>4051</v>
      </c>
      <c r="C1117">
        <v>0.0</v>
      </c>
      <c r="D1117">
        <v>0.0</v>
      </c>
      <c r="F1117" t="s">
        <v>2942</v>
      </c>
      <c r="G1117" t="s">
        <v>2943</v>
      </c>
      <c r="H1117" t="s">
        <v>2963</v>
      </c>
    </row>
    <row r="1118" customHeight="1" ht="14.0">
      <c r="A1118" t="s">
        <v>4052</v>
      </c>
      <c r="B1118" s="153" t="s">
        <v>4053</v>
      </c>
      <c r="C1118">
        <v>0.0</v>
      </c>
      <c r="D1118">
        <v>0.0</v>
      </c>
      <c r="F1118" t="s">
        <v>2942</v>
      </c>
      <c r="G1118" t="s">
        <v>2943</v>
      </c>
      <c r="H1118" t="s">
        <v>2963</v>
      </c>
    </row>
    <row r="1119" customHeight="1" ht="14.0">
      <c r="A1119" t="s">
        <v>4054</v>
      </c>
      <c r="B1119" s="153" t="s">
        <v>4055</v>
      </c>
      <c r="C1119">
        <v>37.0</v>
      </c>
      <c r="D1119">
        <v>1037.81</v>
      </c>
      <c r="E1119">
        <v>28.0489</v>
      </c>
      <c r="F1119" t="s">
        <v>2942</v>
      </c>
      <c r="G1119" t="s">
        <v>2962</v>
      </c>
      <c r="H1119" t="s">
        <v>2984</v>
      </c>
      <c r="I1119" t="s">
        <v>771</v>
      </c>
    </row>
    <row r="1120" customHeight="1" ht="14.0">
      <c r="A1120" t="s">
        <v>1685</v>
      </c>
      <c r="B1120" s="153" t="s">
        <v>1686</v>
      </c>
      <c r="C1120">
        <v>0.0</v>
      </c>
      <c r="D1120">
        <v>0.0</v>
      </c>
      <c r="F1120" t="s">
        <v>2942</v>
      </c>
      <c r="G1120" t="s">
        <v>2943</v>
      </c>
      <c r="H1120" t="s">
        <v>2963</v>
      </c>
      <c r="I1120" t="s">
        <v>4056</v>
      </c>
    </row>
    <row r="1121" customHeight="1" ht="14.0">
      <c r="A1121" t="s">
        <v>4057</v>
      </c>
      <c r="B1121" s="153" t="s">
        <v>1688</v>
      </c>
      <c r="C1121">
        <v>0.0</v>
      </c>
      <c r="D1121">
        <v>0.0</v>
      </c>
      <c r="F1121" t="s">
        <v>2942</v>
      </c>
      <c r="G1121" t="s">
        <v>2943</v>
      </c>
      <c r="H1121" t="s">
        <v>2984</v>
      </c>
      <c r="I1121" t="s">
        <v>4058</v>
      </c>
    </row>
    <row r="1122" customHeight="1" ht="14.0">
      <c r="A1122" t="s">
        <v>4059</v>
      </c>
      <c r="B1122" s="153" t="s">
        <v>1690</v>
      </c>
      <c r="C1122">
        <v>61.0</v>
      </c>
      <c r="D1122">
        <v>1614.23</v>
      </c>
      <c r="E1122">
        <v>26.4628</v>
      </c>
      <c r="F1122" t="s">
        <v>2942</v>
      </c>
      <c r="G1122" t="s">
        <v>2962</v>
      </c>
      <c r="H1122" t="s">
        <v>2984</v>
      </c>
      <c r="I1122" t="s">
        <v>4058</v>
      </c>
    </row>
    <row r="1123" customHeight="1" ht="14.0">
      <c r="A1123" t="s">
        <v>4060</v>
      </c>
      <c r="B1123" s="153" t="s">
        <v>1692</v>
      </c>
      <c r="C1123">
        <v>0.0</v>
      </c>
      <c r="D1123">
        <v>0.0</v>
      </c>
      <c r="F1123" t="s">
        <v>2942</v>
      </c>
      <c r="G1123" t="s">
        <v>2943</v>
      </c>
      <c r="H1123" t="s">
        <v>2984</v>
      </c>
      <c r="I1123" t="s">
        <v>4058</v>
      </c>
    </row>
    <row r="1124" customHeight="1" ht="14.0">
      <c r="A1124" t="s">
        <v>4061</v>
      </c>
      <c r="B1124" s="153" t="s">
        <v>4062</v>
      </c>
      <c r="C1124">
        <v>0.0</v>
      </c>
      <c r="D1124">
        <v>0.0</v>
      </c>
      <c r="F1124" t="s">
        <v>2942</v>
      </c>
      <c r="G1124" t="s">
        <v>2943</v>
      </c>
      <c r="H1124" t="s">
        <v>2963</v>
      </c>
      <c r="I1124" t="s">
        <v>344</v>
      </c>
    </row>
    <row r="1125" customHeight="1" ht="14.0">
      <c r="A1125" t="s">
        <v>4063</v>
      </c>
      <c r="B1125" s="153" t="s">
        <v>4064</v>
      </c>
      <c r="C1125">
        <v>0.0</v>
      </c>
      <c r="D1125">
        <v>0.0</v>
      </c>
      <c r="F1125" t="s">
        <v>2942</v>
      </c>
      <c r="G1125" t="s">
        <v>2962</v>
      </c>
      <c r="H1125" t="s">
        <v>2963</v>
      </c>
      <c r="I1125" t="s">
        <v>207</v>
      </c>
    </row>
    <row r="1126" customHeight="1" ht="14.0">
      <c r="A1126" t="s">
        <v>4065</v>
      </c>
      <c r="B1126" s="153" t="s">
        <v>4066</v>
      </c>
      <c r="C1126">
        <v>0.0</v>
      </c>
      <c r="D1126">
        <v>0.0</v>
      </c>
      <c r="F1126" t="s">
        <v>2942</v>
      </c>
      <c r="G1126" t="s">
        <v>2943</v>
      </c>
      <c r="H1126" t="s">
        <v>2963</v>
      </c>
      <c r="I1126" t="s">
        <v>4067</v>
      </c>
    </row>
    <row r="1127" customHeight="1" ht="14.0">
      <c r="A1127" t="s">
        <v>4068</v>
      </c>
      <c r="B1127" s="153" t="s">
        <v>4069</v>
      </c>
      <c r="C1127">
        <v>0.0</v>
      </c>
      <c r="D1127">
        <v>0.0</v>
      </c>
      <c r="F1127" t="s">
        <v>2942</v>
      </c>
      <c r="G1127" t="s">
        <v>2962</v>
      </c>
      <c r="H1127" t="s">
        <v>2963</v>
      </c>
      <c r="I1127" t="s">
        <v>4067</v>
      </c>
    </row>
    <row r="1128" customHeight="1" ht="14.0">
      <c r="A1128" t="s">
        <v>4070</v>
      </c>
      <c r="B1128" s="153" t="s">
        <v>4071</v>
      </c>
      <c r="C1128">
        <v>0.0</v>
      </c>
      <c r="D1128">
        <v>0.0</v>
      </c>
      <c r="F1128" t="s">
        <v>2942</v>
      </c>
      <c r="G1128" t="s">
        <v>2962</v>
      </c>
      <c r="H1128" t="s">
        <v>2963</v>
      </c>
      <c r="I1128" t="s">
        <v>3690</v>
      </c>
    </row>
    <row r="1129" customHeight="1" ht="14.0">
      <c r="A1129" t="s">
        <v>4072</v>
      </c>
      <c r="B1129" s="153" t="s">
        <v>4073</v>
      </c>
      <c r="C1129">
        <v>0.0</v>
      </c>
      <c r="D1129">
        <v>0.0</v>
      </c>
      <c r="F1129" t="s">
        <v>2942</v>
      </c>
      <c r="G1129" t="s">
        <v>2962</v>
      </c>
      <c r="H1129" t="s">
        <v>2963</v>
      </c>
      <c r="I1129" t="s">
        <v>4067</v>
      </c>
    </row>
    <row r="1130" customHeight="1" ht="14.0">
      <c r="A1130" t="s">
        <v>4074</v>
      </c>
      <c r="B1130" s="153" t="s">
        <v>4075</v>
      </c>
      <c r="C1130">
        <v>0.0</v>
      </c>
      <c r="D1130">
        <v>0.0</v>
      </c>
      <c r="F1130" t="s">
        <v>2942</v>
      </c>
      <c r="G1130" t="s">
        <v>2943</v>
      </c>
      <c r="H1130" t="s">
        <v>2963</v>
      </c>
      <c r="I1130" t="s">
        <v>4067</v>
      </c>
    </row>
    <row r="1131" customHeight="1" ht="14.0">
      <c r="A1131" t="s">
        <v>4076</v>
      </c>
      <c r="B1131" s="153" t="s">
        <v>4077</v>
      </c>
      <c r="C1131">
        <v>0.0</v>
      </c>
      <c r="D1131">
        <v>0.0</v>
      </c>
      <c r="F1131" t="s">
        <v>2942</v>
      </c>
      <c r="G1131" t="s">
        <v>2943</v>
      </c>
      <c r="H1131" t="s">
        <v>2963</v>
      </c>
      <c r="I1131" t="s">
        <v>3687</v>
      </c>
    </row>
    <row r="1132" customHeight="1" ht="14.0">
      <c r="A1132" t="s">
        <v>4078</v>
      </c>
      <c r="B1132" s="153" t="s">
        <v>4079</v>
      </c>
      <c r="C1132">
        <v>0.0</v>
      </c>
      <c r="D1132">
        <v>0.0</v>
      </c>
      <c r="F1132" t="s">
        <v>2942</v>
      </c>
      <c r="G1132" t="s">
        <v>2962</v>
      </c>
      <c r="H1132" t="s">
        <v>2963</v>
      </c>
      <c r="I1132" t="s">
        <v>4067</v>
      </c>
    </row>
    <row r="1133" customHeight="1" ht="14.0">
      <c r="A1133" t="s">
        <v>4080</v>
      </c>
      <c r="B1133" s="153" t="s">
        <v>4081</v>
      </c>
      <c r="C1133">
        <v>0.0</v>
      </c>
      <c r="D1133">
        <v>0.0</v>
      </c>
      <c r="F1133" t="s">
        <v>2942</v>
      </c>
      <c r="G1133" t="s">
        <v>2962</v>
      </c>
      <c r="H1133" t="s">
        <v>2963</v>
      </c>
      <c r="I1133" t="s">
        <v>4067</v>
      </c>
    </row>
    <row r="1134" customHeight="1" ht="14.0">
      <c r="A1134" t="s">
        <v>4082</v>
      </c>
      <c r="B1134" s="153" t="s">
        <v>4083</v>
      </c>
      <c r="C1134">
        <v>0.0</v>
      </c>
      <c r="D1134">
        <v>0.0</v>
      </c>
      <c r="F1134" t="s">
        <v>2942</v>
      </c>
      <c r="G1134" t="s">
        <v>2962</v>
      </c>
      <c r="H1134" t="s">
        <v>2963</v>
      </c>
      <c r="I1134" t="s">
        <v>4067</v>
      </c>
    </row>
    <row r="1135" customHeight="1" ht="14.0">
      <c r="A1135" t="s">
        <v>4084</v>
      </c>
      <c r="B1135" s="153" t="s">
        <v>4085</v>
      </c>
      <c r="C1135">
        <v>0.0</v>
      </c>
      <c r="D1135">
        <v>0.0</v>
      </c>
      <c r="F1135" t="s">
        <v>2942</v>
      </c>
      <c r="G1135" t="s">
        <v>2943</v>
      </c>
      <c r="H1135" t="s">
        <v>2963</v>
      </c>
      <c r="I1135" t="s">
        <v>344</v>
      </c>
    </row>
    <row r="1136" customHeight="1" ht="14.0">
      <c r="A1136" t="s">
        <v>4086</v>
      </c>
      <c r="B1136" s="153" t="s">
        <v>4087</v>
      </c>
      <c r="C1136">
        <v>0.0</v>
      </c>
      <c r="D1136">
        <v>0.0</v>
      </c>
      <c r="F1136" t="s">
        <v>2942</v>
      </c>
      <c r="G1136" t="s">
        <v>2943</v>
      </c>
      <c r="H1136" t="s">
        <v>2963</v>
      </c>
      <c r="I1136" t="s">
        <v>207</v>
      </c>
    </row>
    <row r="1137" customHeight="1" ht="14.0">
      <c r="A1137" t="s">
        <v>4088</v>
      </c>
      <c r="B1137" s="153" t="s">
        <v>4089</v>
      </c>
      <c r="C1137">
        <v>0.0</v>
      </c>
      <c r="D1137">
        <v>0.0</v>
      </c>
      <c r="F1137" t="s">
        <v>2942</v>
      </c>
      <c r="G1137" t="s">
        <v>2943</v>
      </c>
      <c r="H1137" t="s">
        <v>2963</v>
      </c>
      <c r="I1137" t="s">
        <v>4067</v>
      </c>
    </row>
    <row r="1138" customHeight="1" ht="14.0">
      <c r="A1138" t="s">
        <v>4090</v>
      </c>
      <c r="B1138" s="153" t="s">
        <v>4091</v>
      </c>
      <c r="C1138">
        <v>0.0</v>
      </c>
      <c r="D1138">
        <v>0.0</v>
      </c>
      <c r="F1138" t="s">
        <v>2942</v>
      </c>
      <c r="G1138" t="s">
        <v>2943</v>
      </c>
      <c r="H1138" t="s">
        <v>2963</v>
      </c>
      <c r="I1138" t="s">
        <v>4067</v>
      </c>
    </row>
    <row r="1139" customHeight="1" ht="14.0">
      <c r="A1139" t="s">
        <v>4092</v>
      </c>
      <c r="B1139" s="153" t="s">
        <v>4093</v>
      </c>
      <c r="C1139">
        <v>0.0</v>
      </c>
      <c r="D1139">
        <v>0.0</v>
      </c>
      <c r="F1139" t="s">
        <v>2942</v>
      </c>
      <c r="G1139" t="s">
        <v>2962</v>
      </c>
      <c r="H1139" t="s">
        <v>2963</v>
      </c>
      <c r="I1139" t="s">
        <v>3690</v>
      </c>
    </row>
    <row r="1140" customHeight="1" ht="14.0">
      <c r="A1140" t="s">
        <v>4094</v>
      </c>
      <c r="B1140" s="153" t="s">
        <v>4095</v>
      </c>
      <c r="C1140">
        <v>0.0</v>
      </c>
      <c r="D1140">
        <v>0.0</v>
      </c>
      <c r="F1140" t="s">
        <v>2942</v>
      </c>
      <c r="G1140" t="s">
        <v>2943</v>
      </c>
      <c r="H1140" t="s">
        <v>2963</v>
      </c>
      <c r="I1140" t="s">
        <v>4067</v>
      </c>
    </row>
    <row r="1141" customHeight="1" ht="14.0">
      <c r="A1141" t="s">
        <v>4096</v>
      </c>
      <c r="B1141" s="153" t="s">
        <v>4097</v>
      </c>
      <c r="C1141">
        <v>0.0</v>
      </c>
      <c r="D1141">
        <v>0.0</v>
      </c>
      <c r="F1141" t="s">
        <v>2942</v>
      </c>
      <c r="G1141" t="s">
        <v>2962</v>
      </c>
      <c r="H1141" t="s">
        <v>2963</v>
      </c>
      <c r="I1141" t="s">
        <v>4067</v>
      </c>
    </row>
    <row r="1142" customHeight="1" ht="14.0">
      <c r="A1142" t="s">
        <v>4098</v>
      </c>
      <c r="B1142" s="153" t="s">
        <v>4099</v>
      </c>
      <c r="C1142">
        <v>0.0</v>
      </c>
      <c r="D1142">
        <v>0.0</v>
      </c>
      <c r="F1142" t="s">
        <v>2942</v>
      </c>
      <c r="G1142" t="s">
        <v>2943</v>
      </c>
      <c r="H1142" t="s">
        <v>2963</v>
      </c>
      <c r="I1142" t="s">
        <v>3687</v>
      </c>
    </row>
    <row r="1143" customHeight="1" ht="14.0">
      <c r="A1143" t="s">
        <v>4100</v>
      </c>
      <c r="B1143" s="153" t="s">
        <v>4101</v>
      </c>
      <c r="C1143">
        <v>0.0</v>
      </c>
      <c r="D1143">
        <v>0.0</v>
      </c>
      <c r="F1143" t="s">
        <v>2942</v>
      </c>
      <c r="G1143" t="s">
        <v>2943</v>
      </c>
      <c r="H1143" t="s">
        <v>2963</v>
      </c>
      <c r="I1143" t="s">
        <v>344</v>
      </c>
    </row>
    <row r="1144" customHeight="1" ht="14.0">
      <c r="A1144" t="s">
        <v>4102</v>
      </c>
      <c r="B1144" s="153" t="s">
        <v>4103</v>
      </c>
      <c r="C1144">
        <v>0.0</v>
      </c>
      <c r="D1144">
        <v>0.0</v>
      </c>
      <c r="F1144" t="s">
        <v>2942</v>
      </c>
      <c r="G1144" t="s">
        <v>2962</v>
      </c>
      <c r="H1144" t="s">
        <v>2963</v>
      </c>
      <c r="I1144" t="s">
        <v>207</v>
      </c>
    </row>
    <row r="1145" customHeight="1" ht="14.0">
      <c r="A1145" t="s">
        <v>4104</v>
      </c>
      <c r="B1145" s="153" t="s">
        <v>4105</v>
      </c>
      <c r="C1145">
        <v>0.0</v>
      </c>
      <c r="D1145">
        <v>0.0</v>
      </c>
      <c r="F1145" t="s">
        <v>2942</v>
      </c>
      <c r="G1145" t="s">
        <v>2943</v>
      </c>
      <c r="H1145" t="s">
        <v>2963</v>
      </c>
      <c r="I1145" t="s">
        <v>4067</v>
      </c>
    </row>
    <row r="1146" customHeight="1" ht="14.0">
      <c r="A1146" t="s">
        <v>4106</v>
      </c>
      <c r="B1146" s="153" t="s">
        <v>4107</v>
      </c>
      <c r="C1146">
        <v>0.0</v>
      </c>
      <c r="D1146">
        <v>0.0</v>
      </c>
      <c r="F1146" t="s">
        <v>2942</v>
      </c>
      <c r="G1146" t="s">
        <v>2943</v>
      </c>
      <c r="H1146" t="s">
        <v>2963</v>
      </c>
      <c r="I1146" t="s">
        <v>4067</v>
      </c>
    </row>
    <row r="1147" customHeight="1" ht="14.0">
      <c r="A1147" t="s">
        <v>4108</v>
      </c>
      <c r="B1147" s="153" t="s">
        <v>4109</v>
      </c>
      <c r="C1147">
        <v>0.0</v>
      </c>
      <c r="D1147">
        <v>0.0</v>
      </c>
      <c r="F1147" t="s">
        <v>2942</v>
      </c>
      <c r="G1147" t="s">
        <v>2943</v>
      </c>
      <c r="H1147" t="s">
        <v>2963</v>
      </c>
      <c r="I1147" t="s">
        <v>3690</v>
      </c>
    </row>
    <row r="1148" customHeight="1" ht="14.0">
      <c r="A1148" t="s">
        <v>4110</v>
      </c>
      <c r="B1148" s="153" t="s">
        <v>4111</v>
      </c>
      <c r="C1148">
        <v>0.0</v>
      </c>
      <c r="D1148">
        <v>0.0</v>
      </c>
      <c r="F1148" t="s">
        <v>2942</v>
      </c>
      <c r="G1148" t="s">
        <v>2943</v>
      </c>
      <c r="H1148" t="s">
        <v>2963</v>
      </c>
      <c r="I1148" t="s">
        <v>4067</v>
      </c>
    </row>
    <row r="1149" customHeight="1" ht="14.0">
      <c r="A1149" t="s">
        <v>4112</v>
      </c>
      <c r="B1149" s="153" t="s">
        <v>4113</v>
      </c>
      <c r="C1149">
        <v>0.0</v>
      </c>
      <c r="D1149">
        <v>0.0</v>
      </c>
      <c r="F1149" t="s">
        <v>2942</v>
      </c>
      <c r="G1149" t="s">
        <v>2943</v>
      </c>
      <c r="H1149" t="s">
        <v>2963</v>
      </c>
      <c r="I1149" t="s">
        <v>4067</v>
      </c>
    </row>
    <row r="1150" customHeight="1" ht="14.0">
      <c r="A1150" t="s">
        <v>4114</v>
      </c>
      <c r="B1150" s="153" t="s">
        <v>4115</v>
      </c>
      <c r="C1150">
        <v>0.0</v>
      </c>
      <c r="D1150">
        <v>0.0</v>
      </c>
      <c r="F1150" t="s">
        <v>2942</v>
      </c>
      <c r="G1150" t="s">
        <v>2943</v>
      </c>
      <c r="H1150" t="s">
        <v>2963</v>
      </c>
      <c r="I1150" t="s">
        <v>3687</v>
      </c>
    </row>
    <row r="1151" customHeight="1" ht="14.0">
      <c r="A1151" t="s">
        <v>4116</v>
      </c>
      <c r="B1151" s="153" t="s">
        <v>4117</v>
      </c>
      <c r="C1151">
        <v>0.0</v>
      </c>
      <c r="D1151">
        <v>0.0</v>
      </c>
      <c r="F1151" t="s">
        <v>2942</v>
      </c>
      <c r="G1151" t="s">
        <v>2943</v>
      </c>
      <c r="H1151" t="s">
        <v>2963</v>
      </c>
      <c r="I1151" t="s">
        <v>344</v>
      </c>
    </row>
    <row r="1152" customHeight="1" ht="14.0">
      <c r="A1152" t="s">
        <v>4118</v>
      </c>
      <c r="B1152" s="153" t="s">
        <v>4119</v>
      </c>
      <c r="C1152">
        <v>0.0</v>
      </c>
      <c r="D1152">
        <v>0.0</v>
      </c>
      <c r="F1152" t="s">
        <v>2942</v>
      </c>
      <c r="G1152" t="s">
        <v>2943</v>
      </c>
      <c r="H1152" t="s">
        <v>2963</v>
      </c>
      <c r="I1152" t="s">
        <v>207</v>
      </c>
    </row>
    <row r="1153" customHeight="1" ht="14.0">
      <c r="A1153" t="s">
        <v>4120</v>
      </c>
      <c r="B1153" s="153" t="s">
        <v>4121</v>
      </c>
      <c r="C1153">
        <v>0.0</v>
      </c>
      <c r="D1153">
        <v>0.0</v>
      </c>
      <c r="F1153" t="s">
        <v>2942</v>
      </c>
      <c r="G1153" t="s">
        <v>2943</v>
      </c>
      <c r="H1153" t="s">
        <v>2963</v>
      </c>
      <c r="I1153" t="s">
        <v>4067</v>
      </c>
    </row>
    <row r="1154" customHeight="1" ht="14.0">
      <c r="A1154" t="s">
        <v>4122</v>
      </c>
      <c r="B1154" s="153" t="s">
        <v>4123</v>
      </c>
      <c r="C1154">
        <v>0.0</v>
      </c>
      <c r="D1154">
        <v>0.0</v>
      </c>
      <c r="F1154" t="s">
        <v>2942</v>
      </c>
      <c r="G1154" t="s">
        <v>2943</v>
      </c>
      <c r="H1154" t="s">
        <v>2963</v>
      </c>
      <c r="I1154" t="s">
        <v>4067</v>
      </c>
    </row>
    <row r="1155" customHeight="1" ht="14.0">
      <c r="A1155" t="s">
        <v>4124</v>
      </c>
      <c r="B1155" s="153" t="s">
        <v>4125</v>
      </c>
      <c r="C1155">
        <v>0.0</v>
      </c>
      <c r="D1155">
        <v>0.0</v>
      </c>
      <c r="F1155" t="s">
        <v>2942</v>
      </c>
      <c r="G1155" t="s">
        <v>2962</v>
      </c>
      <c r="H1155" t="s">
        <v>2963</v>
      </c>
      <c r="I1155" t="s">
        <v>3690</v>
      </c>
    </row>
    <row r="1156" customHeight="1" ht="14.0">
      <c r="A1156" t="s">
        <v>4126</v>
      </c>
      <c r="B1156" s="153" t="s">
        <v>4127</v>
      </c>
      <c r="C1156">
        <v>0.0</v>
      </c>
      <c r="D1156">
        <v>0.0</v>
      </c>
      <c r="F1156" t="s">
        <v>2942</v>
      </c>
      <c r="G1156" t="s">
        <v>2943</v>
      </c>
      <c r="H1156" t="s">
        <v>2963</v>
      </c>
      <c r="I1156" t="s">
        <v>4067</v>
      </c>
    </row>
    <row r="1157" customHeight="1" ht="14.0">
      <c r="A1157" t="s">
        <v>4128</v>
      </c>
      <c r="B1157" s="153" t="s">
        <v>4129</v>
      </c>
      <c r="C1157">
        <v>0.0</v>
      </c>
      <c r="D1157">
        <v>0.0</v>
      </c>
      <c r="F1157" t="s">
        <v>2942</v>
      </c>
      <c r="G1157" t="s">
        <v>2943</v>
      </c>
      <c r="H1157" t="s">
        <v>2963</v>
      </c>
      <c r="I1157" t="s">
        <v>4067</v>
      </c>
    </row>
    <row r="1158" customHeight="1" ht="14.0">
      <c r="A1158" t="s">
        <v>4130</v>
      </c>
      <c r="B1158" s="153" t="s">
        <v>4131</v>
      </c>
      <c r="C1158">
        <v>0.0</v>
      </c>
      <c r="D1158">
        <v>0.0</v>
      </c>
      <c r="F1158" t="s">
        <v>2942</v>
      </c>
      <c r="G1158" t="s">
        <v>2943</v>
      </c>
      <c r="H1158" t="s">
        <v>2963</v>
      </c>
      <c r="I1158" t="s">
        <v>3687</v>
      </c>
    </row>
    <row r="1159" customHeight="1" ht="14.0">
      <c r="A1159" t="s">
        <v>4132</v>
      </c>
      <c r="B1159" s="153" t="s">
        <v>4133</v>
      </c>
      <c r="C1159">
        <v>0.0</v>
      </c>
      <c r="D1159">
        <v>0.0</v>
      </c>
      <c r="F1159" t="s">
        <v>2942</v>
      </c>
      <c r="G1159" t="s">
        <v>2962</v>
      </c>
      <c r="H1159" t="s">
        <v>2963</v>
      </c>
      <c r="I1159" t="s">
        <v>4067</v>
      </c>
    </row>
    <row r="1160" customHeight="1" ht="14.0">
      <c r="A1160" t="s">
        <v>4134</v>
      </c>
      <c r="B1160" s="153">
        <v>78797.0</v>
      </c>
      <c r="C1160">
        <v>0.0</v>
      </c>
      <c r="D1160">
        <v>0.0</v>
      </c>
      <c r="F1160" t="s">
        <v>2942</v>
      </c>
      <c r="G1160" t="s">
        <v>2943</v>
      </c>
      <c r="H1160" t="s">
        <v>2944</v>
      </c>
      <c r="I1160" t="s">
        <v>3783</v>
      </c>
    </row>
    <row r="1161" customHeight="1" ht="14.0">
      <c r="A1161" t="s">
        <v>4135</v>
      </c>
      <c r="B1161" s="153" t="s">
        <v>4136</v>
      </c>
      <c r="C1161">
        <v>324.0</v>
      </c>
      <c r="D1161">
        <v>1571.91</v>
      </c>
      <c r="E1161">
        <v>4.8516</v>
      </c>
      <c r="F1161" t="s">
        <v>2942</v>
      </c>
      <c r="G1161" t="s">
        <v>2962</v>
      </c>
      <c r="H1161" t="s">
        <v>2984</v>
      </c>
      <c r="I1161" t="s">
        <v>4137</v>
      </c>
    </row>
    <row r="1162" customHeight="1" ht="14.0">
      <c r="A1162" t="s">
        <v>4138</v>
      </c>
      <c r="B1162" s="153" t="s">
        <v>4139</v>
      </c>
      <c r="C1162">
        <v>261.0</v>
      </c>
      <c r="D1162">
        <v>1298.48</v>
      </c>
      <c r="E1162">
        <v>4.975</v>
      </c>
      <c r="F1162" t="s">
        <v>2942</v>
      </c>
      <c r="G1162" t="s">
        <v>2962</v>
      </c>
      <c r="H1162" t="s">
        <v>2984</v>
      </c>
      <c r="I1162" t="s">
        <v>4137</v>
      </c>
    </row>
    <row r="1163" customHeight="1" ht="14.0">
      <c r="A1163" t="s">
        <v>4140</v>
      </c>
      <c r="B1163" s="153" t="s">
        <v>4141</v>
      </c>
      <c r="C1163">
        <v>643.0</v>
      </c>
      <c r="D1163">
        <v>3157.11</v>
      </c>
      <c r="E1163">
        <v>4.91</v>
      </c>
      <c r="F1163" t="s">
        <v>2942</v>
      </c>
      <c r="G1163" t="s">
        <v>2962</v>
      </c>
      <c r="H1163" t="s">
        <v>2984</v>
      </c>
      <c r="I1163" t="s">
        <v>4137</v>
      </c>
    </row>
    <row r="1164" customHeight="1" ht="14.0">
      <c r="A1164" t="s">
        <v>4142</v>
      </c>
      <c r="B1164" s="153" t="s">
        <v>4143</v>
      </c>
      <c r="C1164">
        <v>330.0</v>
      </c>
      <c r="D1164">
        <v>1641.65</v>
      </c>
      <c r="E1164">
        <v>4.9747</v>
      </c>
      <c r="F1164" t="s">
        <v>2942</v>
      </c>
      <c r="G1164" t="s">
        <v>2962</v>
      </c>
      <c r="H1164" t="s">
        <v>2984</v>
      </c>
      <c r="I1164" t="s">
        <v>4137</v>
      </c>
    </row>
    <row r="1165" customHeight="1" ht="14.0">
      <c r="A1165" t="s">
        <v>4144</v>
      </c>
      <c r="B1165" s="153" t="s">
        <v>4145</v>
      </c>
      <c r="C1165">
        <v>183.0</v>
      </c>
      <c r="D1165">
        <v>910.57</v>
      </c>
      <c r="E1165">
        <v>4.9758</v>
      </c>
      <c r="F1165" t="s">
        <v>2942</v>
      </c>
      <c r="G1165" t="s">
        <v>2962</v>
      </c>
      <c r="H1165" t="s">
        <v>2984</v>
      </c>
      <c r="I1165" t="s">
        <v>4137</v>
      </c>
    </row>
    <row r="1166" customHeight="1" ht="14.0">
      <c r="A1166" t="s">
        <v>1693</v>
      </c>
      <c r="B1166" s="153" t="s">
        <v>1694</v>
      </c>
      <c r="C1166">
        <v>0.0</v>
      </c>
      <c r="D1166">
        <v>0.0</v>
      </c>
      <c r="F1166" t="s">
        <v>2942</v>
      </c>
      <c r="G1166" t="s">
        <v>2943</v>
      </c>
      <c r="H1166" t="s">
        <v>2944</v>
      </c>
      <c r="I1166" t="s">
        <v>3697</v>
      </c>
    </row>
    <row r="1167" customHeight="1" ht="14.0">
      <c r="A1167" t="s">
        <v>1695</v>
      </c>
      <c r="B1167" s="153" t="s">
        <v>1696</v>
      </c>
      <c r="C1167">
        <v>0.0</v>
      </c>
      <c r="D1167">
        <v>0.0</v>
      </c>
      <c r="F1167" t="s">
        <v>2942</v>
      </c>
      <c r="G1167" t="s">
        <v>2943</v>
      </c>
      <c r="H1167" t="s">
        <v>2944</v>
      </c>
      <c r="I1167" t="s">
        <v>3697</v>
      </c>
    </row>
    <row r="1168" customHeight="1" ht="14.0">
      <c r="A1168" t="s">
        <v>4146</v>
      </c>
      <c r="B1168" s="153" t="s">
        <v>4147</v>
      </c>
      <c r="C1168">
        <v>0.0</v>
      </c>
      <c r="D1168">
        <v>0.0</v>
      </c>
      <c r="F1168" t="s">
        <v>2942</v>
      </c>
      <c r="G1168" t="s">
        <v>2943</v>
      </c>
      <c r="H1168" t="s">
        <v>2944</v>
      </c>
      <c r="I1168" t="s">
        <v>3697</v>
      </c>
    </row>
    <row r="1169" customHeight="1" ht="14.0">
      <c r="A1169" t="s">
        <v>4148</v>
      </c>
      <c r="B1169" s="153" t="s">
        <v>4149</v>
      </c>
      <c r="C1169">
        <v>349.0</v>
      </c>
      <c r="D1169">
        <v>1820.89</v>
      </c>
      <c r="E1169">
        <v>5.2174</v>
      </c>
      <c r="F1169" t="s">
        <v>2942</v>
      </c>
      <c r="G1169" t="s">
        <v>2962</v>
      </c>
      <c r="H1169" t="s">
        <v>2984</v>
      </c>
      <c r="I1169" t="s">
        <v>4137</v>
      </c>
    </row>
    <row r="1170" customHeight="1" ht="14.0">
      <c r="A1170" t="s">
        <v>4150</v>
      </c>
      <c r="B1170" s="153" t="s">
        <v>4151</v>
      </c>
      <c r="C1170">
        <v>501.0</v>
      </c>
      <c r="D1170">
        <v>2613.82</v>
      </c>
      <c r="E1170">
        <v>5.2172</v>
      </c>
      <c r="F1170" t="s">
        <v>2942</v>
      </c>
      <c r="G1170" t="s">
        <v>2962</v>
      </c>
      <c r="H1170" t="s">
        <v>2963</v>
      </c>
      <c r="I1170" t="s">
        <v>4137</v>
      </c>
    </row>
    <row r="1171" customHeight="1" ht="14.0">
      <c r="A1171" t="s">
        <v>4152</v>
      </c>
      <c r="B1171" s="153" t="s">
        <v>4153</v>
      </c>
      <c r="C1171">
        <v>426.0</v>
      </c>
      <c r="D1171">
        <v>2066.62</v>
      </c>
      <c r="E1171">
        <v>4.8512</v>
      </c>
      <c r="F1171" t="s">
        <v>2942</v>
      </c>
      <c r="G1171" t="s">
        <v>2962</v>
      </c>
      <c r="H1171" t="s">
        <v>2984</v>
      </c>
      <c r="I1171" t="s">
        <v>4137</v>
      </c>
    </row>
    <row r="1172" customHeight="1" ht="14.0">
      <c r="A1172" t="s">
        <v>4154</v>
      </c>
      <c r="B1172" s="153" t="s">
        <v>4155</v>
      </c>
      <c r="C1172">
        <v>526.0</v>
      </c>
      <c r="D1172">
        <v>2740.07</v>
      </c>
      <c r="E1172">
        <v>5.2093</v>
      </c>
      <c r="F1172" t="s">
        <v>2942</v>
      </c>
      <c r="G1172" t="s">
        <v>2962</v>
      </c>
      <c r="H1172" t="s">
        <v>2984</v>
      </c>
      <c r="I1172" t="s">
        <v>4137</v>
      </c>
    </row>
    <row r="1173" customHeight="1" ht="14.0">
      <c r="A1173" t="s">
        <v>4156</v>
      </c>
      <c r="B1173" s="153" t="s">
        <v>4157</v>
      </c>
      <c r="C1173">
        <v>0.0</v>
      </c>
      <c r="D1173">
        <v>0.0</v>
      </c>
      <c r="F1173" t="s">
        <v>2942</v>
      </c>
      <c r="G1173" t="s">
        <v>2943</v>
      </c>
      <c r="H1173" t="s">
        <v>2944</v>
      </c>
      <c r="I1173" t="s">
        <v>3697</v>
      </c>
    </row>
    <row r="1174" customHeight="1" ht="14.0">
      <c r="A1174" t="s">
        <v>1697</v>
      </c>
      <c r="B1174" s="153" t="s">
        <v>1698</v>
      </c>
      <c r="C1174">
        <v>158.0</v>
      </c>
      <c r="D1174">
        <v>630.19</v>
      </c>
      <c r="E1174">
        <v>3.9885</v>
      </c>
      <c r="F1174" t="s">
        <v>2942</v>
      </c>
      <c r="G1174" t="s">
        <v>2962</v>
      </c>
      <c r="H1174" t="s">
        <v>2963</v>
      </c>
      <c r="I1174" t="s">
        <v>4137</v>
      </c>
    </row>
    <row r="1175" customHeight="1" ht="14.0">
      <c r="A1175" t="s">
        <v>1699</v>
      </c>
      <c r="B1175" s="153" t="s">
        <v>1700</v>
      </c>
      <c r="C1175">
        <v>0.0</v>
      </c>
      <c r="D1175">
        <v>0.0</v>
      </c>
      <c r="F1175" t="s">
        <v>2942</v>
      </c>
      <c r="G1175" t="s">
        <v>2943</v>
      </c>
      <c r="H1175" t="s">
        <v>2944</v>
      </c>
      <c r="I1175" t="s">
        <v>3697</v>
      </c>
    </row>
    <row r="1176" customHeight="1" ht="14.0">
      <c r="A1176" t="s">
        <v>1701</v>
      </c>
      <c r="B1176" s="153" t="s">
        <v>1702</v>
      </c>
      <c r="C1176">
        <v>0.0</v>
      </c>
      <c r="D1176">
        <v>0.0</v>
      </c>
      <c r="F1176" t="s">
        <v>2942</v>
      </c>
      <c r="G1176" t="s">
        <v>2943</v>
      </c>
      <c r="H1176" t="s">
        <v>2963</v>
      </c>
      <c r="I1176" t="s">
        <v>3697</v>
      </c>
    </row>
    <row r="1177" customHeight="1" ht="14.0">
      <c r="A1177" t="s">
        <v>4158</v>
      </c>
      <c r="B1177" s="153" t="s">
        <v>4159</v>
      </c>
      <c r="C1177">
        <v>0.0</v>
      </c>
      <c r="D1177">
        <v>0.0</v>
      </c>
      <c r="F1177" t="s">
        <v>2942</v>
      </c>
      <c r="G1177" t="s">
        <v>2943</v>
      </c>
      <c r="H1177" t="s">
        <v>2944</v>
      </c>
      <c r="I1177" t="s">
        <v>228</v>
      </c>
    </row>
    <row r="1178" customHeight="1" ht="14.0">
      <c r="A1178" t="s">
        <v>438</v>
      </c>
      <c r="B1178" s="153" t="s">
        <v>439</v>
      </c>
      <c r="C1178">
        <v>0.0</v>
      </c>
      <c r="D1178">
        <v>0.0</v>
      </c>
      <c r="F1178" t="s">
        <v>2942</v>
      </c>
      <c r="G1178" t="s">
        <v>2943</v>
      </c>
      <c r="H1178" t="s">
        <v>2963</v>
      </c>
      <c r="I1178" t="s">
        <v>401</v>
      </c>
    </row>
    <row r="1179" customHeight="1" ht="14.0">
      <c r="A1179" t="s">
        <v>432</v>
      </c>
      <c r="B1179" s="153" t="s">
        <v>433</v>
      </c>
      <c r="C1179">
        <v>0.0</v>
      </c>
      <c r="D1179">
        <v>0.0</v>
      </c>
      <c r="F1179" t="s">
        <v>2942</v>
      </c>
      <c r="G1179" t="s">
        <v>2943</v>
      </c>
      <c r="H1179" t="s">
        <v>2963</v>
      </c>
      <c r="I1179" t="s">
        <v>401</v>
      </c>
    </row>
    <row r="1180" customHeight="1" ht="14.0">
      <c r="A1180" t="s">
        <v>434</v>
      </c>
      <c r="B1180" s="153" t="s">
        <v>435</v>
      </c>
      <c r="C1180">
        <v>491.0</v>
      </c>
      <c r="D1180">
        <v>2408.63</v>
      </c>
      <c r="E1180">
        <v>4.9056</v>
      </c>
      <c r="F1180" t="s">
        <v>2942</v>
      </c>
      <c r="G1180" t="s">
        <v>2962</v>
      </c>
      <c r="H1180" t="s">
        <v>30</v>
      </c>
      <c r="I1180" t="s">
        <v>401</v>
      </c>
    </row>
    <row r="1181" customHeight="1" ht="14.0">
      <c r="A1181" t="s">
        <v>430</v>
      </c>
      <c r="B1181" s="153" t="s">
        <v>431</v>
      </c>
      <c r="C1181">
        <v>188.0</v>
      </c>
      <c r="D1181">
        <v>1112.7</v>
      </c>
      <c r="E1181">
        <v>5.9186</v>
      </c>
      <c r="F1181" t="s">
        <v>2942</v>
      </c>
      <c r="G1181" t="s">
        <v>2962</v>
      </c>
      <c r="H1181" t="s">
        <v>30</v>
      </c>
      <c r="I1181" t="s">
        <v>401</v>
      </c>
    </row>
    <row r="1182" customHeight="1" ht="14.0">
      <c r="A1182" t="s">
        <v>428</v>
      </c>
      <c r="B1182" s="153" t="s">
        <v>429</v>
      </c>
      <c r="C1182">
        <v>593.0</v>
      </c>
      <c r="D1182">
        <v>2742.41</v>
      </c>
      <c r="E1182">
        <v>4.6246</v>
      </c>
      <c r="F1182" t="s">
        <v>2942</v>
      </c>
      <c r="G1182" t="s">
        <v>2962</v>
      </c>
      <c r="H1182" t="s">
        <v>30</v>
      </c>
      <c r="I1182" t="s">
        <v>401</v>
      </c>
    </row>
    <row r="1183" customHeight="1" ht="14.0">
      <c r="A1183" t="s">
        <v>446</v>
      </c>
      <c r="B1183" s="153" t="s">
        <v>447</v>
      </c>
      <c r="C1183">
        <v>248.0</v>
      </c>
      <c r="D1183">
        <v>1300.46</v>
      </c>
      <c r="E1183">
        <v>5.2438</v>
      </c>
      <c r="F1183" t="s">
        <v>2942</v>
      </c>
      <c r="G1183" t="s">
        <v>2962</v>
      </c>
      <c r="H1183" t="s">
        <v>30</v>
      </c>
      <c r="I1183" t="s">
        <v>401</v>
      </c>
    </row>
    <row r="1184" customHeight="1" ht="14.0">
      <c r="A1184" t="s">
        <v>440</v>
      </c>
      <c r="B1184" s="153" t="s">
        <v>441</v>
      </c>
      <c r="C1184">
        <v>0.0</v>
      </c>
      <c r="D1184">
        <v>0.0</v>
      </c>
      <c r="F1184" t="s">
        <v>2942</v>
      </c>
      <c r="G1184" t="s">
        <v>2962</v>
      </c>
      <c r="H1184" t="s">
        <v>2963</v>
      </c>
      <c r="I1184" t="s">
        <v>401</v>
      </c>
    </row>
    <row r="1185" customHeight="1" ht="14.0">
      <c r="A1185" t="s">
        <v>448</v>
      </c>
      <c r="B1185" s="153" t="s">
        <v>449</v>
      </c>
      <c r="C1185">
        <v>728.0</v>
      </c>
      <c r="D1185">
        <v>3353.92</v>
      </c>
      <c r="E1185">
        <v>4.607</v>
      </c>
      <c r="F1185" t="s">
        <v>2942</v>
      </c>
      <c r="G1185" t="s">
        <v>2962</v>
      </c>
      <c r="H1185" t="s">
        <v>30</v>
      </c>
      <c r="I1185" t="s">
        <v>401</v>
      </c>
    </row>
    <row r="1186" customHeight="1" ht="14.0">
      <c r="A1186" t="s">
        <v>4160</v>
      </c>
      <c r="B1186" s="153" t="s">
        <v>4161</v>
      </c>
      <c r="C1186">
        <v>0.0</v>
      </c>
      <c r="D1186">
        <v>0.0</v>
      </c>
      <c r="F1186" t="s">
        <v>2942</v>
      </c>
      <c r="G1186" t="s">
        <v>2943</v>
      </c>
      <c r="H1186" t="s">
        <v>3161</v>
      </c>
    </row>
    <row r="1187" customHeight="1" ht="14.0">
      <c r="A1187" t="s">
        <v>4162</v>
      </c>
      <c r="B1187" s="153" t="s">
        <v>4163</v>
      </c>
      <c r="C1187">
        <v>1.0</v>
      </c>
      <c r="D1187">
        <v>0.0</v>
      </c>
      <c r="E1187">
        <v>0.0</v>
      </c>
      <c r="F1187" t="s">
        <v>3197</v>
      </c>
      <c r="G1187" t="s">
        <v>2962</v>
      </c>
      <c r="H1187" t="s">
        <v>2963</v>
      </c>
    </row>
    <row r="1188" customHeight="1" ht="14.0">
      <c r="A1188" t="s">
        <v>4164</v>
      </c>
      <c r="B1188" s="153" t="s">
        <v>4165</v>
      </c>
      <c r="C1188">
        <v>0.0</v>
      </c>
      <c r="D1188">
        <v>0.0</v>
      </c>
      <c r="F1188" t="s">
        <v>2942</v>
      </c>
      <c r="G1188" t="s">
        <v>2943</v>
      </c>
      <c r="H1188" t="s">
        <v>2944</v>
      </c>
      <c r="I1188" t="s">
        <v>3059</v>
      </c>
    </row>
    <row r="1189" customHeight="1" ht="14.0">
      <c r="A1189" t="s">
        <v>4166</v>
      </c>
      <c r="B1189" s="153" t="s">
        <v>4167</v>
      </c>
      <c r="C1189">
        <v>0.0</v>
      </c>
      <c r="D1189">
        <v>0.0</v>
      </c>
      <c r="F1189" t="s">
        <v>2942</v>
      </c>
      <c r="G1189" t="s">
        <v>2943</v>
      </c>
      <c r="H1189" t="s">
        <v>2944</v>
      </c>
      <c r="I1189" t="s">
        <v>4168</v>
      </c>
    </row>
    <row r="1190" customHeight="1" ht="14.0">
      <c r="A1190" t="s">
        <v>4169</v>
      </c>
      <c r="B1190" s="153" t="s">
        <v>4170</v>
      </c>
      <c r="C1190">
        <v>0.0</v>
      </c>
      <c r="D1190">
        <v>0.0</v>
      </c>
      <c r="F1190" t="s">
        <v>2942</v>
      </c>
      <c r="G1190" t="s">
        <v>2943</v>
      </c>
      <c r="H1190" t="s">
        <v>2944</v>
      </c>
      <c r="I1190" t="s">
        <v>4168</v>
      </c>
    </row>
    <row r="1191" customHeight="1" ht="14.0">
      <c r="A1191" t="s">
        <v>1703</v>
      </c>
      <c r="B1191" s="153" t="s">
        <v>1704</v>
      </c>
      <c r="C1191">
        <v>8.0</v>
      </c>
      <c r="D1191">
        <v>43.6</v>
      </c>
      <c r="E1191">
        <v>5.45</v>
      </c>
      <c r="F1191" t="s">
        <v>2942</v>
      </c>
      <c r="G1191" t="s">
        <v>2962</v>
      </c>
      <c r="H1191" t="s">
        <v>2963</v>
      </c>
      <c r="I1191" t="s">
        <v>197</v>
      </c>
    </row>
    <row r="1192" customHeight="1" ht="14.0">
      <c r="A1192" t="s">
        <v>652</v>
      </c>
      <c r="B1192" s="153" t="s">
        <v>653</v>
      </c>
      <c r="C1192">
        <v>684.0</v>
      </c>
      <c r="D1192">
        <v>1086.43</v>
      </c>
      <c r="E1192">
        <v>1.5883</v>
      </c>
      <c r="F1192" t="s">
        <v>2942</v>
      </c>
      <c r="G1192" t="s">
        <v>2962</v>
      </c>
      <c r="H1192" t="s">
        <v>2963</v>
      </c>
      <c r="I1192" t="s">
        <v>647</v>
      </c>
    </row>
    <row r="1193" customHeight="1" ht="14.0">
      <c r="A1193" t="s">
        <v>650</v>
      </c>
      <c r="B1193" s="153" t="s">
        <v>651</v>
      </c>
      <c r="C1193">
        <v>655.0</v>
      </c>
      <c r="D1193">
        <v>1040.37</v>
      </c>
      <c r="E1193">
        <v>1.5884</v>
      </c>
      <c r="F1193" t="s">
        <v>2942</v>
      </c>
      <c r="G1193" t="s">
        <v>2962</v>
      </c>
      <c r="H1193" t="s">
        <v>2963</v>
      </c>
      <c r="I1193" t="s">
        <v>647</v>
      </c>
    </row>
    <row r="1194" customHeight="1" ht="14.0">
      <c r="A1194" t="s">
        <v>656</v>
      </c>
      <c r="B1194" s="153" t="s">
        <v>657</v>
      </c>
      <c r="C1194">
        <v>42.0</v>
      </c>
      <c r="D1194">
        <v>74.92</v>
      </c>
      <c r="E1194">
        <v>1.7838</v>
      </c>
      <c r="F1194" t="s">
        <v>2942</v>
      </c>
      <c r="G1194" t="s">
        <v>2962</v>
      </c>
      <c r="H1194" t="s">
        <v>2963</v>
      </c>
      <c r="I1194" t="s">
        <v>647</v>
      </c>
    </row>
    <row r="1195" customHeight="1" ht="14.0">
      <c r="A1195" t="s">
        <v>648</v>
      </c>
      <c r="B1195" s="153" t="s">
        <v>649</v>
      </c>
      <c r="C1195">
        <v>210.0</v>
      </c>
      <c r="D1195">
        <v>333.23</v>
      </c>
      <c r="E1195">
        <v>1.5868</v>
      </c>
      <c r="F1195" t="s">
        <v>2942</v>
      </c>
      <c r="G1195" t="s">
        <v>2962</v>
      </c>
      <c r="H1195" t="s">
        <v>30</v>
      </c>
      <c r="I1195" t="s">
        <v>647</v>
      </c>
    </row>
    <row r="1196" customHeight="1" ht="14.0">
      <c r="A1196" t="s">
        <v>654</v>
      </c>
      <c r="B1196" s="153" t="s">
        <v>655</v>
      </c>
      <c r="C1196">
        <v>360.0</v>
      </c>
      <c r="D1196">
        <v>571.81</v>
      </c>
      <c r="E1196">
        <v>1.5884</v>
      </c>
      <c r="F1196" t="s">
        <v>2942</v>
      </c>
      <c r="G1196" t="s">
        <v>2962</v>
      </c>
      <c r="H1196" t="s">
        <v>2963</v>
      </c>
      <c r="I1196" t="s">
        <v>647</v>
      </c>
    </row>
    <row r="1197" customHeight="1" ht="14.0">
      <c r="A1197" t="s">
        <v>658</v>
      </c>
      <c r="B1197" s="153" t="s">
        <v>659</v>
      </c>
      <c r="C1197">
        <v>52.0</v>
      </c>
      <c r="D1197">
        <v>93.09</v>
      </c>
      <c r="E1197">
        <v>1.7902</v>
      </c>
      <c r="F1197" t="s">
        <v>2942</v>
      </c>
      <c r="G1197" t="s">
        <v>2962</v>
      </c>
      <c r="H1197" t="s">
        <v>2963</v>
      </c>
      <c r="I1197" t="s">
        <v>647</v>
      </c>
    </row>
    <row r="1198" customHeight="1" ht="14.0">
      <c r="A1198" t="s">
        <v>678</v>
      </c>
      <c r="B1198" s="153" t="s">
        <v>679</v>
      </c>
      <c r="C1198">
        <v>3.0</v>
      </c>
      <c r="D1198">
        <v>166.36</v>
      </c>
      <c r="E1198">
        <v>55.4533</v>
      </c>
      <c r="F1198" t="s">
        <v>2942</v>
      </c>
      <c r="G1198" t="s">
        <v>2962</v>
      </c>
      <c r="H1198" t="s">
        <v>30</v>
      </c>
      <c r="I1198" t="s">
        <v>647</v>
      </c>
    </row>
    <row r="1199" customHeight="1" ht="14.0">
      <c r="A1199" t="s">
        <v>4171</v>
      </c>
      <c r="B1199" s="153" t="s">
        <v>4172</v>
      </c>
      <c r="C1199">
        <v>0.0</v>
      </c>
      <c r="D1199">
        <v>0.0</v>
      </c>
      <c r="F1199" t="s">
        <v>2942</v>
      </c>
      <c r="G1199" t="s">
        <v>2943</v>
      </c>
      <c r="H1199" t="s">
        <v>2944</v>
      </c>
      <c r="I1199" t="s">
        <v>4173</v>
      </c>
    </row>
    <row r="1200" customHeight="1" ht="14.0">
      <c r="A1200" t="s">
        <v>4174</v>
      </c>
      <c r="B1200" s="153" t="s">
        <v>4175</v>
      </c>
      <c r="C1200">
        <v>0.0</v>
      </c>
      <c r="D1200">
        <v>0.0</v>
      </c>
      <c r="F1200" t="s">
        <v>2942</v>
      </c>
      <c r="G1200" t="s">
        <v>2943</v>
      </c>
      <c r="H1200" t="s">
        <v>2944</v>
      </c>
      <c r="I1200" t="s">
        <v>4173</v>
      </c>
    </row>
    <row r="1201" customHeight="1" ht="14.0">
      <c r="A1201" t="s">
        <v>4176</v>
      </c>
      <c r="B1201" s="153" t="s">
        <v>4177</v>
      </c>
      <c r="C1201">
        <v>0.0</v>
      </c>
      <c r="D1201">
        <v>0.0</v>
      </c>
      <c r="F1201" t="s">
        <v>2942</v>
      </c>
      <c r="G1201" t="s">
        <v>2943</v>
      </c>
      <c r="H1201" t="s">
        <v>2944</v>
      </c>
      <c r="I1201" t="s">
        <v>4173</v>
      </c>
    </row>
    <row r="1202" customHeight="1" ht="14.0">
      <c r="A1202" t="s">
        <v>4178</v>
      </c>
      <c r="B1202" s="153" t="s">
        <v>4179</v>
      </c>
      <c r="C1202">
        <v>0.0</v>
      </c>
      <c r="D1202">
        <v>0.0</v>
      </c>
      <c r="F1202" t="s">
        <v>2942</v>
      </c>
      <c r="G1202" t="s">
        <v>2943</v>
      </c>
      <c r="H1202" t="s">
        <v>2944</v>
      </c>
      <c r="I1202" t="s">
        <v>4173</v>
      </c>
    </row>
    <row r="1203" customHeight="1" ht="14.0">
      <c r="A1203" t="s">
        <v>1705</v>
      </c>
      <c r="B1203" s="153" t="s">
        <v>1706</v>
      </c>
      <c r="C1203">
        <v>0.0</v>
      </c>
      <c r="D1203">
        <v>0.0</v>
      </c>
      <c r="F1203" t="s">
        <v>2942</v>
      </c>
      <c r="G1203" t="s">
        <v>2943</v>
      </c>
      <c r="H1203" t="s">
        <v>2944</v>
      </c>
      <c r="I1203" t="s">
        <v>4173</v>
      </c>
    </row>
    <row r="1204" customHeight="1" ht="14.0">
      <c r="A1204" t="s">
        <v>4180</v>
      </c>
      <c r="B1204" s="153" t="s">
        <v>4181</v>
      </c>
      <c r="C1204">
        <v>0.0</v>
      </c>
      <c r="D1204">
        <v>0.0</v>
      </c>
      <c r="F1204" t="s">
        <v>2942</v>
      </c>
      <c r="G1204" t="s">
        <v>2943</v>
      </c>
      <c r="H1204" t="s">
        <v>2944</v>
      </c>
      <c r="I1204" t="s">
        <v>4173</v>
      </c>
    </row>
    <row r="1205" customHeight="1" ht="14.0">
      <c r="A1205" t="s">
        <v>4182</v>
      </c>
      <c r="B1205" s="153" t="s">
        <v>4183</v>
      </c>
      <c r="C1205">
        <v>0.0</v>
      </c>
      <c r="D1205">
        <v>0.0</v>
      </c>
      <c r="F1205" t="s">
        <v>2942</v>
      </c>
      <c r="G1205" t="s">
        <v>2943</v>
      </c>
      <c r="H1205" t="s">
        <v>2944</v>
      </c>
      <c r="I1205" t="s">
        <v>228</v>
      </c>
    </row>
    <row r="1206" customHeight="1" ht="14.0">
      <c r="A1206" t="s">
        <v>4184</v>
      </c>
      <c r="B1206" s="153" t="s">
        <v>4185</v>
      </c>
      <c r="C1206">
        <v>0.0</v>
      </c>
      <c r="D1206">
        <v>0.0</v>
      </c>
      <c r="F1206" t="s">
        <v>2942</v>
      </c>
      <c r="G1206" t="s">
        <v>2943</v>
      </c>
      <c r="H1206" t="s">
        <v>2944</v>
      </c>
      <c r="I1206" t="s">
        <v>3134</v>
      </c>
    </row>
    <row r="1207" customHeight="1" ht="14.0">
      <c r="A1207" t="s">
        <v>4186</v>
      </c>
      <c r="B1207" s="153" t="s">
        <v>4187</v>
      </c>
      <c r="C1207">
        <v>1.0</v>
      </c>
      <c r="D1207">
        <v>244.56</v>
      </c>
      <c r="E1207">
        <v>244.56</v>
      </c>
      <c r="F1207" t="s">
        <v>2942</v>
      </c>
      <c r="G1207" t="s">
        <v>2962</v>
      </c>
      <c r="H1207" t="s">
        <v>2963</v>
      </c>
      <c r="I1207" t="s">
        <v>453</v>
      </c>
    </row>
    <row r="1208" customHeight="1" ht="14.0">
      <c r="A1208" t="s">
        <v>4188</v>
      </c>
      <c r="B1208" s="153" t="s">
        <v>4189</v>
      </c>
      <c r="C1208">
        <v>0.0</v>
      </c>
      <c r="D1208">
        <v>0.0</v>
      </c>
      <c r="F1208" t="s">
        <v>2942</v>
      </c>
      <c r="G1208" t="s">
        <v>2943</v>
      </c>
      <c r="H1208" t="s">
        <v>2944</v>
      </c>
      <c r="I1208" t="s">
        <v>3134</v>
      </c>
    </row>
    <row r="1209" customHeight="1" ht="14.0">
      <c r="A1209" t="s">
        <v>4190</v>
      </c>
      <c r="B1209" s="153" t="s">
        <v>4191</v>
      </c>
      <c r="C1209">
        <v>0.0</v>
      </c>
      <c r="D1209">
        <v>0.0</v>
      </c>
      <c r="F1209" t="s">
        <v>2942</v>
      </c>
      <c r="G1209" t="s">
        <v>2943</v>
      </c>
      <c r="H1209" t="s">
        <v>2944</v>
      </c>
      <c r="I1209" t="s">
        <v>3134</v>
      </c>
    </row>
    <row r="1210" customHeight="1" ht="14.0">
      <c r="A1210" t="s">
        <v>1707</v>
      </c>
      <c r="B1210" s="153" t="s">
        <v>1708</v>
      </c>
      <c r="C1210">
        <v>713.0</v>
      </c>
      <c r="D1210">
        <v>4595.6</v>
      </c>
      <c r="E1210">
        <v>6.4454</v>
      </c>
      <c r="F1210" t="s">
        <v>2942</v>
      </c>
      <c r="G1210" t="s">
        <v>2962</v>
      </c>
      <c r="H1210" t="s">
        <v>3005</v>
      </c>
      <c r="I1210" t="s">
        <v>3134</v>
      </c>
    </row>
    <row r="1211" customHeight="1" ht="14.0">
      <c r="A1211" t="s">
        <v>4192</v>
      </c>
      <c r="B1211" s="153" t="s">
        <v>4193</v>
      </c>
      <c r="C1211">
        <v>0.0</v>
      </c>
      <c r="D1211">
        <v>0.0</v>
      </c>
      <c r="F1211" t="s">
        <v>2942</v>
      </c>
      <c r="G1211" t="s">
        <v>2943</v>
      </c>
      <c r="H1211" t="s">
        <v>2944</v>
      </c>
      <c r="I1211" t="s">
        <v>3134</v>
      </c>
    </row>
    <row r="1212" customHeight="1" ht="14.0">
      <c r="A1212" t="s">
        <v>1709</v>
      </c>
      <c r="B1212" s="153" t="s">
        <v>1710</v>
      </c>
      <c r="C1212">
        <v>279.0</v>
      </c>
      <c r="D1212">
        <v>1217.49</v>
      </c>
      <c r="E1212">
        <v>4.3638</v>
      </c>
      <c r="F1212" t="s">
        <v>2942</v>
      </c>
      <c r="G1212" t="s">
        <v>2962</v>
      </c>
      <c r="H1212" t="s">
        <v>3005</v>
      </c>
      <c r="I1212" t="s">
        <v>3006</v>
      </c>
    </row>
    <row r="1213" customHeight="1" ht="14.0">
      <c r="A1213" t="s">
        <v>1711</v>
      </c>
      <c r="B1213" s="153" t="s">
        <v>1712</v>
      </c>
      <c r="C1213">
        <v>323.0</v>
      </c>
      <c r="D1213">
        <v>1448.31</v>
      </c>
      <c r="E1213">
        <v>4.4839</v>
      </c>
      <c r="F1213" t="s">
        <v>2942</v>
      </c>
      <c r="G1213" t="s">
        <v>2962</v>
      </c>
      <c r="H1213" t="s">
        <v>3005</v>
      </c>
      <c r="I1213" t="s">
        <v>3006</v>
      </c>
    </row>
    <row r="1214" customHeight="1" ht="14.0">
      <c r="A1214" t="s">
        <v>1713</v>
      </c>
      <c r="B1214" s="153" t="s">
        <v>1714</v>
      </c>
      <c r="C1214">
        <v>370.0</v>
      </c>
      <c r="D1214">
        <v>2255.47</v>
      </c>
      <c r="E1214">
        <v>6.0959</v>
      </c>
      <c r="F1214" t="s">
        <v>2942</v>
      </c>
      <c r="G1214" t="s">
        <v>2962</v>
      </c>
      <c r="H1214" t="s">
        <v>3005</v>
      </c>
      <c r="I1214" t="s">
        <v>3134</v>
      </c>
    </row>
    <row r="1215" customHeight="1" ht="14.0">
      <c r="A1215" t="s">
        <v>4194</v>
      </c>
      <c r="B1215" s="153" t="s">
        <v>4195</v>
      </c>
      <c r="C1215">
        <v>0.0</v>
      </c>
      <c r="D1215">
        <v>0.0</v>
      </c>
      <c r="F1215" t="s">
        <v>2942</v>
      </c>
      <c r="G1215" t="s">
        <v>2943</v>
      </c>
      <c r="H1215" t="s">
        <v>2944</v>
      </c>
      <c r="I1215" t="s">
        <v>3134</v>
      </c>
    </row>
    <row r="1216" customHeight="1" ht="14.0">
      <c r="A1216" t="s">
        <v>1715</v>
      </c>
      <c r="B1216" s="153" t="s">
        <v>1716</v>
      </c>
      <c r="C1216">
        <v>800.0</v>
      </c>
      <c r="D1216">
        <v>5043.47</v>
      </c>
      <c r="E1216">
        <v>6.3043</v>
      </c>
      <c r="F1216" t="s">
        <v>2942</v>
      </c>
      <c r="G1216" t="s">
        <v>2962</v>
      </c>
      <c r="H1216" t="s">
        <v>3005</v>
      </c>
      <c r="I1216" t="s">
        <v>3134</v>
      </c>
    </row>
    <row r="1217" customHeight="1" ht="14.0">
      <c r="A1217" t="s">
        <v>4196</v>
      </c>
      <c r="B1217" s="153" t="s">
        <v>4197</v>
      </c>
      <c r="C1217">
        <v>0.0</v>
      </c>
      <c r="D1217">
        <v>0.0</v>
      </c>
      <c r="F1217" t="s">
        <v>2942</v>
      </c>
      <c r="G1217" t="s">
        <v>2943</v>
      </c>
      <c r="H1217" t="s">
        <v>2944</v>
      </c>
      <c r="I1217" t="s">
        <v>3134</v>
      </c>
    </row>
    <row r="1218" customHeight="1" ht="14.0">
      <c r="A1218" t="s">
        <v>1717</v>
      </c>
      <c r="B1218" s="153" t="s">
        <v>1718</v>
      </c>
      <c r="C1218">
        <v>948.0</v>
      </c>
      <c r="D1218">
        <v>5999.64</v>
      </c>
      <c r="E1218">
        <v>6.3287</v>
      </c>
      <c r="F1218" t="s">
        <v>2942</v>
      </c>
      <c r="G1218" t="s">
        <v>2962</v>
      </c>
      <c r="H1218" t="s">
        <v>3005</v>
      </c>
      <c r="I1218" t="s">
        <v>3134</v>
      </c>
    </row>
    <row r="1219" customHeight="1" ht="14.0">
      <c r="A1219" t="s">
        <v>4198</v>
      </c>
      <c r="B1219" s="153" t="s">
        <v>4199</v>
      </c>
      <c r="C1219">
        <v>0.0</v>
      </c>
      <c r="D1219">
        <v>0.0</v>
      </c>
      <c r="F1219" t="s">
        <v>2942</v>
      </c>
      <c r="G1219" t="s">
        <v>2943</v>
      </c>
      <c r="H1219" t="s">
        <v>2944</v>
      </c>
      <c r="I1219" t="s">
        <v>3134</v>
      </c>
    </row>
    <row r="1220" customHeight="1" ht="14.0">
      <c r="A1220" t="s">
        <v>1719</v>
      </c>
      <c r="B1220" s="153" t="s">
        <v>1720</v>
      </c>
      <c r="C1220">
        <v>171.0</v>
      </c>
      <c r="D1220">
        <v>734.9</v>
      </c>
      <c r="E1220">
        <v>4.2977</v>
      </c>
      <c r="F1220" t="s">
        <v>2942</v>
      </c>
      <c r="G1220" t="s">
        <v>2962</v>
      </c>
      <c r="H1220" t="s">
        <v>3005</v>
      </c>
      <c r="I1220" t="s">
        <v>3006</v>
      </c>
    </row>
    <row r="1221" customHeight="1" ht="14.0">
      <c r="A1221" t="s">
        <v>1721</v>
      </c>
      <c r="B1221" s="153" t="s">
        <v>1722</v>
      </c>
      <c r="C1221">
        <v>289.0</v>
      </c>
      <c r="D1221">
        <v>1242.17</v>
      </c>
      <c r="E1221">
        <v>4.2982</v>
      </c>
      <c r="F1221" t="s">
        <v>2942</v>
      </c>
      <c r="G1221" t="s">
        <v>2962</v>
      </c>
      <c r="H1221" t="s">
        <v>3005</v>
      </c>
      <c r="I1221" t="s">
        <v>3006</v>
      </c>
    </row>
    <row r="1222" customHeight="1" ht="14.0">
      <c r="A1222" t="s">
        <v>4200</v>
      </c>
      <c r="B1222" s="153" t="s">
        <v>4201</v>
      </c>
      <c r="C1222">
        <v>0.0</v>
      </c>
      <c r="D1222">
        <v>0.0</v>
      </c>
      <c r="F1222" t="s">
        <v>2942</v>
      </c>
      <c r="G1222" t="s">
        <v>2943</v>
      </c>
      <c r="H1222" t="s">
        <v>2944</v>
      </c>
    </row>
    <row r="1223" customHeight="1" ht="14.0">
      <c r="A1223" t="s">
        <v>4202</v>
      </c>
      <c r="B1223" s="153" t="s">
        <v>4203</v>
      </c>
      <c r="C1223">
        <v>0.0</v>
      </c>
      <c r="D1223">
        <v>0.0</v>
      </c>
      <c r="F1223" t="s">
        <v>2942</v>
      </c>
      <c r="G1223" t="s">
        <v>2943</v>
      </c>
      <c r="H1223" t="s">
        <v>2944</v>
      </c>
      <c r="I1223" t="s">
        <v>269</v>
      </c>
    </row>
    <row r="1224" customHeight="1" ht="14.0">
      <c r="A1224" t="s">
        <v>4204</v>
      </c>
      <c r="B1224" s="153" t="s">
        <v>4205</v>
      </c>
      <c r="C1224">
        <v>856.0</v>
      </c>
      <c r="D1224">
        <v>358.2</v>
      </c>
      <c r="E1224">
        <v>0.4185</v>
      </c>
      <c r="F1224" t="s">
        <v>3197</v>
      </c>
      <c r="G1224" t="s">
        <v>2962</v>
      </c>
      <c r="H1224" t="s">
        <v>3455</v>
      </c>
    </row>
    <row r="1225" customHeight="1" ht="14.0">
      <c r="A1225" t="s">
        <v>4206</v>
      </c>
      <c r="B1225" s="153" t="s">
        <v>4207</v>
      </c>
      <c r="C1225">
        <v>0.0</v>
      </c>
      <c r="D1225">
        <v>0.0</v>
      </c>
      <c r="F1225" t="s">
        <v>2942</v>
      </c>
      <c r="G1225" t="s">
        <v>2943</v>
      </c>
      <c r="H1225" t="s">
        <v>2944</v>
      </c>
      <c r="I1225" t="s">
        <v>197</v>
      </c>
    </row>
    <row r="1226" customHeight="1" ht="14.0">
      <c r="A1226" t="s">
        <v>4208</v>
      </c>
      <c r="B1226" s="153" t="s">
        <v>4209</v>
      </c>
      <c r="C1226">
        <v>0.0</v>
      </c>
      <c r="D1226">
        <v>0.0</v>
      </c>
      <c r="F1226" t="s">
        <v>2942</v>
      </c>
      <c r="G1226" t="s">
        <v>2943</v>
      </c>
      <c r="H1226" t="s">
        <v>2944</v>
      </c>
      <c r="I1226" t="s">
        <v>197</v>
      </c>
    </row>
    <row r="1227" customHeight="1" ht="14.0">
      <c r="A1227" t="s">
        <v>4210</v>
      </c>
      <c r="B1227" s="153">
        <v>37406.0</v>
      </c>
      <c r="C1227">
        <v>0.0</v>
      </c>
      <c r="D1227">
        <v>0.0</v>
      </c>
      <c r="F1227" t="s">
        <v>2942</v>
      </c>
      <c r="G1227" t="s">
        <v>2943</v>
      </c>
      <c r="H1227" t="s">
        <v>2944</v>
      </c>
      <c r="I1227" t="s">
        <v>83</v>
      </c>
    </row>
    <row r="1228" customHeight="1" ht="14.0">
      <c r="A1228" t="s">
        <v>4211</v>
      </c>
      <c r="B1228" s="153">
        <v>37404.0</v>
      </c>
      <c r="C1228">
        <v>0.0</v>
      </c>
      <c r="D1228">
        <v>0.0</v>
      </c>
      <c r="F1228" t="s">
        <v>2942</v>
      </c>
      <c r="G1228" t="s">
        <v>2943</v>
      </c>
      <c r="H1228" t="s">
        <v>2944</v>
      </c>
      <c r="I1228" t="s">
        <v>83</v>
      </c>
    </row>
    <row r="1229" customHeight="1" ht="14.0">
      <c r="A1229" t="s">
        <v>4212</v>
      </c>
      <c r="B1229" s="153">
        <v>37403.0</v>
      </c>
      <c r="C1229">
        <v>0.0</v>
      </c>
      <c r="D1229">
        <v>0.0</v>
      </c>
      <c r="F1229" t="s">
        <v>2942</v>
      </c>
      <c r="G1229" t="s">
        <v>2943</v>
      </c>
      <c r="H1229" t="s">
        <v>2944</v>
      </c>
      <c r="I1229" t="s">
        <v>83</v>
      </c>
    </row>
    <row r="1230" customHeight="1" ht="14.0">
      <c r="A1230" t="s">
        <v>4213</v>
      </c>
      <c r="B1230" s="153">
        <v>37401.0</v>
      </c>
      <c r="C1230">
        <v>0.0</v>
      </c>
      <c r="D1230">
        <v>0.0</v>
      </c>
      <c r="F1230" t="s">
        <v>2942</v>
      </c>
      <c r="G1230" t="s">
        <v>2943</v>
      </c>
      <c r="H1230" t="s">
        <v>2944</v>
      </c>
      <c r="I1230" t="s">
        <v>83</v>
      </c>
    </row>
    <row r="1231" customHeight="1" ht="14.0">
      <c r="A1231" t="s">
        <v>4214</v>
      </c>
      <c r="B1231" s="153">
        <v>37402.0</v>
      </c>
      <c r="C1231">
        <v>0.0</v>
      </c>
      <c r="D1231">
        <v>0.0</v>
      </c>
      <c r="F1231" t="s">
        <v>2942</v>
      </c>
      <c r="G1231" t="s">
        <v>2943</v>
      </c>
      <c r="H1231" t="s">
        <v>2944</v>
      </c>
      <c r="I1231" t="s">
        <v>83</v>
      </c>
    </row>
    <row r="1232" customHeight="1" ht="14.0">
      <c r="A1232" t="s">
        <v>4215</v>
      </c>
      <c r="B1232" s="153">
        <v>37405.0</v>
      </c>
      <c r="C1232">
        <v>0.0</v>
      </c>
      <c r="D1232">
        <v>0.0</v>
      </c>
      <c r="F1232" t="s">
        <v>2942</v>
      </c>
      <c r="G1232" t="s">
        <v>2943</v>
      </c>
      <c r="H1232" t="s">
        <v>2944</v>
      </c>
      <c r="I1232" t="s">
        <v>83</v>
      </c>
    </row>
    <row r="1233" customHeight="1" ht="14.0">
      <c r="A1233" t="s">
        <v>4216</v>
      </c>
      <c r="B1233" s="153" t="s">
        <v>4217</v>
      </c>
      <c r="C1233">
        <v>0.0</v>
      </c>
      <c r="D1233">
        <v>0.0</v>
      </c>
      <c r="F1233" t="s">
        <v>2942</v>
      </c>
      <c r="G1233" t="s">
        <v>2943</v>
      </c>
      <c r="H1233" t="s">
        <v>2944</v>
      </c>
      <c r="I1233" t="s">
        <v>3724</v>
      </c>
    </row>
    <row r="1234" customHeight="1" ht="14.0">
      <c r="A1234" t="s">
        <v>4218</v>
      </c>
      <c r="B1234" s="153" t="s">
        <v>4219</v>
      </c>
      <c r="C1234">
        <v>1.0</v>
      </c>
      <c r="D1234">
        <v>8.67</v>
      </c>
      <c r="E1234">
        <v>8.67</v>
      </c>
      <c r="F1234" t="s">
        <v>2942</v>
      </c>
      <c r="G1234" t="s">
        <v>2962</v>
      </c>
      <c r="I1234" t="s">
        <v>197</v>
      </c>
    </row>
    <row r="1235" customHeight="1" ht="14.0">
      <c r="A1235" t="s">
        <v>4220</v>
      </c>
      <c r="B1235" s="153" t="s">
        <v>4221</v>
      </c>
      <c r="C1235">
        <v>30.0</v>
      </c>
      <c r="D1235">
        <v>388.16</v>
      </c>
      <c r="E1235">
        <v>12.9387</v>
      </c>
      <c r="F1235" t="s">
        <v>3197</v>
      </c>
      <c r="G1235" t="s">
        <v>2962</v>
      </c>
      <c r="H1235" t="s">
        <v>3201</v>
      </c>
    </row>
    <row r="1236" customHeight="1" ht="14.0">
      <c r="A1236" t="s">
        <v>4222</v>
      </c>
      <c r="B1236" s="153" t="s">
        <v>4223</v>
      </c>
      <c r="C1236">
        <v>20.0</v>
      </c>
      <c r="D1236">
        <v>1293.87</v>
      </c>
      <c r="E1236">
        <v>64.6935</v>
      </c>
      <c r="F1236" t="s">
        <v>3197</v>
      </c>
      <c r="G1236" t="s">
        <v>2962</v>
      </c>
      <c r="H1236" t="s">
        <v>3201</v>
      </c>
    </row>
    <row r="1237" customHeight="1" ht="14.0">
      <c r="A1237" t="s">
        <v>4224</v>
      </c>
      <c r="B1237" s="153" t="s">
        <v>4225</v>
      </c>
      <c r="C1237">
        <v>5.0</v>
      </c>
      <c r="D1237">
        <v>129.38</v>
      </c>
      <c r="E1237">
        <v>25.876</v>
      </c>
      <c r="F1237" t="s">
        <v>3197</v>
      </c>
      <c r="G1237" t="s">
        <v>2962</v>
      </c>
      <c r="H1237" t="s">
        <v>3201</v>
      </c>
    </row>
    <row r="1238" customHeight="1" ht="14.0">
      <c r="A1238" t="s">
        <v>4226</v>
      </c>
      <c r="B1238" s="153" t="s">
        <v>4227</v>
      </c>
      <c r="C1238">
        <v>5.0</v>
      </c>
      <c r="D1238">
        <v>129.38</v>
      </c>
      <c r="E1238">
        <v>25.876</v>
      </c>
      <c r="F1238" t="s">
        <v>3197</v>
      </c>
      <c r="G1238" t="s">
        <v>2962</v>
      </c>
      <c r="H1238" t="s">
        <v>3201</v>
      </c>
    </row>
    <row r="1239" customHeight="1" ht="14.0">
      <c r="A1239" t="s">
        <v>4228</v>
      </c>
      <c r="B1239" s="153" t="s">
        <v>4229</v>
      </c>
      <c r="C1239">
        <v>5.0</v>
      </c>
      <c r="D1239">
        <v>129.38</v>
      </c>
      <c r="E1239">
        <v>25.876</v>
      </c>
      <c r="F1239" t="s">
        <v>3197</v>
      </c>
      <c r="G1239" t="s">
        <v>2962</v>
      </c>
      <c r="H1239" t="s">
        <v>3201</v>
      </c>
    </row>
    <row r="1240" customHeight="1" ht="14.0">
      <c r="A1240" t="s">
        <v>4230</v>
      </c>
      <c r="B1240" s="153" t="s">
        <v>4231</v>
      </c>
      <c r="C1240">
        <v>20.0</v>
      </c>
      <c r="D1240">
        <v>517.53</v>
      </c>
      <c r="E1240">
        <v>25.8765</v>
      </c>
      <c r="F1240" t="s">
        <v>3197</v>
      </c>
      <c r="G1240" t="s">
        <v>2962</v>
      </c>
      <c r="H1240" t="s">
        <v>3201</v>
      </c>
    </row>
    <row r="1241" customHeight="1" ht="14.0">
      <c r="A1241" t="s">
        <v>4232</v>
      </c>
      <c r="B1241" s="153" t="s">
        <v>4233</v>
      </c>
      <c r="C1241">
        <v>5.0</v>
      </c>
      <c r="D1241">
        <v>129.38</v>
      </c>
      <c r="E1241">
        <v>25.876</v>
      </c>
      <c r="F1241" t="s">
        <v>3197</v>
      </c>
      <c r="G1241" t="s">
        <v>2962</v>
      </c>
      <c r="H1241" t="s">
        <v>3201</v>
      </c>
    </row>
    <row r="1242" customHeight="1" ht="14.0">
      <c r="A1242" t="s">
        <v>4234</v>
      </c>
      <c r="B1242" s="153" t="s">
        <v>4235</v>
      </c>
      <c r="C1242">
        <v>0.0</v>
      </c>
      <c r="D1242">
        <v>0.0</v>
      </c>
      <c r="F1242" t="s">
        <v>2942</v>
      </c>
      <c r="G1242" t="s">
        <v>2943</v>
      </c>
      <c r="H1242" t="s">
        <v>2944</v>
      </c>
      <c r="I1242" t="s">
        <v>4236</v>
      </c>
    </row>
    <row r="1243" customHeight="1" ht="14.0">
      <c r="A1243" t="s">
        <v>4237</v>
      </c>
      <c r="B1243" s="153" t="s">
        <v>4238</v>
      </c>
      <c r="C1243">
        <v>0.0</v>
      </c>
      <c r="D1243">
        <v>0.0</v>
      </c>
      <c r="F1243" t="s">
        <v>2942</v>
      </c>
      <c r="G1243" t="s">
        <v>2943</v>
      </c>
      <c r="H1243" t="s">
        <v>2963</v>
      </c>
      <c r="I1243" t="s">
        <v>4236</v>
      </c>
    </row>
    <row r="1244" customHeight="1" ht="14.0">
      <c r="A1244" t="s">
        <v>1730</v>
      </c>
      <c r="B1244" s="153" t="s">
        <v>1731</v>
      </c>
      <c r="C1244">
        <v>0.0</v>
      </c>
      <c r="D1244">
        <v>0.0</v>
      </c>
      <c r="F1244" t="s">
        <v>2942</v>
      </c>
      <c r="G1244" t="s">
        <v>2943</v>
      </c>
      <c r="H1244" t="s">
        <v>2963</v>
      </c>
      <c r="I1244" t="s">
        <v>3894</v>
      </c>
    </row>
    <row r="1245" customHeight="1" ht="14.0">
      <c r="A1245" t="s">
        <v>1732</v>
      </c>
      <c r="B1245" s="153" t="s">
        <v>1733</v>
      </c>
      <c r="C1245">
        <v>0.0</v>
      </c>
      <c r="D1245">
        <v>0.0</v>
      </c>
      <c r="F1245" t="s">
        <v>2942</v>
      </c>
      <c r="G1245" t="s">
        <v>2943</v>
      </c>
      <c r="H1245" t="s">
        <v>2963</v>
      </c>
      <c r="I1245" t="s">
        <v>3894</v>
      </c>
    </row>
    <row r="1246" customHeight="1" ht="14.0">
      <c r="A1246" t="s">
        <v>1734</v>
      </c>
      <c r="B1246" s="153" t="s">
        <v>1735</v>
      </c>
      <c r="C1246">
        <v>0.0</v>
      </c>
      <c r="D1246">
        <v>0.0</v>
      </c>
      <c r="F1246" t="s">
        <v>2942</v>
      </c>
      <c r="G1246" t="s">
        <v>2943</v>
      </c>
      <c r="H1246" t="s">
        <v>2963</v>
      </c>
      <c r="I1246" t="s">
        <v>3894</v>
      </c>
    </row>
    <row r="1247" customHeight="1" ht="14.0">
      <c r="A1247" t="s">
        <v>1736</v>
      </c>
      <c r="B1247" s="153" t="s">
        <v>1737</v>
      </c>
      <c r="C1247">
        <v>0.0</v>
      </c>
      <c r="D1247">
        <v>0.0</v>
      </c>
      <c r="F1247" t="s">
        <v>2942</v>
      </c>
      <c r="G1247" t="s">
        <v>2943</v>
      </c>
      <c r="H1247" t="s">
        <v>2963</v>
      </c>
      <c r="I1247" t="s">
        <v>3894</v>
      </c>
    </row>
    <row r="1248" customHeight="1" ht="14.0">
      <c r="A1248" t="s">
        <v>1738</v>
      </c>
      <c r="B1248" s="153" t="s">
        <v>1739</v>
      </c>
      <c r="C1248">
        <v>0.0</v>
      </c>
      <c r="D1248">
        <v>0.0</v>
      </c>
      <c r="F1248" t="s">
        <v>2942</v>
      </c>
      <c r="G1248" t="s">
        <v>2943</v>
      </c>
      <c r="H1248" t="s">
        <v>2963</v>
      </c>
      <c r="I1248" t="s">
        <v>3894</v>
      </c>
    </row>
    <row r="1249" customHeight="1" ht="14.0">
      <c r="A1249" t="s">
        <v>4239</v>
      </c>
      <c r="B1249" s="153" t="s">
        <v>4240</v>
      </c>
      <c r="C1249">
        <v>0.0</v>
      </c>
      <c r="D1249">
        <v>0.0</v>
      </c>
      <c r="F1249" t="s">
        <v>2942</v>
      </c>
      <c r="G1249" t="s">
        <v>2943</v>
      </c>
      <c r="H1249" t="s">
        <v>2963</v>
      </c>
      <c r="I1249" t="s">
        <v>4236</v>
      </c>
    </row>
    <row r="1250" customHeight="1" ht="14.0">
      <c r="A1250" t="s">
        <v>4241</v>
      </c>
      <c r="B1250" s="153" t="s">
        <v>4242</v>
      </c>
      <c r="C1250">
        <v>0.0</v>
      </c>
      <c r="D1250">
        <v>0.0</v>
      </c>
      <c r="F1250" t="s">
        <v>2942</v>
      </c>
      <c r="G1250" t="s">
        <v>2943</v>
      </c>
      <c r="H1250" t="s">
        <v>2963</v>
      </c>
      <c r="I1250" t="s">
        <v>4236</v>
      </c>
    </row>
    <row r="1251" customHeight="1" ht="14.0">
      <c r="A1251" t="s">
        <v>1740</v>
      </c>
      <c r="B1251" s="153" t="s">
        <v>1741</v>
      </c>
      <c r="C1251">
        <v>0.0</v>
      </c>
      <c r="D1251">
        <v>0.0</v>
      </c>
      <c r="F1251" t="s">
        <v>2942</v>
      </c>
      <c r="G1251" t="s">
        <v>2943</v>
      </c>
      <c r="H1251" t="s">
        <v>2963</v>
      </c>
      <c r="I1251" t="s">
        <v>3894</v>
      </c>
    </row>
    <row r="1252" customHeight="1" ht="14.0">
      <c r="A1252" t="s">
        <v>1742</v>
      </c>
      <c r="B1252" s="153" t="s">
        <v>1743</v>
      </c>
      <c r="C1252">
        <v>0.0</v>
      </c>
      <c r="D1252">
        <v>0.0</v>
      </c>
      <c r="F1252" t="s">
        <v>2942</v>
      </c>
      <c r="G1252" t="s">
        <v>2943</v>
      </c>
      <c r="H1252" t="s">
        <v>2963</v>
      </c>
      <c r="I1252" t="s">
        <v>3894</v>
      </c>
    </row>
    <row r="1253" customHeight="1" ht="14.0">
      <c r="A1253" t="s">
        <v>1744</v>
      </c>
      <c r="B1253" s="153" t="s">
        <v>1745</v>
      </c>
      <c r="C1253">
        <v>0.0</v>
      </c>
      <c r="D1253">
        <v>0.0</v>
      </c>
      <c r="F1253" t="s">
        <v>2942</v>
      </c>
      <c r="G1253" t="s">
        <v>2943</v>
      </c>
      <c r="H1253" t="s">
        <v>2963</v>
      </c>
      <c r="I1253" t="s">
        <v>3894</v>
      </c>
    </row>
    <row r="1254" customHeight="1" ht="14.0">
      <c r="A1254" t="s">
        <v>1746</v>
      </c>
      <c r="B1254" s="153" t="s">
        <v>1747</v>
      </c>
      <c r="C1254">
        <v>0.0</v>
      </c>
      <c r="D1254">
        <v>0.0</v>
      </c>
      <c r="F1254" t="s">
        <v>2942</v>
      </c>
      <c r="G1254" t="s">
        <v>2943</v>
      </c>
      <c r="H1254" t="s">
        <v>2963</v>
      </c>
      <c r="I1254" t="s">
        <v>3894</v>
      </c>
    </row>
    <row r="1255" customHeight="1" ht="14.0">
      <c r="A1255" t="s">
        <v>1748</v>
      </c>
      <c r="B1255" s="153" t="s">
        <v>1749</v>
      </c>
      <c r="C1255">
        <v>0.0</v>
      </c>
      <c r="D1255">
        <v>0.0</v>
      </c>
      <c r="F1255" t="s">
        <v>2942</v>
      </c>
      <c r="G1255" t="s">
        <v>2943</v>
      </c>
      <c r="H1255" t="s">
        <v>2963</v>
      </c>
      <c r="I1255" t="s">
        <v>3894</v>
      </c>
    </row>
    <row r="1256" customHeight="1" ht="14.0">
      <c r="A1256" t="s">
        <v>1750</v>
      </c>
      <c r="B1256" s="153" t="s">
        <v>1751</v>
      </c>
      <c r="C1256">
        <v>9.0</v>
      </c>
      <c r="D1256">
        <v>0.01</v>
      </c>
      <c r="E1256">
        <v>0.0011</v>
      </c>
      <c r="F1256" t="s">
        <v>2942</v>
      </c>
      <c r="G1256" t="s">
        <v>2962</v>
      </c>
      <c r="H1256" t="s">
        <v>2963</v>
      </c>
      <c r="I1256" t="s">
        <v>3894</v>
      </c>
    </row>
    <row r="1257" customHeight="1" ht="14.0">
      <c r="A1257" t="s">
        <v>1752</v>
      </c>
      <c r="B1257" s="153" t="s">
        <v>1753</v>
      </c>
      <c r="C1257">
        <v>23.0</v>
      </c>
      <c r="D1257">
        <v>0.01</v>
      </c>
      <c r="E1257">
        <v>4.0E-4</v>
      </c>
      <c r="F1257" t="s">
        <v>2942</v>
      </c>
      <c r="G1257" t="s">
        <v>2962</v>
      </c>
      <c r="H1257" t="s">
        <v>2963</v>
      </c>
      <c r="I1257" t="s">
        <v>3894</v>
      </c>
    </row>
    <row r="1258" customHeight="1" ht="14.0">
      <c r="A1258" t="s">
        <v>1754</v>
      </c>
      <c r="B1258" s="153" t="s">
        <v>1755</v>
      </c>
      <c r="C1258">
        <v>0.0</v>
      </c>
      <c r="D1258">
        <v>0.0</v>
      </c>
      <c r="F1258" t="s">
        <v>2942</v>
      </c>
      <c r="G1258" t="s">
        <v>2943</v>
      </c>
      <c r="H1258" t="s">
        <v>2963</v>
      </c>
      <c r="I1258" t="s">
        <v>3894</v>
      </c>
    </row>
    <row r="1259" customHeight="1" ht="14.0">
      <c r="A1259" t="s">
        <v>1756</v>
      </c>
      <c r="B1259" s="153" t="s">
        <v>1757</v>
      </c>
      <c r="C1259">
        <v>4.0</v>
      </c>
      <c r="D1259">
        <v>0.01</v>
      </c>
      <c r="E1259">
        <v>0.0025</v>
      </c>
      <c r="F1259" t="s">
        <v>2942</v>
      </c>
      <c r="G1259" t="s">
        <v>2962</v>
      </c>
      <c r="H1259" t="s">
        <v>2963</v>
      </c>
      <c r="I1259" t="s">
        <v>3894</v>
      </c>
    </row>
    <row r="1260" customHeight="1" ht="14.0">
      <c r="A1260" t="s">
        <v>1758</v>
      </c>
      <c r="B1260" s="153" t="s">
        <v>1759</v>
      </c>
      <c r="C1260">
        <v>0.0</v>
      </c>
      <c r="D1260">
        <v>0.0</v>
      </c>
      <c r="F1260" t="s">
        <v>2942</v>
      </c>
      <c r="G1260" t="s">
        <v>2943</v>
      </c>
      <c r="H1260" t="s">
        <v>2963</v>
      </c>
      <c r="I1260" t="s">
        <v>3894</v>
      </c>
    </row>
    <row r="1261" customHeight="1" ht="14.0">
      <c r="A1261" t="s">
        <v>1760</v>
      </c>
      <c r="B1261" s="153" t="s">
        <v>1761</v>
      </c>
      <c r="C1261">
        <v>2.0</v>
      </c>
      <c r="D1261">
        <v>0.01</v>
      </c>
      <c r="E1261">
        <v>0.005</v>
      </c>
      <c r="F1261" t="s">
        <v>2942</v>
      </c>
      <c r="G1261" t="s">
        <v>2962</v>
      </c>
      <c r="H1261" t="s">
        <v>2963</v>
      </c>
      <c r="I1261" t="s">
        <v>3894</v>
      </c>
    </row>
    <row r="1262" customHeight="1" ht="14.0">
      <c r="A1262" t="s">
        <v>1762</v>
      </c>
      <c r="B1262" s="153" t="s">
        <v>1763</v>
      </c>
      <c r="C1262">
        <v>9.0</v>
      </c>
      <c r="D1262">
        <v>0.01</v>
      </c>
      <c r="E1262">
        <v>0.0011</v>
      </c>
      <c r="F1262" t="s">
        <v>2942</v>
      </c>
      <c r="G1262" t="s">
        <v>2962</v>
      </c>
      <c r="H1262" t="s">
        <v>2963</v>
      </c>
      <c r="I1262" t="s">
        <v>3894</v>
      </c>
    </row>
    <row r="1263" customHeight="1" ht="14.0">
      <c r="A1263" t="s">
        <v>1764</v>
      </c>
      <c r="B1263" s="153" t="s">
        <v>1765</v>
      </c>
      <c r="C1263">
        <v>2.0</v>
      </c>
      <c r="D1263">
        <v>0.01</v>
      </c>
      <c r="E1263">
        <v>0.005</v>
      </c>
      <c r="F1263" t="s">
        <v>2942</v>
      </c>
      <c r="G1263" t="s">
        <v>2962</v>
      </c>
      <c r="H1263" t="s">
        <v>2963</v>
      </c>
      <c r="I1263" t="s">
        <v>3894</v>
      </c>
    </row>
    <row r="1264" customHeight="1" ht="14.0">
      <c r="A1264" t="s">
        <v>1766</v>
      </c>
      <c r="B1264" s="153" t="s">
        <v>1767</v>
      </c>
      <c r="C1264">
        <v>7.0</v>
      </c>
      <c r="D1264">
        <v>0.01</v>
      </c>
      <c r="E1264">
        <v>0.0014</v>
      </c>
      <c r="F1264" t="s">
        <v>2942</v>
      </c>
      <c r="G1264" t="s">
        <v>2962</v>
      </c>
      <c r="H1264" t="s">
        <v>2963</v>
      </c>
      <c r="I1264" t="s">
        <v>3894</v>
      </c>
    </row>
    <row r="1265" customHeight="1" ht="14.0">
      <c r="A1265" t="s">
        <v>1768</v>
      </c>
      <c r="B1265" s="153" t="s">
        <v>1769</v>
      </c>
      <c r="C1265">
        <v>1.0</v>
      </c>
      <c r="D1265">
        <v>0.01</v>
      </c>
      <c r="E1265">
        <v>0.01</v>
      </c>
      <c r="F1265" t="s">
        <v>2942</v>
      </c>
      <c r="G1265" t="s">
        <v>2962</v>
      </c>
      <c r="H1265" t="s">
        <v>2963</v>
      </c>
      <c r="I1265" t="s">
        <v>3894</v>
      </c>
    </row>
    <row r="1266" customHeight="1" ht="14.0">
      <c r="A1266" t="s">
        <v>1770</v>
      </c>
      <c r="B1266" s="153" t="s">
        <v>1771</v>
      </c>
      <c r="C1266">
        <v>30.0</v>
      </c>
      <c r="D1266">
        <v>0.01</v>
      </c>
      <c r="E1266">
        <v>3.0E-4</v>
      </c>
      <c r="F1266" t="s">
        <v>2942</v>
      </c>
      <c r="G1266" t="s">
        <v>2962</v>
      </c>
      <c r="H1266" t="s">
        <v>2963</v>
      </c>
      <c r="I1266" t="s">
        <v>3894</v>
      </c>
    </row>
    <row r="1267" customHeight="1" ht="14.0">
      <c r="A1267" t="s">
        <v>1772</v>
      </c>
      <c r="B1267" s="153" t="s">
        <v>1773</v>
      </c>
      <c r="C1267">
        <v>19.0</v>
      </c>
      <c r="D1267">
        <v>0.01</v>
      </c>
      <c r="E1267">
        <v>5.0E-4</v>
      </c>
      <c r="F1267" t="s">
        <v>2942</v>
      </c>
      <c r="G1267" t="s">
        <v>2962</v>
      </c>
      <c r="H1267" t="s">
        <v>2963</v>
      </c>
      <c r="I1267" t="s">
        <v>3894</v>
      </c>
    </row>
    <row r="1268" customHeight="1" ht="14.0">
      <c r="A1268" t="s">
        <v>1774</v>
      </c>
      <c r="B1268" s="153" t="s">
        <v>1775</v>
      </c>
      <c r="C1268">
        <v>0.0</v>
      </c>
      <c r="D1268">
        <v>0.0</v>
      </c>
      <c r="F1268" t="s">
        <v>2942</v>
      </c>
      <c r="G1268" t="s">
        <v>2943</v>
      </c>
      <c r="H1268" t="s">
        <v>2963</v>
      </c>
      <c r="I1268" t="s">
        <v>3894</v>
      </c>
    </row>
    <row r="1269" customHeight="1" ht="14.0">
      <c r="A1269" t="s">
        <v>1776</v>
      </c>
      <c r="B1269" s="153" t="s">
        <v>1777</v>
      </c>
      <c r="C1269">
        <v>5.0</v>
      </c>
      <c r="D1269">
        <v>0.01</v>
      </c>
      <c r="E1269">
        <v>0.002</v>
      </c>
      <c r="F1269" t="s">
        <v>2942</v>
      </c>
      <c r="G1269" t="s">
        <v>2962</v>
      </c>
      <c r="H1269" t="s">
        <v>2963</v>
      </c>
      <c r="I1269" t="s">
        <v>3894</v>
      </c>
    </row>
    <row r="1270" customHeight="1" ht="14.0">
      <c r="A1270" t="s">
        <v>1778</v>
      </c>
      <c r="B1270" s="153" t="s">
        <v>1779</v>
      </c>
      <c r="C1270">
        <v>4.0</v>
      </c>
      <c r="D1270">
        <v>0.01</v>
      </c>
      <c r="E1270">
        <v>0.0025</v>
      </c>
      <c r="F1270" t="s">
        <v>2942</v>
      </c>
      <c r="G1270" t="s">
        <v>2962</v>
      </c>
      <c r="H1270" t="s">
        <v>2963</v>
      </c>
      <c r="I1270" t="s">
        <v>3894</v>
      </c>
    </row>
    <row r="1271" customHeight="1" ht="14.0">
      <c r="A1271" t="s">
        <v>1780</v>
      </c>
      <c r="B1271" s="153" t="s">
        <v>1781</v>
      </c>
      <c r="C1271">
        <v>4.0</v>
      </c>
      <c r="D1271">
        <v>0.01</v>
      </c>
      <c r="E1271">
        <v>0.0025</v>
      </c>
      <c r="F1271" t="s">
        <v>2942</v>
      </c>
      <c r="G1271" t="s">
        <v>2962</v>
      </c>
      <c r="H1271" t="s">
        <v>2963</v>
      </c>
      <c r="I1271" t="s">
        <v>3894</v>
      </c>
    </row>
    <row r="1272" customHeight="1" ht="14.0">
      <c r="A1272" t="s">
        <v>1782</v>
      </c>
      <c r="B1272" s="153" t="s">
        <v>1783</v>
      </c>
      <c r="C1272">
        <v>7.0</v>
      </c>
      <c r="D1272">
        <v>0.01</v>
      </c>
      <c r="E1272">
        <v>0.0014</v>
      </c>
      <c r="F1272" t="s">
        <v>2942</v>
      </c>
      <c r="G1272" t="s">
        <v>2962</v>
      </c>
      <c r="H1272" t="s">
        <v>2963</v>
      </c>
      <c r="I1272" t="s">
        <v>3894</v>
      </c>
    </row>
    <row r="1273" customHeight="1" ht="14.0">
      <c r="A1273" t="s">
        <v>1784</v>
      </c>
      <c r="B1273" s="153" t="s">
        <v>1785</v>
      </c>
      <c r="C1273">
        <v>4.0</v>
      </c>
      <c r="D1273">
        <v>0.01</v>
      </c>
      <c r="E1273">
        <v>0.0025</v>
      </c>
      <c r="F1273" t="s">
        <v>2942</v>
      </c>
      <c r="G1273" t="s">
        <v>2962</v>
      </c>
      <c r="H1273" t="s">
        <v>2963</v>
      </c>
      <c r="I1273" t="s">
        <v>3894</v>
      </c>
    </row>
    <row r="1274" customHeight="1" ht="14.0">
      <c r="A1274" t="s">
        <v>1786</v>
      </c>
      <c r="B1274" s="153" t="s">
        <v>1787</v>
      </c>
      <c r="C1274">
        <v>8.0</v>
      </c>
      <c r="D1274">
        <v>0.01</v>
      </c>
      <c r="E1274">
        <v>0.0013</v>
      </c>
      <c r="F1274" t="s">
        <v>2942</v>
      </c>
      <c r="G1274" t="s">
        <v>2962</v>
      </c>
      <c r="H1274" t="s">
        <v>2963</v>
      </c>
      <c r="I1274" t="s">
        <v>3894</v>
      </c>
    </row>
    <row r="1275" customHeight="1" ht="14.0">
      <c r="A1275" t="s">
        <v>1788</v>
      </c>
      <c r="B1275" s="153" t="s">
        <v>1789</v>
      </c>
      <c r="C1275">
        <v>7.0</v>
      </c>
      <c r="D1275">
        <v>0.01</v>
      </c>
      <c r="E1275">
        <v>0.0014</v>
      </c>
      <c r="F1275" t="s">
        <v>2942</v>
      </c>
      <c r="G1275" t="s">
        <v>2962</v>
      </c>
      <c r="H1275" t="s">
        <v>2963</v>
      </c>
      <c r="I1275" t="s">
        <v>3894</v>
      </c>
    </row>
    <row r="1276" customHeight="1" ht="14.0">
      <c r="A1276" t="s">
        <v>1790</v>
      </c>
      <c r="B1276" s="153" t="s">
        <v>1791</v>
      </c>
      <c r="C1276">
        <v>15.0</v>
      </c>
      <c r="D1276">
        <v>0.01</v>
      </c>
      <c r="E1276">
        <v>7.0E-4</v>
      </c>
      <c r="F1276" t="s">
        <v>2942</v>
      </c>
      <c r="G1276" t="s">
        <v>2962</v>
      </c>
      <c r="H1276" t="s">
        <v>2963</v>
      </c>
      <c r="I1276" t="s">
        <v>3894</v>
      </c>
    </row>
    <row r="1277" customHeight="1" ht="14.0">
      <c r="A1277" t="s">
        <v>1792</v>
      </c>
      <c r="B1277" s="153" t="s">
        <v>1793</v>
      </c>
      <c r="C1277">
        <v>20.0</v>
      </c>
      <c r="D1277">
        <v>0.01</v>
      </c>
      <c r="E1277">
        <v>5.0E-4</v>
      </c>
      <c r="F1277" t="s">
        <v>2942</v>
      </c>
      <c r="G1277" t="s">
        <v>2962</v>
      </c>
      <c r="H1277" t="s">
        <v>2963</v>
      </c>
      <c r="I1277" t="s">
        <v>3894</v>
      </c>
    </row>
    <row r="1278" customHeight="1" ht="14.0">
      <c r="A1278" t="s">
        <v>1794</v>
      </c>
      <c r="B1278" s="153" t="s">
        <v>1795</v>
      </c>
      <c r="C1278">
        <v>0.0</v>
      </c>
      <c r="D1278">
        <v>0.0</v>
      </c>
      <c r="F1278" t="s">
        <v>2942</v>
      </c>
      <c r="G1278" t="s">
        <v>2943</v>
      </c>
      <c r="H1278" t="s">
        <v>2963</v>
      </c>
      <c r="I1278" t="s">
        <v>3894</v>
      </c>
    </row>
    <row r="1279" customHeight="1" ht="14.0">
      <c r="A1279" t="s">
        <v>1796</v>
      </c>
      <c r="B1279" s="153" t="s">
        <v>1797</v>
      </c>
      <c r="C1279">
        <v>1.0</v>
      </c>
      <c r="D1279">
        <v>0.01</v>
      </c>
      <c r="E1279">
        <v>0.01</v>
      </c>
      <c r="F1279" t="s">
        <v>2942</v>
      </c>
      <c r="G1279" t="s">
        <v>2962</v>
      </c>
      <c r="H1279" t="s">
        <v>2963</v>
      </c>
      <c r="I1279" t="s">
        <v>3894</v>
      </c>
    </row>
    <row r="1280" customHeight="1" ht="14.0">
      <c r="A1280" t="s">
        <v>1798</v>
      </c>
      <c r="B1280" s="153" t="s">
        <v>1799</v>
      </c>
      <c r="C1280">
        <v>5.0</v>
      </c>
      <c r="D1280">
        <v>0.01</v>
      </c>
      <c r="E1280">
        <v>0.002</v>
      </c>
      <c r="F1280" t="s">
        <v>2942</v>
      </c>
      <c r="G1280" t="s">
        <v>2962</v>
      </c>
      <c r="H1280" t="s">
        <v>2963</v>
      </c>
      <c r="I1280" t="s">
        <v>3894</v>
      </c>
    </row>
    <row r="1281" customHeight="1" ht="14.0">
      <c r="A1281" t="s">
        <v>1800</v>
      </c>
      <c r="B1281" s="153" t="s">
        <v>1801</v>
      </c>
      <c r="C1281">
        <v>3.0</v>
      </c>
      <c r="D1281">
        <v>0.01</v>
      </c>
      <c r="E1281">
        <v>0.0033</v>
      </c>
      <c r="F1281" t="s">
        <v>2942</v>
      </c>
      <c r="G1281" t="s">
        <v>2962</v>
      </c>
      <c r="H1281" t="s">
        <v>2963</v>
      </c>
      <c r="I1281" t="s">
        <v>3894</v>
      </c>
    </row>
    <row r="1282" customHeight="1" ht="14.0">
      <c r="A1282" t="s">
        <v>1802</v>
      </c>
      <c r="B1282" s="153" t="s">
        <v>1803</v>
      </c>
      <c r="C1282">
        <v>0.0</v>
      </c>
      <c r="D1282">
        <v>0.0</v>
      </c>
      <c r="F1282" t="s">
        <v>2942</v>
      </c>
      <c r="G1282" t="s">
        <v>2943</v>
      </c>
      <c r="H1282" t="s">
        <v>2963</v>
      </c>
      <c r="I1282" t="s">
        <v>3894</v>
      </c>
    </row>
    <row r="1283" customHeight="1" ht="14.0">
      <c r="A1283" t="s">
        <v>1804</v>
      </c>
      <c r="B1283" s="153" t="s">
        <v>1805</v>
      </c>
      <c r="C1283">
        <v>9.0</v>
      </c>
      <c r="D1283">
        <v>0.01</v>
      </c>
      <c r="E1283">
        <v>0.0011</v>
      </c>
      <c r="F1283" t="s">
        <v>2942</v>
      </c>
      <c r="G1283" t="s">
        <v>2962</v>
      </c>
      <c r="H1283" t="s">
        <v>2963</v>
      </c>
      <c r="I1283" t="s">
        <v>3894</v>
      </c>
    </row>
    <row r="1284" customHeight="1" ht="14.0">
      <c r="A1284" t="s">
        <v>1806</v>
      </c>
      <c r="B1284" s="153" t="s">
        <v>1807</v>
      </c>
      <c r="C1284">
        <v>5.0</v>
      </c>
      <c r="D1284">
        <v>0.01</v>
      </c>
      <c r="E1284">
        <v>0.002</v>
      </c>
      <c r="F1284" t="s">
        <v>2942</v>
      </c>
      <c r="G1284" t="s">
        <v>2962</v>
      </c>
      <c r="H1284" t="s">
        <v>2963</v>
      </c>
      <c r="I1284" t="s">
        <v>3894</v>
      </c>
    </row>
    <row r="1285" customHeight="1" ht="14.0">
      <c r="A1285" t="s">
        <v>1808</v>
      </c>
      <c r="B1285" s="153" t="s">
        <v>1809</v>
      </c>
      <c r="C1285">
        <v>6.0</v>
      </c>
      <c r="D1285">
        <v>0.01</v>
      </c>
      <c r="E1285">
        <v>0.0017</v>
      </c>
      <c r="F1285" t="s">
        <v>2942</v>
      </c>
      <c r="G1285" t="s">
        <v>2962</v>
      </c>
      <c r="H1285" t="s">
        <v>2963</v>
      </c>
      <c r="I1285" t="s">
        <v>3894</v>
      </c>
    </row>
    <row r="1286" customHeight="1" ht="14.0">
      <c r="A1286" t="s">
        <v>1810</v>
      </c>
      <c r="B1286" s="153" t="s">
        <v>1811</v>
      </c>
      <c r="C1286">
        <v>49.0</v>
      </c>
      <c r="D1286">
        <v>0.01</v>
      </c>
      <c r="E1286">
        <v>2.0E-4</v>
      </c>
      <c r="F1286" t="s">
        <v>2942</v>
      </c>
      <c r="G1286" t="s">
        <v>2962</v>
      </c>
      <c r="H1286" t="s">
        <v>2963</v>
      </c>
      <c r="I1286" t="s">
        <v>3894</v>
      </c>
    </row>
    <row r="1287" customHeight="1" ht="14.0">
      <c r="A1287" t="s">
        <v>1812</v>
      </c>
      <c r="B1287" s="153" t="s">
        <v>1813</v>
      </c>
      <c r="C1287">
        <v>13.0</v>
      </c>
      <c r="D1287">
        <v>0.01</v>
      </c>
      <c r="E1287">
        <v>8.0E-4</v>
      </c>
      <c r="F1287" t="s">
        <v>2942</v>
      </c>
      <c r="G1287" t="s">
        <v>2962</v>
      </c>
      <c r="H1287" t="s">
        <v>2963</v>
      </c>
      <c r="I1287" t="s">
        <v>3894</v>
      </c>
    </row>
    <row r="1288" customHeight="1" ht="14.0">
      <c r="A1288" t="s">
        <v>1814</v>
      </c>
      <c r="B1288" s="153" t="s">
        <v>1815</v>
      </c>
      <c r="C1288">
        <v>0.0</v>
      </c>
      <c r="D1288">
        <v>0.0</v>
      </c>
      <c r="F1288" t="s">
        <v>2942</v>
      </c>
      <c r="G1288" t="s">
        <v>2943</v>
      </c>
      <c r="H1288" t="s">
        <v>2963</v>
      </c>
      <c r="I1288" t="s">
        <v>3894</v>
      </c>
    </row>
    <row r="1289" customHeight="1" ht="14.0">
      <c r="A1289" t="s">
        <v>1816</v>
      </c>
      <c r="B1289" s="153" t="s">
        <v>1817</v>
      </c>
      <c r="C1289">
        <v>0.0</v>
      </c>
      <c r="D1289">
        <v>0.0</v>
      </c>
      <c r="F1289" t="s">
        <v>2942</v>
      </c>
      <c r="G1289" t="s">
        <v>2962</v>
      </c>
      <c r="H1289" t="s">
        <v>2963</v>
      </c>
      <c r="I1289" t="s">
        <v>3894</v>
      </c>
    </row>
    <row r="1290" customHeight="1" ht="14.0">
      <c r="A1290" t="s">
        <v>1818</v>
      </c>
      <c r="B1290" s="153" t="s">
        <v>1819</v>
      </c>
      <c r="C1290">
        <v>3.0</v>
      </c>
      <c r="D1290">
        <v>0.01</v>
      </c>
      <c r="E1290">
        <v>0.0033</v>
      </c>
      <c r="F1290" t="s">
        <v>2942</v>
      </c>
      <c r="G1290" t="s">
        <v>2962</v>
      </c>
      <c r="H1290" t="s">
        <v>2963</v>
      </c>
      <c r="I1290" t="s">
        <v>3894</v>
      </c>
    </row>
    <row r="1291" customHeight="1" ht="14.0">
      <c r="A1291" t="s">
        <v>1820</v>
      </c>
      <c r="B1291" s="153" t="s">
        <v>1821</v>
      </c>
      <c r="C1291">
        <v>7.0</v>
      </c>
      <c r="D1291">
        <v>0.01</v>
      </c>
      <c r="E1291">
        <v>0.0014</v>
      </c>
      <c r="F1291" t="s">
        <v>2942</v>
      </c>
      <c r="G1291" t="s">
        <v>2962</v>
      </c>
      <c r="H1291" t="s">
        <v>2963</v>
      </c>
      <c r="I1291" t="s">
        <v>3894</v>
      </c>
    </row>
    <row r="1292" customHeight="1" ht="14.0">
      <c r="A1292" t="s">
        <v>1822</v>
      </c>
      <c r="B1292" s="153" t="s">
        <v>1823</v>
      </c>
      <c r="C1292">
        <v>5.0</v>
      </c>
      <c r="D1292">
        <v>0.01</v>
      </c>
      <c r="E1292">
        <v>0.002</v>
      </c>
      <c r="F1292" t="s">
        <v>2942</v>
      </c>
      <c r="G1292" t="s">
        <v>2962</v>
      </c>
      <c r="H1292" t="s">
        <v>2963</v>
      </c>
      <c r="I1292" t="s">
        <v>3894</v>
      </c>
    </row>
    <row r="1293" customHeight="1" ht="14.0">
      <c r="A1293" t="s">
        <v>1824</v>
      </c>
      <c r="B1293" s="153" t="s">
        <v>1825</v>
      </c>
      <c r="C1293">
        <v>11.0</v>
      </c>
      <c r="D1293">
        <v>0.01</v>
      </c>
      <c r="E1293">
        <v>9.0E-4</v>
      </c>
      <c r="F1293" t="s">
        <v>2942</v>
      </c>
      <c r="G1293" t="s">
        <v>2962</v>
      </c>
      <c r="H1293" t="s">
        <v>2963</v>
      </c>
      <c r="I1293" t="s">
        <v>3894</v>
      </c>
    </row>
    <row r="1294" customHeight="1" ht="14.0">
      <c r="A1294" t="s">
        <v>1826</v>
      </c>
      <c r="B1294" s="153" t="s">
        <v>1827</v>
      </c>
      <c r="C1294">
        <v>11.0</v>
      </c>
      <c r="D1294">
        <v>0.01</v>
      </c>
      <c r="E1294">
        <v>9.0E-4</v>
      </c>
      <c r="F1294" t="s">
        <v>2942</v>
      </c>
      <c r="G1294" t="s">
        <v>2962</v>
      </c>
      <c r="H1294" t="s">
        <v>2963</v>
      </c>
      <c r="I1294" t="s">
        <v>3894</v>
      </c>
    </row>
    <row r="1295" customHeight="1" ht="14.0">
      <c r="A1295" t="s">
        <v>1828</v>
      </c>
      <c r="B1295" s="153" t="s">
        <v>1829</v>
      </c>
      <c r="C1295">
        <v>10.0</v>
      </c>
      <c r="D1295">
        <v>0.01</v>
      </c>
      <c r="E1295">
        <v>0.001</v>
      </c>
      <c r="F1295" t="s">
        <v>2942</v>
      </c>
      <c r="G1295" t="s">
        <v>2962</v>
      </c>
      <c r="H1295" t="s">
        <v>2963</v>
      </c>
      <c r="I1295" t="s">
        <v>3894</v>
      </c>
    </row>
    <row r="1296" customHeight="1" ht="14.0">
      <c r="A1296" t="s">
        <v>1830</v>
      </c>
      <c r="B1296" s="153" t="s">
        <v>1831</v>
      </c>
      <c r="C1296">
        <v>20.0</v>
      </c>
      <c r="D1296">
        <v>0.01</v>
      </c>
      <c r="E1296">
        <v>5.0E-4</v>
      </c>
      <c r="F1296" t="s">
        <v>2942</v>
      </c>
      <c r="G1296" t="s">
        <v>2962</v>
      </c>
      <c r="H1296" t="s">
        <v>2963</v>
      </c>
      <c r="I1296" t="s">
        <v>3894</v>
      </c>
    </row>
    <row r="1297" customHeight="1" ht="14.0">
      <c r="A1297" t="s">
        <v>1832</v>
      </c>
      <c r="B1297" s="153" t="s">
        <v>1833</v>
      </c>
      <c r="C1297">
        <v>12.0</v>
      </c>
      <c r="D1297">
        <v>0.01</v>
      </c>
      <c r="E1297">
        <v>8.0E-4</v>
      </c>
      <c r="F1297" t="s">
        <v>2942</v>
      </c>
      <c r="G1297" t="s">
        <v>2962</v>
      </c>
      <c r="H1297" t="s">
        <v>2963</v>
      </c>
      <c r="I1297" t="s">
        <v>3894</v>
      </c>
    </row>
    <row r="1298" customHeight="1" ht="14.0">
      <c r="A1298" t="s">
        <v>1834</v>
      </c>
      <c r="B1298" s="153" t="s">
        <v>1835</v>
      </c>
      <c r="C1298">
        <v>0.0</v>
      </c>
      <c r="D1298">
        <v>0.0</v>
      </c>
      <c r="F1298" t="s">
        <v>2942</v>
      </c>
      <c r="G1298" t="s">
        <v>2943</v>
      </c>
      <c r="H1298" t="s">
        <v>2963</v>
      </c>
      <c r="I1298" t="s">
        <v>3894</v>
      </c>
    </row>
    <row r="1299" customHeight="1" ht="14.0">
      <c r="A1299" t="s">
        <v>1836</v>
      </c>
      <c r="B1299" s="153" t="s">
        <v>1837</v>
      </c>
      <c r="C1299">
        <v>7.0</v>
      </c>
      <c r="D1299">
        <v>0.01</v>
      </c>
      <c r="E1299">
        <v>0.0014</v>
      </c>
      <c r="F1299" t="s">
        <v>2942</v>
      </c>
      <c r="G1299" t="s">
        <v>2962</v>
      </c>
      <c r="H1299" t="s">
        <v>2963</v>
      </c>
      <c r="I1299" t="s">
        <v>3894</v>
      </c>
    </row>
    <row r="1300" customHeight="1" ht="14.0">
      <c r="A1300" t="s">
        <v>1838</v>
      </c>
      <c r="B1300" s="153" t="s">
        <v>1839</v>
      </c>
      <c r="C1300">
        <v>3.0</v>
      </c>
      <c r="D1300">
        <v>0.01</v>
      </c>
      <c r="E1300">
        <v>0.0033</v>
      </c>
      <c r="F1300" t="s">
        <v>2942</v>
      </c>
      <c r="G1300" t="s">
        <v>2962</v>
      </c>
      <c r="H1300" t="s">
        <v>2963</v>
      </c>
      <c r="I1300" t="s">
        <v>3894</v>
      </c>
    </row>
    <row r="1301" customHeight="1" ht="14.0">
      <c r="A1301" t="s">
        <v>1840</v>
      </c>
      <c r="B1301" s="153" t="s">
        <v>1841</v>
      </c>
      <c r="C1301">
        <v>5.0</v>
      </c>
      <c r="D1301">
        <v>0.01</v>
      </c>
      <c r="E1301">
        <v>0.002</v>
      </c>
      <c r="F1301" t="s">
        <v>2942</v>
      </c>
      <c r="G1301" t="s">
        <v>2962</v>
      </c>
      <c r="H1301" t="s">
        <v>2963</v>
      </c>
      <c r="I1301" t="s">
        <v>3894</v>
      </c>
    </row>
    <row r="1302" customHeight="1" ht="14.0">
      <c r="A1302" t="s">
        <v>1842</v>
      </c>
      <c r="B1302" s="153" t="s">
        <v>1843</v>
      </c>
      <c r="C1302">
        <v>3.0</v>
      </c>
      <c r="D1302">
        <v>0.01</v>
      </c>
      <c r="E1302">
        <v>0.0033</v>
      </c>
      <c r="F1302" t="s">
        <v>2942</v>
      </c>
      <c r="G1302" t="s">
        <v>2962</v>
      </c>
      <c r="H1302" t="s">
        <v>2963</v>
      </c>
      <c r="I1302" t="s">
        <v>3894</v>
      </c>
    </row>
    <row r="1303" customHeight="1" ht="14.0">
      <c r="A1303" t="s">
        <v>1844</v>
      </c>
      <c r="B1303" s="153" t="s">
        <v>1845</v>
      </c>
      <c r="C1303">
        <v>3.0</v>
      </c>
      <c r="D1303">
        <v>0.01</v>
      </c>
      <c r="E1303">
        <v>0.0033</v>
      </c>
      <c r="F1303" t="s">
        <v>2942</v>
      </c>
      <c r="G1303" t="s">
        <v>2962</v>
      </c>
      <c r="H1303" t="s">
        <v>2963</v>
      </c>
      <c r="I1303" t="s">
        <v>3894</v>
      </c>
    </row>
    <row r="1304" customHeight="1" ht="14.0">
      <c r="A1304" t="s">
        <v>1846</v>
      </c>
      <c r="B1304" s="153" t="s">
        <v>1847</v>
      </c>
      <c r="C1304">
        <v>0.0</v>
      </c>
      <c r="D1304">
        <v>0.0</v>
      </c>
      <c r="F1304" t="s">
        <v>2942</v>
      </c>
      <c r="G1304" t="s">
        <v>2943</v>
      </c>
      <c r="H1304" t="s">
        <v>2963</v>
      </c>
      <c r="I1304" t="s">
        <v>3894</v>
      </c>
    </row>
    <row r="1305" customHeight="1" ht="14.0">
      <c r="A1305" t="s">
        <v>1848</v>
      </c>
      <c r="B1305" s="153" t="s">
        <v>1849</v>
      </c>
      <c r="C1305">
        <v>5.0</v>
      </c>
      <c r="D1305">
        <v>0.01</v>
      </c>
      <c r="E1305">
        <v>0.002</v>
      </c>
      <c r="F1305" t="s">
        <v>2942</v>
      </c>
      <c r="G1305" t="s">
        <v>2962</v>
      </c>
      <c r="H1305" t="s">
        <v>2963</v>
      </c>
      <c r="I1305" t="s">
        <v>3894</v>
      </c>
    </row>
    <row r="1306" customHeight="1" ht="14.0">
      <c r="A1306" t="s">
        <v>1850</v>
      </c>
      <c r="B1306" s="153" t="s">
        <v>1851</v>
      </c>
      <c r="C1306">
        <v>19.0</v>
      </c>
      <c r="D1306">
        <v>0.01</v>
      </c>
      <c r="E1306">
        <v>5.0E-4</v>
      </c>
      <c r="F1306" t="s">
        <v>2942</v>
      </c>
      <c r="G1306" t="s">
        <v>2962</v>
      </c>
      <c r="H1306" t="s">
        <v>2963</v>
      </c>
      <c r="I1306" t="s">
        <v>3894</v>
      </c>
    </row>
    <row r="1307" customHeight="1" ht="14.0">
      <c r="A1307" t="s">
        <v>1852</v>
      </c>
      <c r="B1307" s="153" t="s">
        <v>1853</v>
      </c>
      <c r="C1307">
        <v>23.0</v>
      </c>
      <c r="D1307">
        <v>0.01</v>
      </c>
      <c r="E1307">
        <v>4.0E-4</v>
      </c>
      <c r="F1307" t="s">
        <v>2942</v>
      </c>
      <c r="G1307" t="s">
        <v>2962</v>
      </c>
      <c r="H1307" t="s">
        <v>2963</v>
      </c>
      <c r="I1307" t="s">
        <v>3894</v>
      </c>
    </row>
    <row r="1308" customHeight="1" ht="14.0">
      <c r="A1308" t="s">
        <v>1854</v>
      </c>
      <c r="B1308" s="153" t="s">
        <v>1855</v>
      </c>
      <c r="C1308">
        <v>0.0</v>
      </c>
      <c r="D1308">
        <v>0.0</v>
      </c>
      <c r="F1308" t="s">
        <v>2942</v>
      </c>
      <c r="G1308" t="s">
        <v>2943</v>
      </c>
      <c r="H1308" t="s">
        <v>2963</v>
      </c>
      <c r="I1308" t="s">
        <v>3894</v>
      </c>
    </row>
    <row r="1309" customHeight="1" ht="14.0">
      <c r="A1309" t="s">
        <v>4243</v>
      </c>
      <c r="B1309" s="153" t="s">
        <v>4244</v>
      </c>
      <c r="C1309">
        <v>0.0</v>
      </c>
      <c r="D1309">
        <v>0.0</v>
      </c>
      <c r="F1309" t="s">
        <v>2942</v>
      </c>
      <c r="G1309" t="s">
        <v>2943</v>
      </c>
      <c r="H1309" t="s">
        <v>2944</v>
      </c>
      <c r="I1309" t="s">
        <v>4236</v>
      </c>
    </row>
    <row r="1310" customHeight="1" ht="14.0">
      <c r="A1310" t="s">
        <v>4245</v>
      </c>
      <c r="B1310" s="153" t="s">
        <v>4246</v>
      </c>
      <c r="C1310">
        <v>0.0</v>
      </c>
      <c r="D1310">
        <v>0.0</v>
      </c>
      <c r="F1310" t="s">
        <v>2942</v>
      </c>
      <c r="G1310" t="s">
        <v>2943</v>
      </c>
      <c r="H1310" t="s">
        <v>2944</v>
      </c>
      <c r="I1310" t="s">
        <v>4236</v>
      </c>
    </row>
    <row r="1311" customHeight="1" ht="14.0">
      <c r="A1311" t="s">
        <v>4247</v>
      </c>
      <c r="B1311" s="153" t="s">
        <v>4248</v>
      </c>
      <c r="C1311">
        <v>0.0</v>
      </c>
      <c r="D1311">
        <v>0.0</v>
      </c>
      <c r="F1311" t="s">
        <v>2942</v>
      </c>
      <c r="G1311" t="s">
        <v>2943</v>
      </c>
      <c r="H1311" t="s">
        <v>2944</v>
      </c>
      <c r="I1311" t="s">
        <v>4236</v>
      </c>
    </row>
    <row r="1312" customHeight="1" ht="14.0">
      <c r="A1312" t="s">
        <v>4249</v>
      </c>
      <c r="B1312" s="153" t="s">
        <v>4250</v>
      </c>
      <c r="C1312">
        <v>0.0</v>
      </c>
      <c r="D1312">
        <v>0.0</v>
      </c>
      <c r="F1312" t="s">
        <v>2942</v>
      </c>
      <c r="G1312" t="s">
        <v>2943</v>
      </c>
      <c r="H1312" t="s">
        <v>2944</v>
      </c>
      <c r="I1312" t="s">
        <v>4236</v>
      </c>
    </row>
    <row r="1313" customHeight="1" ht="14.0">
      <c r="A1313" t="s">
        <v>1856</v>
      </c>
      <c r="B1313" s="153" t="s">
        <v>1857</v>
      </c>
      <c r="C1313">
        <v>50.0</v>
      </c>
      <c r="D1313">
        <v>315.39</v>
      </c>
      <c r="E1313">
        <v>6.3078</v>
      </c>
      <c r="F1313" t="s">
        <v>2942</v>
      </c>
      <c r="G1313" t="s">
        <v>2962</v>
      </c>
      <c r="H1313" t="s">
        <v>3005</v>
      </c>
      <c r="I1313" t="s">
        <v>3804</v>
      </c>
    </row>
    <row r="1314" customHeight="1" ht="14.0">
      <c r="A1314" t="s">
        <v>4251</v>
      </c>
      <c r="B1314" s="153" t="s">
        <v>4252</v>
      </c>
      <c r="C1314">
        <v>912.0</v>
      </c>
      <c r="D1314">
        <v>501.69</v>
      </c>
      <c r="E1314">
        <v>0.5501</v>
      </c>
      <c r="F1314" t="s">
        <v>2942</v>
      </c>
      <c r="G1314" t="s">
        <v>2962</v>
      </c>
      <c r="H1314" t="s">
        <v>3161</v>
      </c>
      <c r="I1314" t="s">
        <v>3167</v>
      </c>
    </row>
    <row r="1315" customHeight="1" ht="14.0">
      <c r="A1315" t="s">
        <v>4253</v>
      </c>
      <c r="B1315" s="153" t="s">
        <v>4254</v>
      </c>
      <c r="C1315">
        <v>318.0</v>
      </c>
      <c r="D1315">
        <v>159.0</v>
      </c>
      <c r="E1315">
        <v>0.5</v>
      </c>
      <c r="F1315" t="s">
        <v>2942</v>
      </c>
      <c r="G1315" t="s">
        <v>2962</v>
      </c>
      <c r="H1315" t="s">
        <v>3161</v>
      </c>
      <c r="I1315" t="s">
        <v>3447</v>
      </c>
    </row>
    <row r="1316" customHeight="1" ht="14.0">
      <c r="A1316" t="s">
        <v>4255</v>
      </c>
      <c r="B1316" s="153" t="s">
        <v>4256</v>
      </c>
      <c r="C1316">
        <v>36.0</v>
      </c>
      <c r="D1316">
        <v>19.44</v>
      </c>
      <c r="E1316">
        <v>0.54</v>
      </c>
      <c r="F1316" t="s">
        <v>2942</v>
      </c>
      <c r="G1316" t="s">
        <v>2962</v>
      </c>
      <c r="H1316" t="s">
        <v>3161</v>
      </c>
      <c r="I1316" t="s">
        <v>3366</v>
      </c>
    </row>
    <row r="1317" customHeight="1" ht="14.0">
      <c r="A1317" t="s">
        <v>4257</v>
      </c>
      <c r="B1317" s="153" t="s">
        <v>4258</v>
      </c>
      <c r="C1317">
        <v>77.0</v>
      </c>
      <c r="D1317">
        <v>11520.81</v>
      </c>
      <c r="E1317">
        <v>149.6209</v>
      </c>
      <c r="F1317" t="s">
        <v>2942</v>
      </c>
      <c r="G1317" t="s">
        <v>2962</v>
      </c>
      <c r="H1317" t="s">
        <v>3741</v>
      </c>
      <c r="I1317" t="s">
        <v>2985</v>
      </c>
    </row>
    <row r="1318" customHeight="1" ht="14.0">
      <c r="A1318" t="s">
        <v>4259</v>
      </c>
      <c r="B1318" s="153" t="s">
        <v>4260</v>
      </c>
      <c r="C1318">
        <v>61.0</v>
      </c>
      <c r="D1318">
        <v>9.8</v>
      </c>
      <c r="E1318">
        <v>0.1607</v>
      </c>
      <c r="F1318" t="s">
        <v>2942</v>
      </c>
      <c r="G1318" t="s">
        <v>2962</v>
      </c>
      <c r="H1318" t="s">
        <v>3741</v>
      </c>
      <c r="I1318" t="s">
        <v>453</v>
      </c>
    </row>
    <row r="1319" customHeight="1" ht="14.0">
      <c r="A1319" t="s">
        <v>4261</v>
      </c>
      <c r="B1319" s="153">
        <v>37601.0</v>
      </c>
      <c r="C1319">
        <v>0.0</v>
      </c>
      <c r="D1319">
        <v>0.0</v>
      </c>
      <c r="F1319" t="s">
        <v>2942</v>
      </c>
      <c r="G1319" t="s">
        <v>2962</v>
      </c>
      <c r="H1319" t="s">
        <v>3741</v>
      </c>
      <c r="I1319" t="s">
        <v>453</v>
      </c>
    </row>
    <row r="1320" customHeight="1" ht="14.0">
      <c r="A1320" t="s">
        <v>4262</v>
      </c>
      <c r="B1320" s="153">
        <v>37602.0</v>
      </c>
      <c r="C1320">
        <v>3.0</v>
      </c>
      <c r="D1320">
        <v>10.4</v>
      </c>
      <c r="E1320">
        <v>3.4667</v>
      </c>
      <c r="F1320" t="s">
        <v>2942</v>
      </c>
      <c r="G1320" t="s">
        <v>2962</v>
      </c>
      <c r="H1320" t="s">
        <v>3741</v>
      </c>
      <c r="I1320" t="s">
        <v>453</v>
      </c>
    </row>
    <row r="1321" customHeight="1" ht="14.0">
      <c r="A1321" t="s">
        <v>4263</v>
      </c>
      <c r="B1321" s="153">
        <v>37603.0</v>
      </c>
      <c r="C1321">
        <v>425.0</v>
      </c>
      <c r="D1321">
        <v>1450.73</v>
      </c>
      <c r="E1321">
        <v>3.4135</v>
      </c>
      <c r="F1321" t="s">
        <v>2942</v>
      </c>
      <c r="G1321" t="s">
        <v>2962</v>
      </c>
      <c r="H1321" t="s">
        <v>3741</v>
      </c>
      <c r="I1321" t="s">
        <v>453</v>
      </c>
    </row>
    <row r="1322" customHeight="1" ht="14.0">
      <c r="A1322" t="s">
        <v>4264</v>
      </c>
      <c r="B1322" s="153">
        <v>37604.0</v>
      </c>
      <c r="C1322">
        <v>485.0</v>
      </c>
      <c r="D1322">
        <v>1669.57</v>
      </c>
      <c r="E1322">
        <v>3.4424</v>
      </c>
      <c r="F1322" t="s">
        <v>2942</v>
      </c>
      <c r="G1322" t="s">
        <v>2962</v>
      </c>
      <c r="H1322" t="s">
        <v>3741</v>
      </c>
      <c r="I1322" t="s">
        <v>453</v>
      </c>
    </row>
    <row r="1323" customHeight="1" ht="14.0">
      <c r="A1323" t="s">
        <v>4265</v>
      </c>
      <c r="B1323" s="153" t="s">
        <v>4266</v>
      </c>
      <c r="C1323">
        <v>0.0</v>
      </c>
      <c r="D1323">
        <v>0.0</v>
      </c>
      <c r="F1323" t="s">
        <v>2942</v>
      </c>
      <c r="G1323" t="s">
        <v>2962</v>
      </c>
      <c r="H1323" t="s">
        <v>3741</v>
      </c>
      <c r="I1323" t="s">
        <v>453</v>
      </c>
    </row>
    <row r="1324" customHeight="1" ht="14.0">
      <c r="A1324" t="s">
        <v>1858</v>
      </c>
      <c r="B1324" s="153">
        <v>45202.0</v>
      </c>
      <c r="C1324">
        <v>0.0</v>
      </c>
      <c r="D1324">
        <v>0.0</v>
      </c>
      <c r="F1324" t="s">
        <v>2942</v>
      </c>
      <c r="G1324" t="s">
        <v>2943</v>
      </c>
      <c r="H1324" t="s">
        <v>2944</v>
      </c>
      <c r="I1324" t="s">
        <v>3708</v>
      </c>
    </row>
    <row r="1325" customHeight="1" ht="14.0">
      <c r="A1325" t="s">
        <v>1859</v>
      </c>
      <c r="B1325" s="153">
        <v>45203.0</v>
      </c>
      <c r="C1325">
        <v>0.0</v>
      </c>
      <c r="D1325">
        <v>0.0</v>
      </c>
      <c r="F1325" t="s">
        <v>2942</v>
      </c>
      <c r="G1325" t="s">
        <v>2943</v>
      </c>
      <c r="H1325" t="s">
        <v>2944</v>
      </c>
      <c r="I1325" t="s">
        <v>3708</v>
      </c>
    </row>
    <row r="1326" customHeight="1" ht="14.0">
      <c r="A1326" t="s">
        <v>1860</v>
      </c>
      <c r="B1326" s="153">
        <v>45201.0</v>
      </c>
      <c r="C1326">
        <v>0.0</v>
      </c>
      <c r="D1326">
        <v>0.0</v>
      </c>
      <c r="F1326" t="s">
        <v>2942</v>
      </c>
      <c r="G1326" t="s">
        <v>2943</v>
      </c>
      <c r="H1326" t="s">
        <v>2944</v>
      </c>
      <c r="I1326" t="s">
        <v>3708</v>
      </c>
    </row>
    <row r="1327" customHeight="1" ht="14.0">
      <c r="A1327" t="s">
        <v>4267</v>
      </c>
      <c r="B1327" s="153" t="s">
        <v>4268</v>
      </c>
      <c r="C1327">
        <v>300.0</v>
      </c>
      <c r="D1327">
        <v>165.0</v>
      </c>
      <c r="E1327">
        <v>0.55</v>
      </c>
      <c r="F1327" t="s">
        <v>2942</v>
      </c>
      <c r="G1327" t="s">
        <v>2962</v>
      </c>
      <c r="H1327" t="s">
        <v>3161</v>
      </c>
      <c r="I1327" t="s">
        <v>3167</v>
      </c>
    </row>
    <row r="1328" customHeight="1" ht="14.0">
      <c r="A1328" t="s">
        <v>4269</v>
      </c>
      <c r="B1328" s="153" t="s">
        <v>4270</v>
      </c>
      <c r="C1328">
        <v>664.0</v>
      </c>
      <c r="D1328">
        <v>332.0</v>
      </c>
      <c r="E1328">
        <v>0.5</v>
      </c>
      <c r="F1328" t="s">
        <v>2942</v>
      </c>
      <c r="G1328" t="s">
        <v>2962</v>
      </c>
      <c r="H1328" t="s">
        <v>3161</v>
      </c>
      <c r="I1328" t="s">
        <v>3447</v>
      </c>
    </row>
    <row r="1329" customHeight="1" ht="14.0">
      <c r="A1329" t="s">
        <v>4271</v>
      </c>
      <c r="B1329" s="153" t="s">
        <v>4272</v>
      </c>
      <c r="C1329">
        <v>270.0</v>
      </c>
      <c r="D1329">
        <v>129.6</v>
      </c>
      <c r="E1329">
        <v>0.48</v>
      </c>
      <c r="F1329" t="s">
        <v>2942</v>
      </c>
      <c r="G1329" t="s">
        <v>2962</v>
      </c>
      <c r="H1329" t="s">
        <v>3161</v>
      </c>
      <c r="I1329" t="s">
        <v>3366</v>
      </c>
    </row>
    <row r="1330" customHeight="1" ht="14.0">
      <c r="A1330" t="s">
        <v>4273</v>
      </c>
      <c r="B1330" s="153" t="s">
        <v>4274</v>
      </c>
      <c r="C1330">
        <v>0.0</v>
      </c>
      <c r="D1330">
        <v>0.0</v>
      </c>
      <c r="F1330" t="s">
        <v>2942</v>
      </c>
      <c r="G1330" t="s">
        <v>2943</v>
      </c>
      <c r="H1330" t="s">
        <v>2944</v>
      </c>
      <c r="I1330" t="s">
        <v>799</v>
      </c>
    </row>
    <row r="1331" customHeight="1" ht="14.0">
      <c r="A1331" t="s">
        <v>1861</v>
      </c>
      <c r="B1331" s="153" t="s">
        <v>1862</v>
      </c>
      <c r="C1331">
        <v>186.0</v>
      </c>
      <c r="D1331">
        <v>1044.99</v>
      </c>
      <c r="E1331">
        <v>5.6182</v>
      </c>
      <c r="F1331" t="s">
        <v>2942</v>
      </c>
      <c r="G1331" t="s">
        <v>2962</v>
      </c>
      <c r="H1331" t="s">
        <v>3005</v>
      </c>
      <c r="I1331" t="s">
        <v>3006</v>
      </c>
    </row>
    <row r="1332" customHeight="1" ht="14.0">
      <c r="A1332" t="s">
        <v>4275</v>
      </c>
      <c r="B1332" s="153" t="s">
        <v>4276</v>
      </c>
      <c r="C1332">
        <v>310.0</v>
      </c>
      <c r="D1332">
        <v>1542.14</v>
      </c>
      <c r="E1332">
        <v>4.9746</v>
      </c>
      <c r="F1332" t="s">
        <v>2942</v>
      </c>
      <c r="G1332" t="s">
        <v>2962</v>
      </c>
      <c r="H1332" t="s">
        <v>2984</v>
      </c>
      <c r="I1332" t="s">
        <v>4277</v>
      </c>
    </row>
    <row r="1333" customHeight="1" ht="14.0">
      <c r="A1333" t="s">
        <v>4278</v>
      </c>
      <c r="B1333" s="153" t="s">
        <v>4279</v>
      </c>
      <c r="C1333">
        <v>248.0</v>
      </c>
      <c r="D1333">
        <v>1233.79</v>
      </c>
      <c r="E1333">
        <v>4.975</v>
      </c>
      <c r="F1333" t="s">
        <v>2942</v>
      </c>
      <c r="G1333" t="s">
        <v>2962</v>
      </c>
      <c r="H1333" t="s">
        <v>2984</v>
      </c>
      <c r="I1333" t="s">
        <v>4277</v>
      </c>
    </row>
    <row r="1334" customHeight="1" ht="14.0">
      <c r="A1334" t="s">
        <v>4280</v>
      </c>
      <c r="B1334" s="153" t="s">
        <v>4281</v>
      </c>
      <c r="C1334">
        <v>73.0</v>
      </c>
      <c r="D1334">
        <v>363.46</v>
      </c>
      <c r="E1334">
        <v>4.9789</v>
      </c>
      <c r="F1334" t="s">
        <v>2942</v>
      </c>
      <c r="G1334" t="s">
        <v>2962</v>
      </c>
      <c r="H1334" t="s">
        <v>2984</v>
      </c>
      <c r="I1334" t="s">
        <v>4277</v>
      </c>
    </row>
    <row r="1335" customHeight="1" ht="14.0">
      <c r="A1335" t="s">
        <v>4282</v>
      </c>
      <c r="B1335" s="153" t="s">
        <v>4283</v>
      </c>
      <c r="C1335">
        <v>233.0</v>
      </c>
      <c r="D1335">
        <v>1159.19</v>
      </c>
      <c r="E1335">
        <v>4.9751</v>
      </c>
      <c r="F1335" t="s">
        <v>2942</v>
      </c>
      <c r="G1335" t="s">
        <v>2962</v>
      </c>
      <c r="H1335" t="s">
        <v>2984</v>
      </c>
      <c r="I1335" t="s">
        <v>4277</v>
      </c>
    </row>
    <row r="1336" customHeight="1" ht="14.0">
      <c r="A1336" t="s">
        <v>205</v>
      </c>
      <c r="B1336" s="153" t="s">
        <v>206</v>
      </c>
      <c r="C1336">
        <v>3.0</v>
      </c>
      <c r="D1336">
        <v>144.37</v>
      </c>
      <c r="E1336">
        <v>48.1233</v>
      </c>
      <c r="F1336" t="s">
        <v>2942</v>
      </c>
      <c r="G1336" t="s">
        <v>2962</v>
      </c>
      <c r="H1336" t="s">
        <v>2963</v>
      </c>
      <c r="I1336" t="s">
        <v>204</v>
      </c>
    </row>
    <row r="1337" customHeight="1" ht="14.0">
      <c r="A1337" t="s">
        <v>4284</v>
      </c>
      <c r="B1337" s="153" t="s">
        <v>1864</v>
      </c>
      <c r="C1337">
        <v>5.0</v>
      </c>
      <c r="D1337">
        <v>57.7</v>
      </c>
      <c r="E1337">
        <v>11.54</v>
      </c>
      <c r="F1337" t="s">
        <v>2942</v>
      </c>
      <c r="G1337" t="s">
        <v>2962</v>
      </c>
      <c r="I1337" t="s">
        <v>197</v>
      </c>
    </row>
    <row r="1338" customHeight="1" ht="14.0">
      <c r="A1338" t="s">
        <v>4285</v>
      </c>
      <c r="B1338" s="153" t="s">
        <v>4286</v>
      </c>
      <c r="C1338">
        <v>0.0</v>
      </c>
      <c r="D1338">
        <v>0.0</v>
      </c>
      <c r="F1338" t="s">
        <v>2942</v>
      </c>
      <c r="G1338" t="s">
        <v>2943</v>
      </c>
      <c r="H1338" t="s">
        <v>3455</v>
      </c>
      <c r="I1338" t="s">
        <v>207</v>
      </c>
    </row>
    <row r="1339" customHeight="1" ht="14.0">
      <c r="A1339" t="s">
        <v>4287</v>
      </c>
      <c r="B1339" s="153" t="s">
        <v>4288</v>
      </c>
      <c r="C1339">
        <v>0.0</v>
      </c>
      <c r="D1339">
        <v>0.0</v>
      </c>
      <c r="F1339" t="s">
        <v>3197</v>
      </c>
      <c r="G1339" t="s">
        <v>2962</v>
      </c>
      <c r="H1339" t="s">
        <v>3455</v>
      </c>
      <c r="I1339" t="s">
        <v>207</v>
      </c>
    </row>
    <row r="1340" customHeight="1" ht="14.0">
      <c r="A1340" t="s">
        <v>4289</v>
      </c>
      <c r="B1340" s="153" t="s">
        <v>4290</v>
      </c>
      <c r="C1340">
        <v>0.0</v>
      </c>
      <c r="D1340">
        <v>0.0</v>
      </c>
      <c r="F1340" t="s">
        <v>3197</v>
      </c>
      <c r="G1340" t="s">
        <v>2962</v>
      </c>
      <c r="H1340" t="s">
        <v>3455</v>
      </c>
      <c r="I1340" t="s">
        <v>207</v>
      </c>
    </row>
    <row r="1341" customHeight="1" ht="14.0">
      <c r="A1341" t="s">
        <v>4291</v>
      </c>
      <c r="B1341" s="153" t="s">
        <v>4292</v>
      </c>
      <c r="C1341">
        <v>0.0</v>
      </c>
      <c r="D1341">
        <v>0.0</v>
      </c>
      <c r="F1341" t="s">
        <v>3197</v>
      </c>
      <c r="G1341" t="s">
        <v>2943</v>
      </c>
      <c r="H1341" t="s">
        <v>3455</v>
      </c>
      <c r="I1341" t="s">
        <v>207</v>
      </c>
    </row>
    <row r="1342" customHeight="1" ht="14.0">
      <c r="A1342" t="s">
        <v>4293</v>
      </c>
      <c r="B1342" s="153" t="s">
        <v>4294</v>
      </c>
      <c r="C1342">
        <v>0.0</v>
      </c>
      <c r="D1342">
        <v>0.0</v>
      </c>
      <c r="F1342" t="s">
        <v>3197</v>
      </c>
      <c r="G1342" t="s">
        <v>2943</v>
      </c>
      <c r="H1342" t="s">
        <v>3455</v>
      </c>
      <c r="I1342" t="s">
        <v>207</v>
      </c>
    </row>
    <row r="1343" customHeight="1" ht="14.0">
      <c r="A1343" t="s">
        <v>1865</v>
      </c>
      <c r="B1343" s="153" t="s">
        <v>1866</v>
      </c>
      <c r="C1343">
        <v>71.0</v>
      </c>
      <c r="D1343">
        <v>850.9</v>
      </c>
      <c r="E1343">
        <v>11.9845</v>
      </c>
      <c r="F1343" t="s">
        <v>2942</v>
      </c>
      <c r="G1343" t="s">
        <v>2962</v>
      </c>
      <c r="H1343" t="s">
        <v>3741</v>
      </c>
      <c r="I1343" t="s">
        <v>2985</v>
      </c>
    </row>
    <row r="1344" customHeight="1" ht="14.0">
      <c r="A1344" t="s">
        <v>797</v>
      </c>
      <c r="B1344" s="153" t="s">
        <v>798</v>
      </c>
      <c r="C1344">
        <v>2.0</v>
      </c>
      <c r="D1344">
        <v>127.26</v>
      </c>
      <c r="E1344">
        <v>63.63</v>
      </c>
      <c r="F1344" t="s">
        <v>2942</v>
      </c>
      <c r="G1344" t="s">
        <v>2962</v>
      </c>
      <c r="H1344" t="s">
        <v>30</v>
      </c>
      <c r="I1344" t="s">
        <v>453</v>
      </c>
    </row>
    <row r="1345" customHeight="1" ht="14.0">
      <c r="A1345" t="s">
        <v>1867</v>
      </c>
      <c r="B1345" s="153">
        <v>34101.0</v>
      </c>
      <c r="C1345">
        <v>1828.0</v>
      </c>
      <c r="D1345">
        <v>8865.07</v>
      </c>
      <c r="E1345">
        <v>4.8496</v>
      </c>
      <c r="F1345" t="s">
        <v>2942</v>
      </c>
      <c r="G1345" t="s">
        <v>2962</v>
      </c>
      <c r="H1345" t="s">
        <v>3741</v>
      </c>
      <c r="I1345" t="s">
        <v>2985</v>
      </c>
    </row>
    <row r="1346" customHeight="1" ht="14.0">
      <c r="A1346" t="s">
        <v>1868</v>
      </c>
      <c r="B1346" s="153" t="s">
        <v>1869</v>
      </c>
      <c r="C1346">
        <v>3.0</v>
      </c>
      <c r="D1346">
        <v>198.12</v>
      </c>
      <c r="E1346">
        <v>66.04</v>
      </c>
      <c r="F1346" t="s">
        <v>2994</v>
      </c>
      <c r="G1346" t="s">
        <v>2962</v>
      </c>
      <c r="H1346" t="s">
        <v>3741</v>
      </c>
      <c r="I1346" t="s">
        <v>2985</v>
      </c>
    </row>
    <row r="1347" customHeight="1" ht="14.0">
      <c r="A1347" t="s">
        <v>4295</v>
      </c>
      <c r="B1347" s="153" t="s">
        <v>4296</v>
      </c>
      <c r="C1347">
        <v>906.0</v>
      </c>
      <c r="D1347">
        <v>376.53</v>
      </c>
      <c r="E1347">
        <v>0.4156</v>
      </c>
      <c r="F1347" t="s">
        <v>3197</v>
      </c>
      <c r="G1347" t="s">
        <v>2962</v>
      </c>
      <c r="H1347" t="s">
        <v>3455</v>
      </c>
    </row>
    <row r="1348" customHeight="1" ht="14.0">
      <c r="A1348" t="s">
        <v>4297</v>
      </c>
      <c r="B1348" s="153" t="s">
        <v>4298</v>
      </c>
      <c r="C1348">
        <v>270.0</v>
      </c>
      <c r="D1348">
        <v>148.75</v>
      </c>
      <c r="E1348">
        <v>0.5509</v>
      </c>
      <c r="F1348" t="s">
        <v>2942</v>
      </c>
      <c r="G1348" t="s">
        <v>2962</v>
      </c>
      <c r="H1348" t="s">
        <v>3161</v>
      </c>
      <c r="I1348" t="s">
        <v>3167</v>
      </c>
    </row>
    <row r="1349" customHeight="1" ht="14.0">
      <c r="A1349" t="s">
        <v>4299</v>
      </c>
      <c r="B1349" s="153" t="s">
        <v>4300</v>
      </c>
      <c r="C1349">
        <v>474.0</v>
      </c>
      <c r="D1349">
        <v>237.0</v>
      </c>
      <c r="E1349">
        <v>0.5</v>
      </c>
      <c r="F1349" t="s">
        <v>2942</v>
      </c>
      <c r="G1349" t="s">
        <v>2962</v>
      </c>
      <c r="H1349" t="s">
        <v>3161</v>
      </c>
      <c r="I1349" t="s">
        <v>3447</v>
      </c>
    </row>
    <row r="1350" customHeight="1" ht="14.0">
      <c r="A1350" t="s">
        <v>769</v>
      </c>
      <c r="B1350" s="153" t="s">
        <v>770</v>
      </c>
      <c r="C1350">
        <v>0.0</v>
      </c>
      <c r="D1350">
        <v>0.0</v>
      </c>
      <c r="F1350" t="s">
        <v>2942</v>
      </c>
      <c r="G1350" t="s">
        <v>2962</v>
      </c>
      <c r="H1350" t="s">
        <v>30</v>
      </c>
      <c r="I1350" t="s">
        <v>401</v>
      </c>
    </row>
    <row r="1351" customHeight="1" ht="14.0">
      <c r="A1351" t="s">
        <v>765</v>
      </c>
      <c r="B1351" s="153" t="s">
        <v>766</v>
      </c>
      <c r="C1351">
        <v>0.0</v>
      </c>
      <c r="D1351">
        <v>0.0</v>
      </c>
      <c r="F1351" t="s">
        <v>2942</v>
      </c>
      <c r="G1351" t="s">
        <v>2962</v>
      </c>
      <c r="H1351" t="s">
        <v>30</v>
      </c>
      <c r="I1351" t="s">
        <v>401</v>
      </c>
    </row>
    <row r="1352" customHeight="1" ht="14.0">
      <c r="A1352" t="s">
        <v>767</v>
      </c>
      <c r="B1352" s="153" t="s">
        <v>768</v>
      </c>
      <c r="C1352">
        <v>0.0</v>
      </c>
      <c r="D1352">
        <v>0.0</v>
      </c>
      <c r="F1352" t="s">
        <v>2942</v>
      </c>
      <c r="G1352" t="s">
        <v>2962</v>
      </c>
      <c r="H1352" t="s">
        <v>30</v>
      </c>
      <c r="I1352" t="s">
        <v>401</v>
      </c>
    </row>
    <row r="1353" customHeight="1" ht="14.0">
      <c r="A1353" t="s">
        <v>4301</v>
      </c>
      <c r="B1353" s="153" t="s">
        <v>4302</v>
      </c>
      <c r="C1353">
        <v>0.0</v>
      </c>
      <c r="D1353">
        <v>0.0</v>
      </c>
      <c r="F1353" t="s">
        <v>2994</v>
      </c>
      <c r="G1353" t="s">
        <v>2962</v>
      </c>
      <c r="H1353" t="s">
        <v>3155</v>
      </c>
      <c r="I1353" t="s">
        <v>3153</v>
      </c>
    </row>
    <row r="1354" customHeight="1" ht="14.0">
      <c r="A1354" t="s">
        <v>1870</v>
      </c>
      <c r="B1354" s="153" t="s">
        <v>1871</v>
      </c>
      <c r="C1354">
        <v>0.0</v>
      </c>
      <c r="D1354">
        <v>0.0</v>
      </c>
      <c r="F1354" t="s">
        <v>2994</v>
      </c>
      <c r="G1354" t="s">
        <v>2943</v>
      </c>
      <c r="H1354" t="s">
        <v>2963</v>
      </c>
      <c r="I1354" t="s">
        <v>3153</v>
      </c>
    </row>
    <row r="1355" customHeight="1" ht="14.0">
      <c r="A1355" t="s">
        <v>4303</v>
      </c>
      <c r="B1355" s="153" t="s">
        <v>4304</v>
      </c>
      <c r="C1355">
        <v>3.0</v>
      </c>
      <c r="D1355">
        <v>274.59</v>
      </c>
      <c r="E1355">
        <v>91.53</v>
      </c>
      <c r="F1355" t="s">
        <v>2994</v>
      </c>
      <c r="G1355" t="s">
        <v>2962</v>
      </c>
      <c r="H1355" t="s">
        <v>3155</v>
      </c>
      <c r="I1355" t="s">
        <v>3153</v>
      </c>
    </row>
    <row r="1356" customHeight="1" ht="14.0">
      <c r="A1356" t="s">
        <v>4305</v>
      </c>
      <c r="B1356" s="153" t="s">
        <v>4306</v>
      </c>
      <c r="C1356">
        <v>0.0</v>
      </c>
      <c r="D1356">
        <v>0.0</v>
      </c>
      <c r="F1356" t="s">
        <v>2994</v>
      </c>
      <c r="G1356" t="s">
        <v>2962</v>
      </c>
      <c r="H1356" t="s">
        <v>3161</v>
      </c>
      <c r="I1356" t="s">
        <v>83</v>
      </c>
    </row>
    <row r="1357" customHeight="1" ht="14.0">
      <c r="A1357" t="s">
        <v>4307</v>
      </c>
      <c r="B1357" s="153" t="s">
        <v>4308</v>
      </c>
      <c r="C1357">
        <v>2.0</v>
      </c>
      <c r="D1357">
        <v>144.0</v>
      </c>
      <c r="E1357">
        <v>72.0</v>
      </c>
      <c r="F1357" t="s">
        <v>2994</v>
      </c>
      <c r="G1357" t="s">
        <v>2962</v>
      </c>
      <c r="H1357" t="s">
        <v>3161</v>
      </c>
      <c r="I1357" t="s">
        <v>3164</v>
      </c>
    </row>
    <row r="1358" customHeight="1" ht="14.0">
      <c r="A1358" t="s">
        <v>4309</v>
      </c>
      <c r="B1358" s="153" t="s">
        <v>4310</v>
      </c>
      <c r="C1358">
        <v>3.0</v>
      </c>
      <c r="D1358">
        <v>334.14</v>
      </c>
      <c r="E1358">
        <v>111.38</v>
      </c>
      <c r="F1358" t="s">
        <v>2994</v>
      </c>
      <c r="G1358" t="s">
        <v>2962</v>
      </c>
      <c r="H1358" t="s">
        <v>3161</v>
      </c>
      <c r="I1358" t="s">
        <v>3167</v>
      </c>
    </row>
    <row r="1359" customHeight="1" ht="14.0">
      <c r="A1359" t="s">
        <v>4311</v>
      </c>
      <c r="B1359" s="153" t="s">
        <v>4312</v>
      </c>
      <c r="C1359">
        <v>3.0</v>
      </c>
      <c r="D1359">
        <v>114.89</v>
      </c>
      <c r="E1359">
        <v>38.2967</v>
      </c>
      <c r="F1359" t="s">
        <v>2994</v>
      </c>
      <c r="G1359" t="s">
        <v>2962</v>
      </c>
      <c r="H1359" t="s">
        <v>3161</v>
      </c>
      <c r="I1359" t="s">
        <v>289</v>
      </c>
    </row>
    <row r="1360" customHeight="1" ht="14.0">
      <c r="A1360" t="s">
        <v>1874</v>
      </c>
      <c r="B1360" s="153" t="s">
        <v>1875</v>
      </c>
      <c r="C1360">
        <v>0.0</v>
      </c>
      <c r="D1360">
        <v>0.0</v>
      </c>
      <c r="F1360" t="s">
        <v>2942</v>
      </c>
      <c r="G1360" t="s">
        <v>2943</v>
      </c>
      <c r="H1360" t="s">
        <v>2963</v>
      </c>
      <c r="I1360" t="s">
        <v>3442</v>
      </c>
    </row>
    <row r="1361" customHeight="1" ht="14.0">
      <c r="A1361" t="s">
        <v>1876</v>
      </c>
      <c r="B1361" s="153" t="s">
        <v>1877</v>
      </c>
      <c r="C1361">
        <v>0.0</v>
      </c>
      <c r="D1361">
        <v>0.0</v>
      </c>
      <c r="F1361" t="s">
        <v>2942</v>
      </c>
      <c r="G1361" t="s">
        <v>2943</v>
      </c>
      <c r="H1361" t="s">
        <v>2963</v>
      </c>
      <c r="I1361" t="s">
        <v>3442</v>
      </c>
    </row>
    <row r="1362" customHeight="1" ht="14.0">
      <c r="A1362" t="s">
        <v>1878</v>
      </c>
      <c r="B1362" s="153" t="s">
        <v>1879</v>
      </c>
      <c r="C1362">
        <v>0.0</v>
      </c>
      <c r="D1362">
        <v>0.0</v>
      </c>
      <c r="F1362" t="s">
        <v>2942</v>
      </c>
      <c r="G1362" t="s">
        <v>2943</v>
      </c>
      <c r="H1362" t="s">
        <v>2963</v>
      </c>
      <c r="I1362" t="s">
        <v>3442</v>
      </c>
    </row>
    <row r="1363" customHeight="1" ht="14.0">
      <c r="A1363" t="s">
        <v>4313</v>
      </c>
      <c r="B1363" s="153" t="s">
        <v>4314</v>
      </c>
      <c r="C1363">
        <v>0.0</v>
      </c>
      <c r="D1363">
        <v>0.0</v>
      </c>
      <c r="F1363" t="s">
        <v>2942</v>
      </c>
      <c r="G1363" t="s">
        <v>2943</v>
      </c>
      <c r="H1363" t="s">
        <v>2963</v>
      </c>
      <c r="I1363" t="s">
        <v>3442</v>
      </c>
    </row>
    <row r="1364" customHeight="1" ht="14.0">
      <c r="A1364" t="s">
        <v>1880</v>
      </c>
      <c r="B1364" s="153" t="s">
        <v>1881</v>
      </c>
      <c r="C1364">
        <v>0.0</v>
      </c>
      <c r="D1364">
        <v>0.0</v>
      </c>
      <c r="F1364" t="s">
        <v>2942</v>
      </c>
      <c r="G1364" t="s">
        <v>2943</v>
      </c>
      <c r="H1364" t="s">
        <v>2944</v>
      </c>
      <c r="I1364" t="s">
        <v>3442</v>
      </c>
    </row>
    <row r="1365" customHeight="1" ht="14.0">
      <c r="A1365" t="s">
        <v>4315</v>
      </c>
      <c r="B1365" s="153" t="s">
        <v>4316</v>
      </c>
      <c r="C1365">
        <v>5.0</v>
      </c>
      <c r="D1365">
        <v>57.45</v>
      </c>
      <c r="E1365">
        <v>11.49</v>
      </c>
      <c r="F1365" t="s">
        <v>2942</v>
      </c>
      <c r="G1365" t="s">
        <v>2962</v>
      </c>
      <c r="I1365" t="s">
        <v>197</v>
      </c>
    </row>
    <row r="1366" customHeight="1" ht="14.0">
      <c r="A1366" t="s">
        <v>680</v>
      </c>
      <c r="B1366" s="153" t="s">
        <v>681</v>
      </c>
      <c r="C1366">
        <v>2.0</v>
      </c>
      <c r="D1366">
        <v>354.09</v>
      </c>
      <c r="E1366">
        <v>177.045</v>
      </c>
      <c r="F1366" t="s">
        <v>2942</v>
      </c>
      <c r="G1366" t="s">
        <v>2962</v>
      </c>
      <c r="H1366" t="s">
        <v>30</v>
      </c>
      <c r="I1366" t="s">
        <v>647</v>
      </c>
    </row>
    <row r="1367" customHeight="1" ht="14.0">
      <c r="A1367" t="s">
        <v>664</v>
      </c>
      <c r="B1367" s="153" t="s">
        <v>665</v>
      </c>
      <c r="C1367">
        <v>601.0</v>
      </c>
      <c r="D1367">
        <v>1185.31</v>
      </c>
      <c r="E1367">
        <v>1.9722</v>
      </c>
      <c r="F1367" t="s">
        <v>2942</v>
      </c>
      <c r="G1367" t="s">
        <v>2962</v>
      </c>
      <c r="H1367" t="s">
        <v>30</v>
      </c>
      <c r="I1367" t="s">
        <v>647</v>
      </c>
    </row>
    <row r="1368" customHeight="1" ht="14.0">
      <c r="A1368" t="s">
        <v>670</v>
      </c>
      <c r="B1368" s="153" t="s">
        <v>671</v>
      </c>
      <c r="C1368">
        <v>1081.0</v>
      </c>
      <c r="D1368">
        <v>2276.01</v>
      </c>
      <c r="E1368">
        <v>2.1055</v>
      </c>
      <c r="F1368" t="s">
        <v>2942</v>
      </c>
      <c r="G1368" t="s">
        <v>2962</v>
      </c>
      <c r="H1368" t="s">
        <v>30</v>
      </c>
      <c r="I1368" t="s">
        <v>647</v>
      </c>
    </row>
    <row r="1369" customHeight="1" ht="14.0">
      <c r="A1369" t="s">
        <v>676</v>
      </c>
      <c r="B1369" s="153" t="s">
        <v>677</v>
      </c>
      <c r="C1369">
        <v>1292.0</v>
      </c>
      <c r="D1369">
        <v>2507.29</v>
      </c>
      <c r="E1369">
        <v>1.9406</v>
      </c>
      <c r="F1369" t="s">
        <v>2942</v>
      </c>
      <c r="G1369" t="s">
        <v>2962</v>
      </c>
      <c r="H1369" t="s">
        <v>30</v>
      </c>
      <c r="I1369" t="s">
        <v>647</v>
      </c>
    </row>
    <row r="1370" customHeight="1" ht="14.0">
      <c r="A1370" t="s">
        <v>674</v>
      </c>
      <c r="B1370" s="153" t="s">
        <v>675</v>
      </c>
      <c r="C1370">
        <v>654.0</v>
      </c>
      <c r="D1370">
        <v>1330.99</v>
      </c>
      <c r="E1370">
        <v>2.0352</v>
      </c>
      <c r="F1370" t="s">
        <v>2942</v>
      </c>
      <c r="G1370" t="s">
        <v>2962</v>
      </c>
      <c r="H1370" t="s">
        <v>30</v>
      </c>
      <c r="I1370" t="s">
        <v>647</v>
      </c>
    </row>
    <row r="1371" customHeight="1" ht="14.0">
      <c r="A1371" t="s">
        <v>666</v>
      </c>
      <c r="B1371" s="153" t="s">
        <v>667</v>
      </c>
      <c r="C1371">
        <v>836.0</v>
      </c>
      <c r="D1371">
        <v>1727.75</v>
      </c>
      <c r="E1371">
        <v>2.0667</v>
      </c>
      <c r="F1371" t="s">
        <v>2942</v>
      </c>
      <c r="G1371" t="s">
        <v>2962</v>
      </c>
      <c r="H1371" t="s">
        <v>30</v>
      </c>
      <c r="I1371" t="s">
        <v>647</v>
      </c>
    </row>
    <row r="1372" customHeight="1" ht="14.0">
      <c r="A1372" t="s">
        <v>668</v>
      </c>
      <c r="B1372" s="153" t="s">
        <v>669</v>
      </c>
      <c r="C1372">
        <v>1062.0</v>
      </c>
      <c r="D1372">
        <v>2225.05</v>
      </c>
      <c r="E1372">
        <v>2.0952</v>
      </c>
      <c r="F1372" t="s">
        <v>2942</v>
      </c>
      <c r="G1372" t="s">
        <v>2962</v>
      </c>
      <c r="H1372" t="s">
        <v>30</v>
      </c>
      <c r="I1372" t="s">
        <v>647</v>
      </c>
    </row>
    <row r="1373" customHeight="1" ht="14.0">
      <c r="A1373" t="s">
        <v>660</v>
      </c>
      <c r="B1373" s="153" t="s">
        <v>661</v>
      </c>
      <c r="C1373">
        <v>957.0</v>
      </c>
      <c r="D1373">
        <v>1917.41</v>
      </c>
      <c r="E1373">
        <v>2.0036</v>
      </c>
      <c r="F1373" t="s">
        <v>2942</v>
      </c>
      <c r="G1373" t="s">
        <v>2962</v>
      </c>
      <c r="H1373" t="s">
        <v>30</v>
      </c>
      <c r="I1373" t="s">
        <v>647</v>
      </c>
    </row>
    <row r="1374" customHeight="1" ht="14.0">
      <c r="A1374" t="s">
        <v>662</v>
      </c>
      <c r="B1374" s="153" t="s">
        <v>663</v>
      </c>
      <c r="C1374">
        <v>1281.0</v>
      </c>
      <c r="D1374">
        <v>2758.4</v>
      </c>
      <c r="E1374">
        <v>2.1533</v>
      </c>
      <c r="F1374" t="s">
        <v>2942</v>
      </c>
      <c r="G1374" t="s">
        <v>2962</v>
      </c>
      <c r="H1374" t="s">
        <v>30</v>
      </c>
      <c r="I1374" t="s">
        <v>647</v>
      </c>
    </row>
    <row r="1375" customHeight="1" ht="14.0">
      <c r="A1375" t="s">
        <v>672</v>
      </c>
      <c r="B1375" s="153" t="s">
        <v>673</v>
      </c>
      <c r="C1375">
        <v>1458.0</v>
      </c>
      <c r="D1375">
        <v>3296.81</v>
      </c>
      <c r="E1375">
        <v>2.2612</v>
      </c>
      <c r="F1375" t="s">
        <v>2942</v>
      </c>
      <c r="G1375" t="s">
        <v>2962</v>
      </c>
      <c r="H1375" t="s">
        <v>30</v>
      </c>
      <c r="I1375" t="s">
        <v>647</v>
      </c>
    </row>
    <row r="1376" customHeight="1" ht="14.0">
      <c r="A1376" t="s">
        <v>145</v>
      </c>
      <c r="B1376" s="153" t="s">
        <v>146</v>
      </c>
      <c r="C1376">
        <v>99.0</v>
      </c>
      <c r="D1376">
        <v>333.31</v>
      </c>
      <c r="E1376">
        <v>3.3668</v>
      </c>
      <c r="F1376" t="s">
        <v>2942</v>
      </c>
      <c r="G1376" t="s">
        <v>2962</v>
      </c>
      <c r="H1376" t="s">
        <v>30</v>
      </c>
      <c r="I1376" t="s">
        <v>138</v>
      </c>
    </row>
    <row r="1377" customHeight="1" ht="14.0">
      <c r="A1377" t="s">
        <v>143</v>
      </c>
      <c r="B1377" s="153" t="s">
        <v>144</v>
      </c>
      <c r="C1377">
        <v>816.0</v>
      </c>
      <c r="D1377">
        <v>2739.33</v>
      </c>
      <c r="E1377">
        <v>3.357</v>
      </c>
      <c r="F1377" t="s">
        <v>2942</v>
      </c>
      <c r="G1377" t="s">
        <v>2962</v>
      </c>
      <c r="H1377" t="s">
        <v>30</v>
      </c>
      <c r="I1377" t="s">
        <v>138</v>
      </c>
    </row>
    <row r="1378" customHeight="1" ht="14.0">
      <c r="A1378" t="s">
        <v>763</v>
      </c>
      <c r="B1378" s="153" t="s">
        <v>764</v>
      </c>
      <c r="C1378">
        <v>0.0</v>
      </c>
      <c r="D1378">
        <v>0.0</v>
      </c>
      <c r="F1378" t="s">
        <v>2942</v>
      </c>
      <c r="G1378" t="s">
        <v>2962</v>
      </c>
      <c r="H1378" t="s">
        <v>30</v>
      </c>
      <c r="I1378" t="s">
        <v>758</v>
      </c>
    </row>
    <row r="1379" customHeight="1" ht="14.0">
      <c r="A1379" t="s">
        <v>4317</v>
      </c>
      <c r="B1379" s="153" t="s">
        <v>4318</v>
      </c>
      <c r="C1379">
        <v>0.0</v>
      </c>
      <c r="D1379">
        <v>0.0</v>
      </c>
      <c r="F1379" t="s">
        <v>2942</v>
      </c>
      <c r="G1379" t="s">
        <v>2962</v>
      </c>
      <c r="H1379" t="s">
        <v>30</v>
      </c>
      <c r="I1379" t="s">
        <v>758</v>
      </c>
    </row>
    <row r="1380" customHeight="1" ht="14.0">
      <c r="A1380" t="s">
        <v>761</v>
      </c>
      <c r="B1380" s="153" t="s">
        <v>762</v>
      </c>
      <c r="C1380">
        <v>2.0</v>
      </c>
      <c r="D1380">
        <v>157.73</v>
      </c>
      <c r="E1380">
        <v>78.865</v>
      </c>
      <c r="F1380" t="s">
        <v>2942</v>
      </c>
      <c r="G1380" t="s">
        <v>2962</v>
      </c>
      <c r="H1380" t="s">
        <v>30</v>
      </c>
      <c r="I1380" t="s">
        <v>758</v>
      </c>
    </row>
    <row r="1381" customHeight="1" ht="14.0">
      <c r="A1381" t="s">
        <v>795</v>
      </c>
      <c r="B1381" s="153" t="s">
        <v>796</v>
      </c>
      <c r="C1381">
        <v>1.0</v>
      </c>
      <c r="D1381">
        <v>81.43</v>
      </c>
      <c r="E1381">
        <v>81.43</v>
      </c>
      <c r="F1381" t="s">
        <v>2942</v>
      </c>
      <c r="G1381" t="s">
        <v>2962</v>
      </c>
      <c r="H1381" t="s">
        <v>30</v>
      </c>
      <c r="I1381" t="s">
        <v>758</v>
      </c>
    </row>
    <row r="1382" customHeight="1" ht="14.0">
      <c r="A1382" t="s">
        <v>793</v>
      </c>
      <c r="B1382" s="153" t="s">
        <v>794</v>
      </c>
      <c r="C1382">
        <v>0.0</v>
      </c>
      <c r="D1382">
        <v>0.0</v>
      </c>
      <c r="F1382" t="s">
        <v>2942</v>
      </c>
      <c r="G1382" t="s">
        <v>2962</v>
      </c>
      <c r="H1382" t="s">
        <v>30</v>
      </c>
      <c r="I1382" t="s">
        <v>758</v>
      </c>
    </row>
    <row r="1383" customHeight="1" ht="14.0">
      <c r="A1383" t="s">
        <v>821</v>
      </c>
      <c r="B1383" s="153" t="s">
        <v>822</v>
      </c>
      <c r="C1383">
        <v>0.0</v>
      </c>
      <c r="D1383">
        <v>0.0</v>
      </c>
      <c r="F1383" t="s">
        <v>2942</v>
      </c>
      <c r="G1383" t="s">
        <v>2962</v>
      </c>
      <c r="H1383" t="s">
        <v>30</v>
      </c>
      <c r="I1383" t="s">
        <v>758</v>
      </c>
    </row>
    <row r="1384" customHeight="1" ht="14.0">
      <c r="A1384" t="s">
        <v>4319</v>
      </c>
      <c r="B1384" s="153" t="s">
        <v>4320</v>
      </c>
      <c r="C1384">
        <v>1.0</v>
      </c>
      <c r="D1384">
        <v>105.25</v>
      </c>
      <c r="E1384">
        <v>105.25</v>
      </c>
      <c r="F1384" t="s">
        <v>2942</v>
      </c>
      <c r="G1384" t="s">
        <v>2962</v>
      </c>
      <c r="H1384" t="s">
        <v>30</v>
      </c>
      <c r="I1384" t="s">
        <v>758</v>
      </c>
    </row>
    <row r="1385" customHeight="1" ht="14.0">
      <c r="A1385" t="s">
        <v>759</v>
      </c>
      <c r="B1385" s="153" t="s">
        <v>760</v>
      </c>
      <c r="C1385">
        <v>1.0</v>
      </c>
      <c r="D1385">
        <v>104.84</v>
      </c>
      <c r="E1385">
        <v>104.84</v>
      </c>
      <c r="F1385" t="s">
        <v>2942</v>
      </c>
      <c r="G1385" t="s">
        <v>2962</v>
      </c>
      <c r="H1385" t="s">
        <v>30</v>
      </c>
      <c r="I1385" t="s">
        <v>758</v>
      </c>
    </row>
    <row r="1386" customHeight="1" ht="14.0">
      <c r="A1386" t="s">
        <v>4321</v>
      </c>
      <c r="B1386" s="153" t="s">
        <v>4322</v>
      </c>
      <c r="C1386">
        <v>1.0</v>
      </c>
      <c r="D1386">
        <v>106.17</v>
      </c>
      <c r="E1386">
        <v>106.17</v>
      </c>
      <c r="F1386" t="s">
        <v>2942</v>
      </c>
      <c r="G1386" t="s">
        <v>2962</v>
      </c>
      <c r="H1386" t="s">
        <v>30</v>
      </c>
      <c r="I1386" t="s">
        <v>758</v>
      </c>
    </row>
    <row r="1387" customHeight="1" ht="14.0">
      <c r="A1387" t="s">
        <v>4323</v>
      </c>
      <c r="B1387" s="153" t="s">
        <v>4324</v>
      </c>
      <c r="C1387">
        <v>1.0</v>
      </c>
      <c r="D1387">
        <v>104.58</v>
      </c>
      <c r="E1387">
        <v>104.58</v>
      </c>
      <c r="F1387" t="s">
        <v>2942</v>
      </c>
      <c r="G1387" t="s">
        <v>2962</v>
      </c>
      <c r="H1387" t="s">
        <v>30</v>
      </c>
      <c r="I1387" t="s">
        <v>758</v>
      </c>
    </row>
    <row r="1388" customHeight="1" ht="14.0">
      <c r="A1388" t="s">
        <v>4325</v>
      </c>
      <c r="B1388" s="153" t="s">
        <v>4326</v>
      </c>
      <c r="C1388">
        <v>201.0</v>
      </c>
      <c r="D1388">
        <v>97.64</v>
      </c>
      <c r="E1388">
        <v>0.4858</v>
      </c>
      <c r="F1388" t="s">
        <v>3197</v>
      </c>
      <c r="G1388" t="s">
        <v>2962</v>
      </c>
      <c r="H1388" t="s">
        <v>3455</v>
      </c>
    </row>
    <row r="1389" customHeight="1" ht="14.0">
      <c r="A1389" t="s">
        <v>4327</v>
      </c>
      <c r="B1389" s="153" t="s">
        <v>4328</v>
      </c>
      <c r="C1389">
        <v>277.0</v>
      </c>
      <c r="D1389">
        <v>134.12</v>
      </c>
      <c r="E1389">
        <v>0.4842</v>
      </c>
      <c r="F1389" t="s">
        <v>3197</v>
      </c>
      <c r="G1389" t="s">
        <v>2962</v>
      </c>
      <c r="H1389" t="s">
        <v>3455</v>
      </c>
    </row>
    <row r="1390" customHeight="1" ht="14.0">
      <c r="A1390" t="s">
        <v>4329</v>
      </c>
      <c r="B1390" s="153" t="s">
        <v>4330</v>
      </c>
      <c r="C1390">
        <v>280.0</v>
      </c>
      <c r="D1390">
        <v>135.56</v>
      </c>
      <c r="E1390">
        <v>0.4841</v>
      </c>
      <c r="F1390" t="s">
        <v>3197</v>
      </c>
      <c r="G1390" t="s">
        <v>2962</v>
      </c>
      <c r="H1390" t="s">
        <v>3455</v>
      </c>
    </row>
    <row r="1391" customHeight="1" ht="14.0">
      <c r="A1391" t="s">
        <v>4331</v>
      </c>
      <c r="B1391" s="153" t="s">
        <v>4332</v>
      </c>
      <c r="C1391">
        <v>239.0</v>
      </c>
      <c r="D1391">
        <v>115.88</v>
      </c>
      <c r="E1391">
        <v>0.4849</v>
      </c>
      <c r="F1391" t="s">
        <v>3197</v>
      </c>
      <c r="G1391" t="s">
        <v>2962</v>
      </c>
      <c r="H1391" t="s">
        <v>3455</v>
      </c>
    </row>
    <row r="1392" customHeight="1" ht="14.0">
      <c r="A1392" t="s">
        <v>4333</v>
      </c>
      <c r="B1392" s="153" t="s">
        <v>4334</v>
      </c>
      <c r="C1392">
        <v>0.0</v>
      </c>
      <c r="D1392">
        <v>0.0</v>
      </c>
      <c r="F1392" t="s">
        <v>2942</v>
      </c>
      <c r="G1392" t="s">
        <v>2943</v>
      </c>
      <c r="H1392" t="s">
        <v>2944</v>
      </c>
      <c r="I1392" t="s">
        <v>197</v>
      </c>
    </row>
    <row r="1393" customHeight="1" ht="14.0">
      <c r="A1393" t="s">
        <v>4335</v>
      </c>
      <c r="B1393" s="153" t="s">
        <v>4336</v>
      </c>
      <c r="C1393">
        <v>0.0</v>
      </c>
      <c r="D1393">
        <v>0.0</v>
      </c>
      <c r="F1393" t="s">
        <v>2942</v>
      </c>
      <c r="G1393" t="s">
        <v>2943</v>
      </c>
      <c r="H1393" t="s">
        <v>2944</v>
      </c>
      <c r="I1393" t="s">
        <v>197</v>
      </c>
    </row>
    <row r="1394" customHeight="1" ht="14.0">
      <c r="A1394" t="s">
        <v>4337</v>
      </c>
      <c r="B1394" s="153" t="s">
        <v>4338</v>
      </c>
      <c r="C1394">
        <v>0.0</v>
      </c>
      <c r="D1394">
        <v>0.0</v>
      </c>
      <c r="F1394" t="s">
        <v>2942</v>
      </c>
      <c r="G1394" t="s">
        <v>2943</v>
      </c>
      <c r="H1394" t="s">
        <v>2944</v>
      </c>
      <c r="I1394" t="s">
        <v>4339</v>
      </c>
    </row>
    <row r="1395" customHeight="1" ht="14.0">
      <c r="A1395" t="s">
        <v>4340</v>
      </c>
      <c r="B1395" s="153" t="s">
        <v>4341</v>
      </c>
      <c r="C1395">
        <v>4.0</v>
      </c>
      <c r="D1395">
        <v>0.13</v>
      </c>
      <c r="E1395">
        <v>0.0325</v>
      </c>
      <c r="F1395" t="s">
        <v>2942</v>
      </c>
      <c r="G1395" t="s">
        <v>2962</v>
      </c>
      <c r="H1395" t="s">
        <v>3161</v>
      </c>
    </row>
    <row r="1396" customHeight="1" ht="14.0">
      <c r="A1396" t="s">
        <v>4342</v>
      </c>
      <c r="B1396" s="153" t="s">
        <v>4343</v>
      </c>
      <c r="C1396">
        <v>180.0</v>
      </c>
      <c r="D1396">
        <v>99.0</v>
      </c>
      <c r="E1396">
        <v>0.55</v>
      </c>
      <c r="F1396" t="s">
        <v>2942</v>
      </c>
      <c r="G1396" t="s">
        <v>2962</v>
      </c>
      <c r="H1396" t="s">
        <v>3161</v>
      </c>
      <c r="I1396" t="s">
        <v>3167</v>
      </c>
    </row>
    <row r="1397" customHeight="1" ht="14.0">
      <c r="A1397" t="s">
        <v>4344</v>
      </c>
      <c r="B1397" s="153" t="s">
        <v>4345</v>
      </c>
      <c r="C1397">
        <v>451.0</v>
      </c>
      <c r="D1397">
        <v>225.5</v>
      </c>
      <c r="E1397">
        <v>0.5</v>
      </c>
      <c r="F1397" t="s">
        <v>2942</v>
      </c>
      <c r="G1397" t="s">
        <v>2962</v>
      </c>
      <c r="H1397" t="s">
        <v>3161</v>
      </c>
      <c r="I1397" t="s">
        <v>3447</v>
      </c>
    </row>
    <row r="1398" customHeight="1" ht="14.0">
      <c r="A1398" t="s">
        <v>4346</v>
      </c>
      <c r="B1398" s="153" t="s">
        <v>4347</v>
      </c>
      <c r="C1398">
        <v>0.0</v>
      </c>
      <c r="D1398">
        <v>0.0</v>
      </c>
      <c r="F1398" t="s">
        <v>2942</v>
      </c>
      <c r="G1398" t="s">
        <v>2943</v>
      </c>
      <c r="H1398" t="s">
        <v>2944</v>
      </c>
      <c r="I1398" t="s">
        <v>4348</v>
      </c>
    </row>
    <row r="1399" customHeight="1" ht="14.0">
      <c r="A1399" t="s">
        <v>4349</v>
      </c>
      <c r="B1399" s="153" t="s">
        <v>4350</v>
      </c>
      <c r="C1399">
        <v>0.0</v>
      </c>
      <c r="D1399">
        <v>0.0</v>
      </c>
      <c r="F1399" t="s">
        <v>2942</v>
      </c>
      <c r="G1399" t="s">
        <v>2943</v>
      </c>
      <c r="H1399" t="s">
        <v>2944</v>
      </c>
      <c r="I1399" t="s">
        <v>401</v>
      </c>
    </row>
    <row r="1400" customHeight="1" ht="14.0">
      <c r="A1400" t="s">
        <v>4351</v>
      </c>
      <c r="B1400" s="153" t="s">
        <v>4352</v>
      </c>
      <c r="C1400">
        <v>0.0</v>
      </c>
      <c r="D1400">
        <v>0.0</v>
      </c>
      <c r="F1400" t="s">
        <v>2942</v>
      </c>
      <c r="G1400" t="s">
        <v>2943</v>
      </c>
      <c r="H1400" t="s">
        <v>2944</v>
      </c>
      <c r="I1400" t="s">
        <v>228</v>
      </c>
    </row>
    <row r="1401" customHeight="1" ht="14.0">
      <c r="A1401" t="s">
        <v>4353</v>
      </c>
      <c r="B1401" s="153">
        <v>92402.0</v>
      </c>
      <c r="C1401">
        <v>0.0</v>
      </c>
      <c r="D1401">
        <v>0.0</v>
      </c>
      <c r="F1401" t="s">
        <v>2942</v>
      </c>
      <c r="G1401" t="s">
        <v>2943</v>
      </c>
      <c r="H1401" t="s">
        <v>2944</v>
      </c>
      <c r="I1401" t="s">
        <v>3680</v>
      </c>
    </row>
    <row r="1402" customHeight="1" ht="14.0">
      <c r="A1402" t="s">
        <v>4354</v>
      </c>
      <c r="B1402" s="153">
        <v>92404.0</v>
      </c>
      <c r="C1402">
        <v>0.0</v>
      </c>
      <c r="D1402">
        <v>0.0</v>
      </c>
      <c r="F1402" t="s">
        <v>2942</v>
      </c>
      <c r="G1402" t="s">
        <v>2943</v>
      </c>
      <c r="H1402" t="s">
        <v>2944</v>
      </c>
      <c r="I1402" t="s">
        <v>3680</v>
      </c>
    </row>
    <row r="1403" customHeight="1" ht="14.0">
      <c r="A1403" t="s">
        <v>4355</v>
      </c>
      <c r="B1403" s="153" t="s">
        <v>4356</v>
      </c>
      <c r="C1403">
        <v>0.0</v>
      </c>
      <c r="D1403">
        <v>0.0</v>
      </c>
      <c r="F1403" t="s">
        <v>2942</v>
      </c>
      <c r="G1403" t="s">
        <v>2943</v>
      </c>
      <c r="H1403" t="s">
        <v>2944</v>
      </c>
      <c r="I1403" t="s">
        <v>3450</v>
      </c>
    </row>
    <row r="1404" customHeight="1" ht="14.0">
      <c r="A1404" t="s">
        <v>4357</v>
      </c>
      <c r="B1404" s="153" t="s">
        <v>4358</v>
      </c>
      <c r="C1404">
        <v>0.0</v>
      </c>
      <c r="D1404">
        <v>0.0</v>
      </c>
      <c r="F1404" t="s">
        <v>2942</v>
      </c>
      <c r="G1404" t="s">
        <v>2943</v>
      </c>
      <c r="H1404" t="s">
        <v>2944</v>
      </c>
      <c r="I1404" t="s">
        <v>3450</v>
      </c>
    </row>
    <row r="1405" customHeight="1" ht="14.0">
      <c r="A1405" t="s">
        <v>4359</v>
      </c>
      <c r="B1405" s="153" t="s">
        <v>4360</v>
      </c>
      <c r="C1405">
        <v>0.0</v>
      </c>
      <c r="D1405">
        <v>0.0</v>
      </c>
      <c r="F1405" t="s">
        <v>2942</v>
      </c>
      <c r="G1405" t="s">
        <v>2943</v>
      </c>
      <c r="H1405" t="s">
        <v>2944</v>
      </c>
      <c r="I1405" t="s">
        <v>3021</v>
      </c>
    </row>
    <row r="1406" customHeight="1" ht="14.0">
      <c r="A1406" t="s">
        <v>4361</v>
      </c>
      <c r="B1406" s="153" t="s">
        <v>4362</v>
      </c>
      <c r="C1406">
        <v>0.0</v>
      </c>
      <c r="D1406">
        <v>0.0</v>
      </c>
      <c r="F1406" t="s">
        <v>2942</v>
      </c>
      <c r="G1406" t="s">
        <v>2943</v>
      </c>
      <c r="H1406" t="s">
        <v>2944</v>
      </c>
      <c r="I1406" t="s">
        <v>3450</v>
      </c>
    </row>
    <row r="1407" customHeight="1" ht="14.0">
      <c r="A1407" t="s">
        <v>4363</v>
      </c>
      <c r="B1407" s="153" t="s">
        <v>4364</v>
      </c>
      <c r="C1407">
        <v>0.0</v>
      </c>
      <c r="D1407">
        <v>0.0</v>
      </c>
      <c r="F1407" t="s">
        <v>2942</v>
      </c>
      <c r="G1407" t="s">
        <v>2943</v>
      </c>
      <c r="H1407" t="s">
        <v>2944</v>
      </c>
      <c r="I1407" t="s">
        <v>3450</v>
      </c>
    </row>
    <row r="1408" customHeight="1" ht="14.0">
      <c r="A1408" t="s">
        <v>4365</v>
      </c>
      <c r="B1408" s="153" t="s">
        <v>4366</v>
      </c>
      <c r="C1408">
        <v>0.0</v>
      </c>
      <c r="D1408">
        <v>0.0</v>
      </c>
      <c r="F1408" t="s">
        <v>2942</v>
      </c>
      <c r="G1408" t="s">
        <v>2943</v>
      </c>
      <c r="H1408" t="s">
        <v>2944</v>
      </c>
      <c r="I1408" t="s">
        <v>3450</v>
      </c>
    </row>
    <row r="1409" customHeight="1" ht="14.0">
      <c r="A1409" t="s">
        <v>4367</v>
      </c>
      <c r="B1409" s="153" t="s">
        <v>4368</v>
      </c>
      <c r="C1409">
        <v>0.0</v>
      </c>
      <c r="D1409">
        <v>0.0</v>
      </c>
      <c r="F1409" t="s">
        <v>2942</v>
      </c>
      <c r="G1409" t="s">
        <v>2943</v>
      </c>
      <c r="H1409" t="s">
        <v>2944</v>
      </c>
      <c r="I1409" t="s">
        <v>3450</v>
      </c>
    </row>
    <row r="1410" customHeight="1" ht="14.0">
      <c r="A1410" t="s">
        <v>4369</v>
      </c>
      <c r="B1410" s="153" t="s">
        <v>4370</v>
      </c>
      <c r="C1410">
        <v>0.0</v>
      </c>
      <c r="D1410">
        <v>0.0</v>
      </c>
      <c r="F1410" t="s">
        <v>2942</v>
      </c>
      <c r="G1410" t="s">
        <v>2943</v>
      </c>
      <c r="H1410" t="s">
        <v>2944</v>
      </c>
      <c r="I1410" t="s">
        <v>3450</v>
      </c>
    </row>
    <row r="1411" customHeight="1" ht="14.0">
      <c r="A1411" t="s">
        <v>4371</v>
      </c>
      <c r="B1411" s="153" t="s">
        <v>4372</v>
      </c>
      <c r="C1411">
        <v>0.0</v>
      </c>
      <c r="D1411">
        <v>0.0</v>
      </c>
      <c r="F1411" t="s">
        <v>2942</v>
      </c>
      <c r="G1411" t="s">
        <v>2943</v>
      </c>
      <c r="H1411" t="s">
        <v>2944</v>
      </c>
      <c r="I1411" t="s">
        <v>3450</v>
      </c>
    </row>
    <row r="1412" customHeight="1" ht="14.0">
      <c r="A1412" t="s">
        <v>4373</v>
      </c>
      <c r="B1412" s="153" t="s">
        <v>4374</v>
      </c>
      <c r="C1412">
        <v>0.0</v>
      </c>
      <c r="D1412">
        <v>0.0</v>
      </c>
      <c r="F1412" t="s">
        <v>2942</v>
      </c>
      <c r="G1412" t="s">
        <v>2943</v>
      </c>
      <c r="H1412" t="s">
        <v>2944</v>
      </c>
      <c r="I1412" t="s">
        <v>3450</v>
      </c>
    </row>
    <row r="1413" customHeight="1" ht="14.0">
      <c r="A1413" t="s">
        <v>4375</v>
      </c>
      <c r="B1413" s="153" t="s">
        <v>4376</v>
      </c>
      <c r="C1413">
        <v>0.0</v>
      </c>
      <c r="D1413">
        <v>0.0</v>
      </c>
      <c r="F1413" t="s">
        <v>2942</v>
      </c>
      <c r="G1413" t="s">
        <v>2943</v>
      </c>
      <c r="H1413" t="s">
        <v>2944</v>
      </c>
      <c r="I1413" t="s">
        <v>3450</v>
      </c>
    </row>
    <row r="1414" customHeight="1" ht="14.0">
      <c r="A1414" t="s">
        <v>1882</v>
      </c>
      <c r="B1414" s="153" t="s">
        <v>1883</v>
      </c>
      <c r="C1414">
        <v>0.0</v>
      </c>
      <c r="D1414">
        <v>0.0</v>
      </c>
      <c r="F1414" t="s">
        <v>2942</v>
      </c>
      <c r="G1414" t="s">
        <v>2943</v>
      </c>
      <c r="H1414" t="s">
        <v>2944</v>
      </c>
      <c r="I1414" t="s">
        <v>3134</v>
      </c>
    </row>
    <row r="1415" customHeight="1" ht="14.0">
      <c r="A1415" t="s">
        <v>1884</v>
      </c>
      <c r="B1415" s="153" t="s">
        <v>1885</v>
      </c>
      <c r="C1415">
        <v>0.0</v>
      </c>
      <c r="D1415">
        <v>0.0</v>
      </c>
      <c r="F1415" t="s">
        <v>2942</v>
      </c>
      <c r="G1415" t="s">
        <v>2943</v>
      </c>
      <c r="H1415" t="s">
        <v>2963</v>
      </c>
      <c r="I1415" t="s">
        <v>3134</v>
      </c>
    </row>
    <row r="1416" customHeight="1" ht="14.0">
      <c r="A1416" t="s">
        <v>1886</v>
      </c>
      <c r="B1416" s="153" t="s">
        <v>1887</v>
      </c>
      <c r="C1416">
        <v>0.0</v>
      </c>
      <c r="D1416">
        <v>0.0</v>
      </c>
      <c r="F1416" t="s">
        <v>2942</v>
      </c>
      <c r="G1416" t="s">
        <v>2943</v>
      </c>
      <c r="H1416" t="s">
        <v>2963</v>
      </c>
      <c r="I1416" t="s">
        <v>3134</v>
      </c>
    </row>
    <row r="1417" customHeight="1" ht="14.0">
      <c r="A1417" t="s">
        <v>4377</v>
      </c>
      <c r="B1417" s="153" t="s">
        <v>4378</v>
      </c>
      <c r="C1417">
        <v>0.0</v>
      </c>
      <c r="D1417">
        <v>0.0</v>
      </c>
      <c r="F1417" t="s">
        <v>2942</v>
      </c>
      <c r="G1417" t="s">
        <v>2943</v>
      </c>
      <c r="H1417" t="s">
        <v>2944</v>
      </c>
      <c r="I1417" t="s">
        <v>3450</v>
      </c>
    </row>
    <row r="1418" customHeight="1" ht="14.0">
      <c r="A1418" t="s">
        <v>4379</v>
      </c>
      <c r="B1418" s="153" t="s">
        <v>4380</v>
      </c>
      <c r="C1418">
        <v>0.0</v>
      </c>
      <c r="D1418">
        <v>0.0</v>
      </c>
      <c r="F1418" t="s">
        <v>2942</v>
      </c>
      <c r="G1418" t="s">
        <v>2943</v>
      </c>
      <c r="H1418" t="s">
        <v>2944</v>
      </c>
      <c r="I1418" t="s">
        <v>3450</v>
      </c>
    </row>
    <row r="1419" customHeight="1" ht="14.0">
      <c r="A1419" t="s">
        <v>4381</v>
      </c>
      <c r="B1419" s="153" t="s">
        <v>4382</v>
      </c>
      <c r="C1419">
        <v>0.0</v>
      </c>
      <c r="D1419">
        <v>0.0</v>
      </c>
      <c r="F1419" t="s">
        <v>2942</v>
      </c>
      <c r="G1419" t="s">
        <v>2943</v>
      </c>
      <c r="H1419" t="s">
        <v>2944</v>
      </c>
      <c r="I1419" t="s">
        <v>3450</v>
      </c>
    </row>
    <row r="1420" customHeight="1" ht="14.0">
      <c r="A1420" t="s">
        <v>4383</v>
      </c>
      <c r="B1420" s="153" t="s">
        <v>4384</v>
      </c>
      <c r="C1420">
        <v>0.0</v>
      </c>
      <c r="D1420">
        <v>0.0</v>
      </c>
      <c r="F1420" t="s">
        <v>2942</v>
      </c>
      <c r="G1420" t="s">
        <v>2943</v>
      </c>
      <c r="H1420" t="s">
        <v>2944</v>
      </c>
      <c r="I1420" t="s">
        <v>3450</v>
      </c>
    </row>
    <row r="1421" customHeight="1" ht="14.0">
      <c r="A1421" t="s">
        <v>4385</v>
      </c>
      <c r="B1421" s="153" t="s">
        <v>4386</v>
      </c>
      <c r="C1421">
        <v>0.0</v>
      </c>
      <c r="D1421">
        <v>0.0</v>
      </c>
      <c r="F1421" t="s">
        <v>2942</v>
      </c>
      <c r="G1421" t="s">
        <v>2943</v>
      </c>
      <c r="H1421" t="s">
        <v>2944</v>
      </c>
      <c r="I1421" t="s">
        <v>3450</v>
      </c>
    </row>
    <row r="1422" customHeight="1" ht="14.0">
      <c r="A1422" t="s">
        <v>4387</v>
      </c>
      <c r="B1422" s="153" t="s">
        <v>4388</v>
      </c>
      <c r="C1422">
        <v>0.0</v>
      </c>
      <c r="D1422">
        <v>0.0</v>
      </c>
      <c r="F1422" t="s">
        <v>2942</v>
      </c>
      <c r="G1422" t="s">
        <v>2943</v>
      </c>
      <c r="H1422" t="s">
        <v>2944</v>
      </c>
      <c r="I1422" t="s">
        <v>3450</v>
      </c>
    </row>
    <row r="1423" customHeight="1" ht="14.0">
      <c r="A1423" t="s">
        <v>1888</v>
      </c>
      <c r="B1423" s="153" t="s">
        <v>1889</v>
      </c>
      <c r="C1423">
        <v>0.0</v>
      </c>
      <c r="D1423">
        <v>0.0</v>
      </c>
      <c r="F1423" t="s">
        <v>2942</v>
      </c>
      <c r="G1423" t="s">
        <v>2943</v>
      </c>
      <c r="H1423" t="s">
        <v>2944</v>
      </c>
      <c r="I1423" t="s">
        <v>3450</v>
      </c>
    </row>
    <row r="1424" customHeight="1" ht="14.0">
      <c r="A1424" t="s">
        <v>4389</v>
      </c>
      <c r="B1424" s="153" t="s">
        <v>4390</v>
      </c>
      <c r="C1424">
        <v>0.0</v>
      </c>
      <c r="D1424">
        <v>0.0</v>
      </c>
      <c r="F1424" t="s">
        <v>2942</v>
      </c>
      <c r="G1424" t="s">
        <v>2943</v>
      </c>
      <c r="H1424" t="s">
        <v>2944</v>
      </c>
      <c r="I1424" t="s">
        <v>3021</v>
      </c>
    </row>
    <row r="1425" customHeight="1" ht="14.0">
      <c r="A1425" t="s">
        <v>4391</v>
      </c>
      <c r="B1425" s="153" t="s">
        <v>4392</v>
      </c>
      <c r="C1425">
        <v>0.0</v>
      </c>
      <c r="D1425">
        <v>0.0</v>
      </c>
      <c r="F1425" t="s">
        <v>2942</v>
      </c>
      <c r="G1425" t="s">
        <v>2943</v>
      </c>
      <c r="H1425" t="s">
        <v>2944</v>
      </c>
      <c r="I1425" t="s">
        <v>3450</v>
      </c>
    </row>
    <row r="1426" customHeight="1" ht="14.0">
      <c r="A1426" t="s">
        <v>4393</v>
      </c>
      <c r="B1426" s="153" t="s">
        <v>4394</v>
      </c>
      <c r="C1426">
        <v>0.0</v>
      </c>
      <c r="D1426">
        <v>0.0</v>
      </c>
      <c r="F1426" t="s">
        <v>2942</v>
      </c>
      <c r="G1426" t="s">
        <v>2943</v>
      </c>
      <c r="H1426" t="s">
        <v>2944</v>
      </c>
      <c r="I1426" t="s">
        <v>3450</v>
      </c>
    </row>
    <row r="1427" customHeight="1" ht="14.0">
      <c r="A1427" t="s">
        <v>4395</v>
      </c>
      <c r="B1427" s="153" t="s">
        <v>4396</v>
      </c>
      <c r="C1427">
        <v>0.0</v>
      </c>
      <c r="D1427">
        <v>0.0</v>
      </c>
      <c r="F1427" t="s">
        <v>2942</v>
      </c>
      <c r="G1427" t="s">
        <v>2943</v>
      </c>
      <c r="H1427" t="s">
        <v>2944</v>
      </c>
      <c r="I1427" t="s">
        <v>3450</v>
      </c>
    </row>
    <row r="1428" customHeight="1" ht="14.0">
      <c r="A1428" t="s">
        <v>4397</v>
      </c>
      <c r="B1428" s="153" t="s">
        <v>4398</v>
      </c>
      <c r="C1428">
        <v>0.0</v>
      </c>
      <c r="D1428">
        <v>0.0</v>
      </c>
      <c r="F1428" t="s">
        <v>2942</v>
      </c>
      <c r="G1428" t="s">
        <v>2943</v>
      </c>
      <c r="H1428" t="s">
        <v>2944</v>
      </c>
      <c r="I1428" t="s">
        <v>3450</v>
      </c>
    </row>
    <row r="1429" customHeight="1" ht="14.0">
      <c r="A1429" t="s">
        <v>4399</v>
      </c>
      <c r="B1429" s="153" t="s">
        <v>4400</v>
      </c>
      <c r="C1429">
        <v>0.0</v>
      </c>
      <c r="D1429">
        <v>0.0</v>
      </c>
      <c r="F1429" t="s">
        <v>2942</v>
      </c>
      <c r="G1429" t="s">
        <v>2943</v>
      </c>
      <c r="H1429" t="s">
        <v>2944</v>
      </c>
      <c r="I1429" t="s">
        <v>3021</v>
      </c>
    </row>
    <row r="1430" customHeight="1" ht="14.0">
      <c r="A1430" t="s">
        <v>4401</v>
      </c>
      <c r="B1430" s="153" t="s">
        <v>4402</v>
      </c>
      <c r="C1430">
        <v>0.0</v>
      </c>
      <c r="D1430">
        <v>0.0</v>
      </c>
      <c r="F1430" t="s">
        <v>2942</v>
      </c>
      <c r="G1430" t="s">
        <v>2943</v>
      </c>
      <c r="H1430" t="s">
        <v>2944</v>
      </c>
      <c r="I1430" t="s">
        <v>3450</v>
      </c>
    </row>
    <row r="1431" customHeight="1" ht="14.0">
      <c r="A1431" t="s">
        <v>4403</v>
      </c>
      <c r="B1431" s="153" t="s">
        <v>4404</v>
      </c>
      <c r="C1431">
        <v>0.0</v>
      </c>
      <c r="D1431">
        <v>0.0</v>
      </c>
      <c r="F1431" t="s">
        <v>2942</v>
      </c>
      <c r="G1431" t="s">
        <v>2943</v>
      </c>
      <c r="H1431" t="s">
        <v>2944</v>
      </c>
      <c r="I1431" t="s">
        <v>799</v>
      </c>
    </row>
    <row r="1432" customHeight="1" ht="14.0">
      <c r="A1432" t="s">
        <v>1890</v>
      </c>
      <c r="B1432" s="153" t="s">
        <v>1891</v>
      </c>
      <c r="C1432">
        <v>0.0</v>
      </c>
      <c r="D1432">
        <v>0.0</v>
      </c>
      <c r="F1432" t="s">
        <v>2942</v>
      </c>
      <c r="G1432" t="s">
        <v>2943</v>
      </c>
      <c r="H1432" t="s">
        <v>2944</v>
      </c>
      <c r="I1432" t="s">
        <v>799</v>
      </c>
    </row>
    <row r="1433" customHeight="1" ht="14.0">
      <c r="A1433" t="s">
        <v>1892</v>
      </c>
      <c r="B1433" s="153" t="s">
        <v>1893</v>
      </c>
      <c r="C1433">
        <v>84.0</v>
      </c>
      <c r="D1433">
        <v>778.8</v>
      </c>
      <c r="E1433">
        <v>9.2714</v>
      </c>
      <c r="F1433" t="s">
        <v>2942</v>
      </c>
      <c r="G1433" t="s">
        <v>2962</v>
      </c>
      <c r="H1433" t="s">
        <v>2963</v>
      </c>
      <c r="I1433" t="s">
        <v>799</v>
      </c>
    </row>
    <row r="1434" customHeight="1" ht="14.0">
      <c r="A1434" t="s">
        <v>1894</v>
      </c>
      <c r="B1434" s="153" t="s">
        <v>1895</v>
      </c>
      <c r="C1434">
        <v>0.0</v>
      </c>
      <c r="D1434">
        <v>0.0</v>
      </c>
      <c r="F1434" t="s">
        <v>2942</v>
      </c>
      <c r="G1434" t="s">
        <v>2943</v>
      </c>
      <c r="H1434" t="s">
        <v>2944</v>
      </c>
      <c r="I1434" t="s">
        <v>799</v>
      </c>
    </row>
    <row r="1435" customHeight="1" ht="14.0">
      <c r="A1435" t="s">
        <v>4405</v>
      </c>
      <c r="B1435" s="153" t="s">
        <v>4406</v>
      </c>
      <c r="C1435">
        <v>0.0</v>
      </c>
      <c r="D1435">
        <v>0.0</v>
      </c>
      <c r="F1435" t="s">
        <v>2942</v>
      </c>
      <c r="G1435" t="s">
        <v>2943</v>
      </c>
      <c r="H1435" t="s">
        <v>2944</v>
      </c>
      <c r="I1435" t="s">
        <v>799</v>
      </c>
    </row>
    <row r="1436" customHeight="1" ht="14.0">
      <c r="A1436" t="s">
        <v>1896</v>
      </c>
      <c r="B1436" s="153" t="s">
        <v>1897</v>
      </c>
      <c r="C1436">
        <v>0.0</v>
      </c>
      <c r="D1436">
        <v>0.0</v>
      </c>
      <c r="F1436" t="s">
        <v>2942</v>
      </c>
      <c r="G1436" t="s">
        <v>2943</v>
      </c>
      <c r="H1436" t="s">
        <v>2944</v>
      </c>
      <c r="I1436" t="s">
        <v>799</v>
      </c>
    </row>
    <row r="1437" customHeight="1" ht="14.0">
      <c r="A1437" t="s">
        <v>4407</v>
      </c>
      <c r="B1437" s="153" t="s">
        <v>4408</v>
      </c>
      <c r="C1437">
        <v>0.0</v>
      </c>
      <c r="D1437">
        <v>0.0</v>
      </c>
      <c r="F1437" t="s">
        <v>2942</v>
      </c>
      <c r="G1437" t="s">
        <v>2943</v>
      </c>
      <c r="H1437" t="s">
        <v>2944</v>
      </c>
      <c r="I1437" t="s">
        <v>799</v>
      </c>
    </row>
    <row r="1438" customHeight="1" ht="14.0">
      <c r="A1438" t="s">
        <v>1898</v>
      </c>
      <c r="B1438" s="153">
        <v>36804.0</v>
      </c>
      <c r="C1438">
        <v>48.0</v>
      </c>
      <c r="D1438">
        <v>299.3</v>
      </c>
      <c r="E1438">
        <v>6.2354</v>
      </c>
      <c r="F1438" t="s">
        <v>2942</v>
      </c>
      <c r="G1438" t="s">
        <v>2962</v>
      </c>
      <c r="H1438" t="s">
        <v>3741</v>
      </c>
      <c r="I1438" t="s">
        <v>3442</v>
      </c>
    </row>
    <row r="1439" customHeight="1" ht="14.0">
      <c r="A1439" t="s">
        <v>4409</v>
      </c>
      <c r="B1439" s="153">
        <v>36806.0</v>
      </c>
      <c r="C1439">
        <v>48.0</v>
      </c>
      <c r="D1439">
        <v>299.3</v>
      </c>
      <c r="E1439">
        <v>6.2354</v>
      </c>
      <c r="F1439" t="s">
        <v>2942</v>
      </c>
      <c r="G1439" t="s">
        <v>2962</v>
      </c>
      <c r="H1439" t="s">
        <v>3741</v>
      </c>
      <c r="I1439" t="s">
        <v>3442</v>
      </c>
    </row>
    <row r="1440" customHeight="1" ht="14.0">
      <c r="A1440" t="s">
        <v>1899</v>
      </c>
      <c r="B1440" s="153">
        <v>36805.0</v>
      </c>
      <c r="C1440">
        <v>87.0</v>
      </c>
      <c r="D1440">
        <v>542.51</v>
      </c>
      <c r="E1440">
        <v>6.2357</v>
      </c>
      <c r="F1440" t="s">
        <v>2942</v>
      </c>
      <c r="G1440" t="s">
        <v>2962</v>
      </c>
      <c r="H1440" t="s">
        <v>3741</v>
      </c>
      <c r="I1440" t="s">
        <v>3442</v>
      </c>
    </row>
    <row r="1441" customHeight="1" ht="14.0">
      <c r="A1441" t="s">
        <v>1900</v>
      </c>
      <c r="B1441" s="153">
        <v>36801.0</v>
      </c>
      <c r="C1441">
        <v>112.0</v>
      </c>
      <c r="D1441">
        <v>698.41</v>
      </c>
      <c r="E1441">
        <v>6.2358</v>
      </c>
      <c r="F1441" t="s">
        <v>2942</v>
      </c>
      <c r="G1441" t="s">
        <v>2962</v>
      </c>
      <c r="H1441" t="s">
        <v>3741</v>
      </c>
      <c r="I1441" t="s">
        <v>3442</v>
      </c>
    </row>
    <row r="1442" customHeight="1" ht="14.0">
      <c r="A1442" t="s">
        <v>1901</v>
      </c>
      <c r="B1442" s="153">
        <v>36803.0</v>
      </c>
      <c r="C1442">
        <v>63.0</v>
      </c>
      <c r="D1442">
        <v>392.84</v>
      </c>
      <c r="E1442">
        <v>6.2356</v>
      </c>
      <c r="F1442" t="s">
        <v>2942</v>
      </c>
      <c r="G1442" t="s">
        <v>2962</v>
      </c>
      <c r="H1442" t="s">
        <v>3741</v>
      </c>
      <c r="I1442" t="s">
        <v>3442</v>
      </c>
    </row>
    <row r="1443" customHeight="1" ht="14.0">
      <c r="A1443" t="s">
        <v>1902</v>
      </c>
      <c r="B1443" s="153">
        <v>36802.0</v>
      </c>
      <c r="C1443">
        <v>0.0</v>
      </c>
      <c r="D1443">
        <v>0.0</v>
      </c>
      <c r="F1443" t="s">
        <v>2942</v>
      </c>
      <c r="G1443" t="s">
        <v>2943</v>
      </c>
      <c r="H1443" t="s">
        <v>2944</v>
      </c>
      <c r="I1443" t="s">
        <v>3442</v>
      </c>
    </row>
    <row r="1444" customHeight="1" ht="14.0">
      <c r="A1444" t="s">
        <v>1903</v>
      </c>
      <c r="B1444" s="153" t="s">
        <v>1904</v>
      </c>
      <c r="C1444">
        <v>32.0</v>
      </c>
      <c r="D1444">
        <v>371.12</v>
      </c>
      <c r="E1444">
        <v>11.5975</v>
      </c>
      <c r="F1444" t="s">
        <v>2942</v>
      </c>
      <c r="G1444" t="s">
        <v>2962</v>
      </c>
      <c r="H1444" t="s">
        <v>3741</v>
      </c>
      <c r="I1444" t="s">
        <v>197</v>
      </c>
    </row>
    <row r="1445" customHeight="1" ht="14.0">
      <c r="A1445" t="s">
        <v>1905</v>
      </c>
      <c r="B1445" s="153" t="s">
        <v>1906</v>
      </c>
      <c r="C1445">
        <v>3.0</v>
      </c>
      <c r="D1445">
        <v>313.54</v>
      </c>
      <c r="E1445">
        <v>104.5133</v>
      </c>
      <c r="F1445" t="s">
        <v>2994</v>
      </c>
      <c r="G1445" t="s">
        <v>2962</v>
      </c>
      <c r="H1445" t="s">
        <v>3741</v>
      </c>
      <c r="I1445" t="s">
        <v>3442</v>
      </c>
    </row>
    <row r="1446" customHeight="1" ht="14.0">
      <c r="A1446" t="s">
        <v>4410</v>
      </c>
      <c r="B1446" s="153">
        <v>90403.0</v>
      </c>
      <c r="C1446">
        <v>0.0</v>
      </c>
      <c r="D1446">
        <v>0.0</v>
      </c>
      <c r="F1446" t="s">
        <v>2942</v>
      </c>
      <c r="G1446" t="s">
        <v>2943</v>
      </c>
      <c r="H1446" t="s">
        <v>2944</v>
      </c>
      <c r="I1446" t="s">
        <v>3442</v>
      </c>
    </row>
    <row r="1447" customHeight="1" ht="14.0">
      <c r="A1447" t="s">
        <v>4411</v>
      </c>
      <c r="B1447" s="153">
        <v>87307.0</v>
      </c>
      <c r="C1447">
        <v>0.0</v>
      </c>
      <c r="D1447">
        <v>0.0</v>
      </c>
      <c r="F1447" t="s">
        <v>2942</v>
      </c>
      <c r="G1447" t="s">
        <v>2943</v>
      </c>
      <c r="H1447" t="s">
        <v>2944</v>
      </c>
      <c r="I1447" t="s">
        <v>3783</v>
      </c>
    </row>
    <row r="1448" customHeight="1" ht="14.0">
      <c r="A1448" t="s">
        <v>2918</v>
      </c>
      <c r="B1448" s="153" t="s">
        <v>2919</v>
      </c>
      <c r="C1448">
        <v>0.0</v>
      </c>
      <c r="D1448">
        <v>0.0</v>
      </c>
      <c r="F1448" t="s">
        <v>2942</v>
      </c>
      <c r="G1448" t="s">
        <v>2962</v>
      </c>
      <c r="H1448" t="s">
        <v>2984</v>
      </c>
      <c r="I1448" t="s">
        <v>272</v>
      </c>
    </row>
    <row r="1449" customHeight="1" ht="14.0">
      <c r="A1449" t="s">
        <v>273</v>
      </c>
      <c r="B1449" s="153" t="s">
        <v>274</v>
      </c>
      <c r="C1449">
        <v>14.0</v>
      </c>
      <c r="D1449">
        <v>21.8</v>
      </c>
      <c r="E1449">
        <v>1.5571</v>
      </c>
      <c r="F1449" t="s">
        <v>2942</v>
      </c>
      <c r="G1449" t="s">
        <v>2962</v>
      </c>
      <c r="H1449" t="s">
        <v>2963</v>
      </c>
      <c r="I1449" t="s">
        <v>272</v>
      </c>
    </row>
    <row r="1450" customHeight="1" ht="14.0">
      <c r="A1450" t="s">
        <v>279</v>
      </c>
      <c r="B1450" s="153" t="s">
        <v>280</v>
      </c>
      <c r="C1450">
        <v>226.0</v>
      </c>
      <c r="D1450">
        <v>359.39</v>
      </c>
      <c r="E1450">
        <v>1.5902</v>
      </c>
      <c r="F1450" t="s">
        <v>2942</v>
      </c>
      <c r="G1450" t="s">
        <v>2962</v>
      </c>
      <c r="H1450" t="s">
        <v>2963</v>
      </c>
      <c r="I1450" t="s">
        <v>272</v>
      </c>
    </row>
    <row r="1451" customHeight="1" ht="14.0">
      <c r="A1451" t="s">
        <v>4412</v>
      </c>
      <c r="B1451" s="153" t="s">
        <v>4413</v>
      </c>
      <c r="C1451">
        <v>294.0</v>
      </c>
      <c r="D1451">
        <v>457.53</v>
      </c>
      <c r="E1451">
        <v>1.5562</v>
      </c>
      <c r="F1451" t="s">
        <v>2942</v>
      </c>
      <c r="G1451" t="s">
        <v>2962</v>
      </c>
      <c r="H1451" t="s">
        <v>2984</v>
      </c>
      <c r="I1451" t="s">
        <v>272</v>
      </c>
    </row>
    <row r="1452" customHeight="1" ht="14.0">
      <c r="A1452" t="s">
        <v>281</v>
      </c>
      <c r="B1452" s="153" t="s">
        <v>282</v>
      </c>
      <c r="C1452">
        <v>448.0</v>
      </c>
      <c r="D1452">
        <v>661.29</v>
      </c>
      <c r="E1452">
        <v>1.4761</v>
      </c>
      <c r="F1452" t="s">
        <v>2942</v>
      </c>
      <c r="G1452" t="s">
        <v>2962</v>
      </c>
      <c r="H1452" t="s">
        <v>30</v>
      </c>
      <c r="I1452" t="s">
        <v>272</v>
      </c>
    </row>
    <row r="1453" customHeight="1" ht="14.0">
      <c r="A1453" t="s">
        <v>1907</v>
      </c>
      <c r="B1453" s="153" t="s">
        <v>1908</v>
      </c>
      <c r="C1453">
        <v>0.0</v>
      </c>
      <c r="D1453">
        <v>0.0</v>
      </c>
      <c r="F1453" t="s">
        <v>2942</v>
      </c>
      <c r="G1453" t="s">
        <v>2943</v>
      </c>
      <c r="H1453" t="s">
        <v>2963</v>
      </c>
      <c r="I1453" t="s">
        <v>272</v>
      </c>
    </row>
    <row r="1454" customHeight="1" ht="14.0">
      <c r="A1454" t="s">
        <v>1909</v>
      </c>
      <c r="B1454" s="153" t="s">
        <v>1910</v>
      </c>
      <c r="C1454">
        <v>15.0</v>
      </c>
      <c r="D1454">
        <v>21.55</v>
      </c>
      <c r="E1454">
        <v>1.4367</v>
      </c>
      <c r="F1454" t="s">
        <v>2942</v>
      </c>
      <c r="G1454" t="s">
        <v>2962</v>
      </c>
      <c r="H1454" t="s">
        <v>2963</v>
      </c>
      <c r="I1454" t="s">
        <v>272</v>
      </c>
    </row>
    <row r="1455" customHeight="1" ht="14.0">
      <c r="A1455" t="s">
        <v>1911</v>
      </c>
      <c r="B1455" s="153" t="s">
        <v>1912</v>
      </c>
      <c r="C1455">
        <v>0.0</v>
      </c>
      <c r="D1455">
        <v>0.0</v>
      </c>
      <c r="F1455" t="s">
        <v>2942</v>
      </c>
      <c r="G1455" t="s">
        <v>2943</v>
      </c>
      <c r="H1455" t="s">
        <v>2963</v>
      </c>
      <c r="I1455" t="s">
        <v>272</v>
      </c>
    </row>
    <row r="1456" customHeight="1" ht="14.0">
      <c r="A1456" t="s">
        <v>1913</v>
      </c>
      <c r="B1456" s="153" t="s">
        <v>1914</v>
      </c>
      <c r="C1456">
        <v>0.0</v>
      </c>
      <c r="D1456">
        <v>0.0</v>
      </c>
      <c r="F1456" t="s">
        <v>2942</v>
      </c>
      <c r="G1456" t="s">
        <v>2962</v>
      </c>
      <c r="H1456" t="s">
        <v>2963</v>
      </c>
      <c r="I1456" t="s">
        <v>272</v>
      </c>
    </row>
    <row r="1457" customHeight="1" ht="14.0">
      <c r="A1457" t="s">
        <v>285</v>
      </c>
      <c r="B1457" s="153" t="s">
        <v>286</v>
      </c>
      <c r="C1457">
        <v>0.0</v>
      </c>
      <c r="D1457">
        <v>0.0</v>
      </c>
      <c r="F1457" t="s">
        <v>2942</v>
      </c>
      <c r="G1457" t="s">
        <v>2962</v>
      </c>
      <c r="H1457" t="s">
        <v>2963</v>
      </c>
      <c r="I1457" t="s">
        <v>272</v>
      </c>
    </row>
    <row r="1458" customHeight="1" ht="14.0">
      <c r="A1458" t="s">
        <v>277</v>
      </c>
      <c r="B1458" s="153" t="s">
        <v>278</v>
      </c>
      <c r="C1458">
        <v>0.0</v>
      </c>
      <c r="D1458">
        <v>0.0</v>
      </c>
      <c r="F1458" t="s">
        <v>2942</v>
      </c>
      <c r="G1458" t="s">
        <v>2943</v>
      </c>
      <c r="H1458" t="s">
        <v>2963</v>
      </c>
      <c r="I1458" t="s">
        <v>272</v>
      </c>
    </row>
    <row r="1459" customHeight="1" ht="14.0">
      <c r="A1459" t="s">
        <v>4414</v>
      </c>
      <c r="B1459" s="153" t="s">
        <v>4415</v>
      </c>
      <c r="C1459">
        <v>0.0</v>
      </c>
      <c r="D1459">
        <v>0.0</v>
      </c>
      <c r="F1459" t="s">
        <v>2942</v>
      </c>
      <c r="G1459" t="s">
        <v>2943</v>
      </c>
      <c r="H1459" t="s">
        <v>2944</v>
      </c>
      <c r="I1459" t="s">
        <v>3021</v>
      </c>
    </row>
    <row r="1460" customHeight="1" ht="14.0">
      <c r="A1460" t="s">
        <v>275</v>
      </c>
      <c r="B1460" s="153" t="s">
        <v>276</v>
      </c>
      <c r="C1460">
        <v>0.0</v>
      </c>
      <c r="D1460">
        <v>0.0</v>
      </c>
      <c r="F1460" t="s">
        <v>2942</v>
      </c>
      <c r="G1460" t="s">
        <v>2962</v>
      </c>
      <c r="H1460" t="s">
        <v>30</v>
      </c>
      <c r="I1460" t="s">
        <v>272</v>
      </c>
    </row>
    <row r="1461" customHeight="1" ht="14.0">
      <c r="A1461" t="s">
        <v>4416</v>
      </c>
      <c r="B1461" s="153" t="s">
        <v>4417</v>
      </c>
      <c r="C1461">
        <v>188.0</v>
      </c>
      <c r="D1461">
        <v>292.52</v>
      </c>
      <c r="E1461">
        <v>1.556</v>
      </c>
      <c r="F1461" t="s">
        <v>2942</v>
      </c>
      <c r="G1461" t="s">
        <v>2962</v>
      </c>
      <c r="H1461" t="s">
        <v>2984</v>
      </c>
      <c r="I1461" t="s">
        <v>272</v>
      </c>
    </row>
    <row r="1462" customHeight="1" ht="14.0">
      <c r="A1462" t="s">
        <v>283</v>
      </c>
      <c r="B1462" s="153" t="s">
        <v>284</v>
      </c>
      <c r="C1462">
        <v>0.0</v>
      </c>
      <c r="D1462">
        <v>0.0</v>
      </c>
      <c r="F1462" t="s">
        <v>2942</v>
      </c>
      <c r="G1462" t="s">
        <v>2962</v>
      </c>
      <c r="H1462" t="s">
        <v>2963</v>
      </c>
      <c r="I1462" t="s">
        <v>272</v>
      </c>
    </row>
    <row r="1463" customHeight="1" ht="14.0">
      <c r="A1463" t="s">
        <v>1915</v>
      </c>
      <c r="B1463" s="153" t="s">
        <v>1916</v>
      </c>
      <c r="C1463">
        <v>0.0</v>
      </c>
      <c r="D1463">
        <v>0.0</v>
      </c>
      <c r="F1463" t="s">
        <v>2942</v>
      </c>
      <c r="G1463" t="s">
        <v>2943</v>
      </c>
      <c r="H1463" t="s">
        <v>2963</v>
      </c>
      <c r="I1463" t="s">
        <v>272</v>
      </c>
    </row>
    <row r="1464" customHeight="1" ht="14.0">
      <c r="A1464" t="s">
        <v>4418</v>
      </c>
      <c r="B1464" s="153" t="s">
        <v>4419</v>
      </c>
      <c r="C1464">
        <v>0.0</v>
      </c>
      <c r="D1464">
        <v>0.0</v>
      </c>
      <c r="F1464" t="s">
        <v>2942</v>
      </c>
      <c r="G1464" t="s">
        <v>2943</v>
      </c>
      <c r="H1464" t="s">
        <v>2944</v>
      </c>
      <c r="I1464" t="s">
        <v>3024</v>
      </c>
    </row>
    <row r="1465" customHeight="1" ht="14.0">
      <c r="A1465" t="s">
        <v>4420</v>
      </c>
      <c r="B1465" s="153" t="s">
        <v>4421</v>
      </c>
      <c r="C1465">
        <v>0.0</v>
      </c>
      <c r="D1465">
        <v>0.0</v>
      </c>
      <c r="F1465" t="s">
        <v>2942</v>
      </c>
      <c r="G1465" t="s">
        <v>2943</v>
      </c>
      <c r="H1465" t="s">
        <v>2944</v>
      </c>
      <c r="I1465" t="s">
        <v>3024</v>
      </c>
    </row>
    <row r="1466" customHeight="1" ht="14.0">
      <c r="A1466" t="s">
        <v>287</v>
      </c>
      <c r="B1466" s="153" t="s">
        <v>288</v>
      </c>
      <c r="C1466">
        <v>0.0</v>
      </c>
      <c r="D1466">
        <v>0.0</v>
      </c>
      <c r="F1466" t="s">
        <v>2942</v>
      </c>
      <c r="G1466" t="s">
        <v>2962</v>
      </c>
      <c r="H1466" t="s">
        <v>30</v>
      </c>
      <c r="I1466" t="s">
        <v>272</v>
      </c>
    </row>
    <row r="1467" customHeight="1" ht="14.0">
      <c r="A1467" t="s">
        <v>4422</v>
      </c>
      <c r="B1467" s="153" t="s">
        <v>1918</v>
      </c>
      <c r="C1467">
        <v>8.0</v>
      </c>
      <c r="D1467">
        <v>69.36</v>
      </c>
      <c r="E1467">
        <v>8.67</v>
      </c>
      <c r="F1467" t="s">
        <v>2942</v>
      </c>
      <c r="G1467" t="s">
        <v>2962</v>
      </c>
      <c r="I1467" t="s">
        <v>197</v>
      </c>
    </row>
    <row r="1468" customHeight="1" ht="14.0">
      <c r="A1468" t="s">
        <v>4423</v>
      </c>
      <c r="B1468" s="153" t="s">
        <v>4424</v>
      </c>
      <c r="C1468">
        <v>50.0</v>
      </c>
      <c r="D1468">
        <v>0.01</v>
      </c>
      <c r="E1468">
        <v>2.0E-4</v>
      </c>
      <c r="F1468" t="s">
        <v>2942</v>
      </c>
      <c r="G1468" t="s">
        <v>2962</v>
      </c>
      <c r="H1468" t="s">
        <v>4425</v>
      </c>
      <c r="I1468" t="s">
        <v>4426</v>
      </c>
    </row>
    <row r="1469" customHeight="1" ht="14.0">
      <c r="A1469" t="s">
        <v>4427</v>
      </c>
      <c r="B1469" s="153" t="s">
        <v>4428</v>
      </c>
      <c r="C1469">
        <v>55.0</v>
      </c>
      <c r="D1469">
        <v>0.01</v>
      </c>
      <c r="E1469">
        <v>2.0E-4</v>
      </c>
      <c r="F1469" t="s">
        <v>2942</v>
      </c>
      <c r="G1469" t="s">
        <v>2962</v>
      </c>
      <c r="H1469" t="s">
        <v>4425</v>
      </c>
      <c r="I1469" t="s">
        <v>4426</v>
      </c>
    </row>
    <row r="1470" customHeight="1" ht="14.0">
      <c r="A1470" t="s">
        <v>4429</v>
      </c>
      <c r="B1470" s="153" t="s">
        <v>4430</v>
      </c>
      <c r="C1470">
        <v>1.0</v>
      </c>
      <c r="D1470">
        <v>1138.57</v>
      </c>
      <c r="E1470">
        <v>1138.57</v>
      </c>
      <c r="F1470" t="s">
        <v>2942</v>
      </c>
      <c r="G1470" t="s">
        <v>2962</v>
      </c>
      <c r="H1470" t="s">
        <v>4425</v>
      </c>
      <c r="I1470" t="s">
        <v>4426</v>
      </c>
    </row>
    <row r="1471" customHeight="1" ht="14.0">
      <c r="A1471" t="s">
        <v>4431</v>
      </c>
      <c r="B1471" s="153" t="s">
        <v>4432</v>
      </c>
      <c r="C1471">
        <v>50.0</v>
      </c>
      <c r="D1471">
        <v>0.01</v>
      </c>
      <c r="E1471">
        <v>2.0E-4</v>
      </c>
      <c r="F1471" t="s">
        <v>2942</v>
      </c>
      <c r="G1471" t="s">
        <v>2962</v>
      </c>
      <c r="H1471" t="s">
        <v>4425</v>
      </c>
      <c r="I1471" t="s">
        <v>4426</v>
      </c>
    </row>
    <row r="1472" customHeight="1" ht="14.0">
      <c r="A1472" t="s">
        <v>4433</v>
      </c>
      <c r="B1472" s="153" t="s">
        <v>4434</v>
      </c>
      <c r="C1472">
        <v>0.0</v>
      </c>
      <c r="D1472">
        <v>0.0</v>
      </c>
      <c r="F1472" t="s">
        <v>2942</v>
      </c>
      <c r="G1472" t="s">
        <v>2962</v>
      </c>
      <c r="H1472" t="s">
        <v>4425</v>
      </c>
      <c r="I1472" t="s">
        <v>4426</v>
      </c>
    </row>
    <row r="1473" customHeight="1" ht="14.0">
      <c r="A1473" t="s">
        <v>4435</v>
      </c>
      <c r="B1473" s="153" t="s">
        <v>4436</v>
      </c>
      <c r="C1473">
        <v>50.0</v>
      </c>
      <c r="D1473">
        <v>0.01</v>
      </c>
      <c r="E1473">
        <v>2.0E-4</v>
      </c>
      <c r="F1473" t="s">
        <v>2942</v>
      </c>
      <c r="G1473" t="s">
        <v>2962</v>
      </c>
      <c r="H1473" t="s">
        <v>4425</v>
      </c>
      <c r="I1473" t="s">
        <v>4426</v>
      </c>
    </row>
    <row r="1474" customHeight="1" ht="14.0">
      <c r="A1474" t="s">
        <v>4437</v>
      </c>
      <c r="B1474" s="153" t="s">
        <v>4438</v>
      </c>
      <c r="C1474">
        <v>0.0</v>
      </c>
      <c r="D1474">
        <v>0.0</v>
      </c>
      <c r="F1474" t="s">
        <v>2942</v>
      </c>
      <c r="G1474" t="s">
        <v>2943</v>
      </c>
      <c r="H1474" t="s">
        <v>2944</v>
      </c>
      <c r="I1474" t="s">
        <v>4426</v>
      </c>
    </row>
    <row r="1475" customHeight="1" ht="14.0">
      <c r="A1475" t="s">
        <v>4439</v>
      </c>
      <c r="B1475" s="153" t="s">
        <v>4440</v>
      </c>
      <c r="C1475">
        <v>50.0</v>
      </c>
      <c r="D1475">
        <v>0.01</v>
      </c>
      <c r="E1475">
        <v>2.0E-4</v>
      </c>
      <c r="F1475" t="s">
        <v>2942</v>
      </c>
      <c r="G1475" t="s">
        <v>2962</v>
      </c>
      <c r="H1475" t="s">
        <v>4425</v>
      </c>
      <c r="I1475" t="s">
        <v>4426</v>
      </c>
    </row>
    <row r="1476" customHeight="1" ht="14.0">
      <c r="A1476" t="s">
        <v>4441</v>
      </c>
      <c r="B1476" s="153" t="s">
        <v>4442</v>
      </c>
      <c r="C1476">
        <v>0.0</v>
      </c>
      <c r="D1476">
        <v>0.0</v>
      </c>
      <c r="F1476" t="s">
        <v>2942</v>
      </c>
      <c r="G1476" t="s">
        <v>2962</v>
      </c>
      <c r="H1476" t="s">
        <v>4425</v>
      </c>
      <c r="I1476" t="s">
        <v>4426</v>
      </c>
    </row>
    <row r="1477" customHeight="1" ht="14.0">
      <c r="A1477" t="s">
        <v>4443</v>
      </c>
      <c r="B1477" s="153" t="s">
        <v>4444</v>
      </c>
      <c r="C1477">
        <v>43.0</v>
      </c>
      <c r="D1477">
        <v>119.97</v>
      </c>
      <c r="E1477">
        <v>2.79</v>
      </c>
      <c r="F1477" t="s">
        <v>2942</v>
      </c>
      <c r="G1477" t="s">
        <v>2962</v>
      </c>
      <c r="H1477" t="s">
        <v>4425</v>
      </c>
      <c r="I1477" t="s">
        <v>4426</v>
      </c>
    </row>
    <row r="1478" customHeight="1" ht="14.0">
      <c r="A1478" t="s">
        <v>4445</v>
      </c>
      <c r="B1478" s="153" t="s">
        <v>4446</v>
      </c>
      <c r="C1478">
        <v>0.0</v>
      </c>
      <c r="D1478">
        <v>0.0</v>
      </c>
      <c r="F1478" t="s">
        <v>2942</v>
      </c>
      <c r="G1478" t="s">
        <v>2943</v>
      </c>
      <c r="H1478" t="s">
        <v>2944</v>
      </c>
      <c r="I1478" t="s">
        <v>4426</v>
      </c>
    </row>
    <row r="1479" customHeight="1" ht="14.0">
      <c r="A1479" t="s">
        <v>4447</v>
      </c>
      <c r="B1479" s="153" t="s">
        <v>4448</v>
      </c>
      <c r="C1479">
        <v>50.0</v>
      </c>
      <c r="D1479">
        <v>0.01</v>
      </c>
      <c r="E1479">
        <v>2.0E-4</v>
      </c>
      <c r="F1479" t="s">
        <v>2942</v>
      </c>
      <c r="G1479" t="s">
        <v>2962</v>
      </c>
      <c r="H1479" t="s">
        <v>4425</v>
      </c>
      <c r="I1479" t="s">
        <v>4426</v>
      </c>
    </row>
    <row r="1480" customHeight="1" ht="14.0">
      <c r="A1480" t="s">
        <v>4449</v>
      </c>
      <c r="B1480" s="153" t="s">
        <v>4450</v>
      </c>
      <c r="C1480">
        <v>0.0</v>
      </c>
      <c r="D1480">
        <v>0.0</v>
      </c>
      <c r="F1480" t="s">
        <v>2942</v>
      </c>
      <c r="G1480" t="s">
        <v>2943</v>
      </c>
      <c r="H1480" t="s">
        <v>2944</v>
      </c>
      <c r="I1480" t="s">
        <v>4426</v>
      </c>
    </row>
    <row r="1481" customHeight="1" ht="14.0">
      <c r="A1481" t="s">
        <v>4451</v>
      </c>
      <c r="B1481" s="153" t="s">
        <v>4452</v>
      </c>
      <c r="C1481">
        <v>0.0</v>
      </c>
      <c r="D1481">
        <v>0.0</v>
      </c>
      <c r="F1481" t="s">
        <v>2942</v>
      </c>
      <c r="G1481" t="s">
        <v>2943</v>
      </c>
      <c r="H1481" t="s">
        <v>2944</v>
      </c>
      <c r="I1481" t="s">
        <v>4348</v>
      </c>
    </row>
    <row r="1482" customHeight="1" ht="14.0">
      <c r="A1482" t="s">
        <v>4453</v>
      </c>
      <c r="B1482" s="153" t="s">
        <v>4454</v>
      </c>
      <c r="C1482">
        <v>0.0</v>
      </c>
      <c r="D1482">
        <v>0.0</v>
      </c>
      <c r="F1482" t="s">
        <v>2942</v>
      </c>
      <c r="G1482" t="s">
        <v>2943</v>
      </c>
      <c r="H1482" t="s">
        <v>2944</v>
      </c>
      <c r="I1482" t="s">
        <v>4348</v>
      </c>
    </row>
    <row r="1483" customHeight="1" ht="14.0">
      <c r="A1483" t="s">
        <v>4455</v>
      </c>
      <c r="B1483" s="153" t="s">
        <v>4456</v>
      </c>
      <c r="C1483">
        <v>23310.0</v>
      </c>
      <c r="D1483">
        <v>780.35</v>
      </c>
      <c r="E1483">
        <v>0.0335</v>
      </c>
      <c r="F1483" t="s">
        <v>3197</v>
      </c>
      <c r="G1483" t="s">
        <v>2962</v>
      </c>
      <c r="H1483" t="s">
        <v>3455</v>
      </c>
    </row>
    <row r="1484" customHeight="1" ht="14.0">
      <c r="A1484" t="s">
        <v>4457</v>
      </c>
      <c r="B1484" s="153" t="s">
        <v>4458</v>
      </c>
      <c r="C1484">
        <v>528.0</v>
      </c>
      <c r="D1484">
        <v>290.4</v>
      </c>
      <c r="E1484">
        <v>0.55</v>
      </c>
      <c r="F1484" t="s">
        <v>2942</v>
      </c>
      <c r="G1484" t="s">
        <v>2962</v>
      </c>
      <c r="H1484" t="s">
        <v>3161</v>
      </c>
      <c r="I1484" t="s">
        <v>3167</v>
      </c>
    </row>
    <row r="1485" customHeight="1" ht="14.0">
      <c r="A1485" t="s">
        <v>4459</v>
      </c>
      <c r="B1485" s="153" t="s">
        <v>4460</v>
      </c>
      <c r="C1485">
        <v>420.0</v>
      </c>
      <c r="D1485">
        <v>210.0</v>
      </c>
      <c r="E1485">
        <v>0.5</v>
      </c>
      <c r="F1485" t="s">
        <v>2942</v>
      </c>
      <c r="G1485" t="s">
        <v>2962</v>
      </c>
      <c r="H1485" t="s">
        <v>3161</v>
      </c>
      <c r="I1485" t="s">
        <v>3447</v>
      </c>
    </row>
    <row r="1486" customHeight="1" ht="14.0">
      <c r="A1486" t="s">
        <v>4461</v>
      </c>
      <c r="B1486" s="153" t="s">
        <v>4462</v>
      </c>
      <c r="C1486">
        <v>0.0</v>
      </c>
      <c r="D1486">
        <v>0.0</v>
      </c>
      <c r="F1486" t="s">
        <v>2942</v>
      </c>
      <c r="G1486" t="s">
        <v>2943</v>
      </c>
      <c r="H1486" t="s">
        <v>2944</v>
      </c>
      <c r="I1486" t="s">
        <v>3134</v>
      </c>
    </row>
    <row r="1487" customHeight="1" ht="14.0">
      <c r="A1487" t="s">
        <v>4463</v>
      </c>
      <c r="B1487" s="153" t="s">
        <v>4464</v>
      </c>
      <c r="C1487">
        <v>0.0</v>
      </c>
      <c r="D1487">
        <v>0.0</v>
      </c>
      <c r="F1487" t="s">
        <v>2942</v>
      </c>
      <c r="G1487" t="s">
        <v>2943</v>
      </c>
      <c r="H1487" t="s">
        <v>2944</v>
      </c>
      <c r="I1487" t="s">
        <v>3134</v>
      </c>
    </row>
    <row r="1488" customHeight="1" ht="14.0">
      <c r="A1488" t="s">
        <v>4465</v>
      </c>
      <c r="B1488" s="153" t="s">
        <v>4466</v>
      </c>
      <c r="C1488">
        <v>0.0</v>
      </c>
      <c r="D1488">
        <v>0.0</v>
      </c>
      <c r="F1488" t="s">
        <v>2942</v>
      </c>
      <c r="G1488" t="s">
        <v>2943</v>
      </c>
      <c r="H1488" t="s">
        <v>2944</v>
      </c>
      <c r="I1488" t="s">
        <v>3158</v>
      </c>
    </row>
    <row r="1489" customHeight="1" ht="14.0">
      <c r="A1489" t="s">
        <v>4467</v>
      </c>
      <c r="B1489" s="153" t="s">
        <v>4468</v>
      </c>
      <c r="C1489">
        <v>0.0</v>
      </c>
      <c r="D1489">
        <v>0.0</v>
      </c>
      <c r="F1489" t="s">
        <v>2942</v>
      </c>
      <c r="G1489" t="s">
        <v>2962</v>
      </c>
      <c r="I1489" t="s">
        <v>197</v>
      </c>
    </row>
    <row r="1490" customHeight="1" ht="14.0">
      <c r="A1490" t="s">
        <v>4469</v>
      </c>
      <c r="B1490" s="153" t="s">
        <v>4470</v>
      </c>
      <c r="C1490">
        <v>0.0</v>
      </c>
      <c r="D1490">
        <v>0.0</v>
      </c>
      <c r="F1490" t="s">
        <v>2942</v>
      </c>
      <c r="G1490" t="s">
        <v>2962</v>
      </c>
      <c r="I1490" t="s">
        <v>197</v>
      </c>
    </row>
    <row r="1491" customHeight="1" ht="14.0">
      <c r="A1491" t="s">
        <v>4471</v>
      </c>
      <c r="B1491" s="153" t="s">
        <v>4472</v>
      </c>
      <c r="C1491">
        <v>24.0</v>
      </c>
      <c r="D1491">
        <v>18.24</v>
      </c>
      <c r="E1491">
        <v>0.76</v>
      </c>
      <c r="F1491" t="s">
        <v>2942</v>
      </c>
      <c r="G1491" t="s">
        <v>2962</v>
      </c>
      <c r="H1491" t="s">
        <v>3161</v>
      </c>
      <c r="I1491" t="s">
        <v>83</v>
      </c>
    </row>
    <row r="1492" customHeight="1" ht="14.0">
      <c r="A1492" t="s">
        <v>4473</v>
      </c>
      <c r="B1492" s="153" t="s">
        <v>4474</v>
      </c>
      <c r="C1492">
        <v>30.0</v>
      </c>
      <c r="D1492">
        <v>22.8</v>
      </c>
      <c r="E1492">
        <v>0.76</v>
      </c>
      <c r="F1492" t="s">
        <v>2942</v>
      </c>
      <c r="G1492" t="s">
        <v>2962</v>
      </c>
      <c r="H1492" t="s">
        <v>3161</v>
      </c>
      <c r="I1492" t="s">
        <v>83</v>
      </c>
    </row>
    <row r="1493" customHeight="1" ht="14.0">
      <c r="A1493" t="s">
        <v>4475</v>
      </c>
      <c r="B1493" s="153" t="s">
        <v>4476</v>
      </c>
      <c r="C1493">
        <v>18.0</v>
      </c>
      <c r="D1493">
        <v>13.68</v>
      </c>
      <c r="E1493">
        <v>0.76</v>
      </c>
      <c r="F1493" t="s">
        <v>2942</v>
      </c>
      <c r="G1493" t="s">
        <v>2962</v>
      </c>
      <c r="H1493" t="s">
        <v>3161</v>
      </c>
      <c r="I1493" t="s">
        <v>83</v>
      </c>
    </row>
    <row r="1494" customHeight="1" ht="14.0">
      <c r="A1494" t="s">
        <v>4477</v>
      </c>
      <c r="B1494" s="153" t="s">
        <v>4478</v>
      </c>
      <c r="C1494">
        <v>30.0</v>
      </c>
      <c r="D1494">
        <v>22.8</v>
      </c>
      <c r="E1494">
        <v>0.76</v>
      </c>
      <c r="F1494" t="s">
        <v>2942</v>
      </c>
      <c r="G1494" t="s">
        <v>2962</v>
      </c>
      <c r="H1494" t="s">
        <v>3161</v>
      </c>
      <c r="I1494" t="s">
        <v>83</v>
      </c>
    </row>
    <row r="1495" customHeight="1" ht="14.0">
      <c r="A1495" t="s">
        <v>4479</v>
      </c>
      <c r="B1495" s="153" t="s">
        <v>4480</v>
      </c>
      <c r="C1495">
        <v>30.0</v>
      </c>
      <c r="D1495">
        <v>22.8</v>
      </c>
      <c r="E1495">
        <v>0.76</v>
      </c>
      <c r="F1495" t="s">
        <v>2942</v>
      </c>
      <c r="G1495" t="s">
        <v>2962</v>
      </c>
      <c r="H1495" t="s">
        <v>3161</v>
      </c>
      <c r="I1495" t="s">
        <v>83</v>
      </c>
    </row>
    <row r="1496" customHeight="1" ht="14.0">
      <c r="A1496" t="s">
        <v>4481</v>
      </c>
      <c r="B1496" s="153" t="s">
        <v>4482</v>
      </c>
      <c r="C1496">
        <v>150.0</v>
      </c>
      <c r="D1496">
        <v>114.0</v>
      </c>
      <c r="E1496">
        <v>0.76</v>
      </c>
      <c r="F1496" t="s">
        <v>2942</v>
      </c>
      <c r="G1496" t="s">
        <v>2962</v>
      </c>
      <c r="H1496" t="s">
        <v>3161</v>
      </c>
      <c r="I1496" t="s">
        <v>83</v>
      </c>
    </row>
    <row r="1497" customHeight="1" ht="14.0">
      <c r="A1497" t="s">
        <v>4483</v>
      </c>
      <c r="B1497" s="153" t="s">
        <v>4484</v>
      </c>
      <c r="C1497">
        <v>0.0</v>
      </c>
      <c r="D1497">
        <v>0.0</v>
      </c>
      <c r="F1497" t="s">
        <v>2942</v>
      </c>
      <c r="G1497" t="s">
        <v>2943</v>
      </c>
      <c r="H1497" t="s">
        <v>2944</v>
      </c>
      <c r="I1497" t="s">
        <v>3724</v>
      </c>
    </row>
    <row r="1498" customHeight="1" ht="14.0">
      <c r="A1498" t="s">
        <v>4485</v>
      </c>
      <c r="B1498" s="153" t="s">
        <v>4486</v>
      </c>
      <c r="C1498">
        <v>0.0</v>
      </c>
      <c r="D1498">
        <v>0.0</v>
      </c>
      <c r="F1498" t="s">
        <v>2942</v>
      </c>
      <c r="G1498" t="s">
        <v>2943</v>
      </c>
      <c r="H1498" t="s">
        <v>2944</v>
      </c>
      <c r="I1498" t="s">
        <v>3012</v>
      </c>
    </row>
    <row r="1499" customHeight="1" ht="14.0">
      <c r="A1499" t="s">
        <v>4487</v>
      </c>
      <c r="B1499" s="153" t="s">
        <v>4488</v>
      </c>
      <c r="C1499">
        <v>0.0</v>
      </c>
      <c r="D1499">
        <v>0.0</v>
      </c>
      <c r="F1499" t="s">
        <v>2942</v>
      </c>
      <c r="G1499" t="s">
        <v>2943</v>
      </c>
      <c r="H1499" t="s">
        <v>2944</v>
      </c>
      <c r="I1499" t="s">
        <v>799</v>
      </c>
    </row>
    <row r="1500" customHeight="1" ht="14.0">
      <c r="A1500" t="s">
        <v>4489</v>
      </c>
      <c r="B1500" s="153" t="s">
        <v>4490</v>
      </c>
      <c r="C1500">
        <v>0.0</v>
      </c>
      <c r="D1500">
        <v>0.0</v>
      </c>
      <c r="F1500" t="s">
        <v>2942</v>
      </c>
      <c r="G1500" t="s">
        <v>2943</v>
      </c>
      <c r="H1500" t="s">
        <v>2944</v>
      </c>
      <c r="I1500" t="s">
        <v>3179</v>
      </c>
    </row>
    <row r="1501" customHeight="1" ht="14.0">
      <c r="A1501" t="s">
        <v>365</v>
      </c>
      <c r="B1501" s="153" t="s">
        <v>366</v>
      </c>
      <c r="C1501">
        <v>340.0</v>
      </c>
      <c r="D1501">
        <v>876.86</v>
      </c>
      <c r="E1501">
        <v>2.579</v>
      </c>
      <c r="F1501" t="s">
        <v>2942</v>
      </c>
      <c r="G1501" t="s">
        <v>2962</v>
      </c>
      <c r="H1501" t="s">
        <v>30</v>
      </c>
      <c r="I1501" t="s">
        <v>344</v>
      </c>
    </row>
    <row r="1502" customHeight="1" ht="14.0">
      <c r="A1502" t="s">
        <v>363</v>
      </c>
      <c r="B1502" s="153" t="s">
        <v>364</v>
      </c>
      <c r="C1502">
        <v>320.0</v>
      </c>
      <c r="D1502">
        <v>825.3</v>
      </c>
      <c r="E1502">
        <v>2.5791</v>
      </c>
      <c r="F1502" t="s">
        <v>2942</v>
      </c>
      <c r="G1502" t="s">
        <v>2962</v>
      </c>
      <c r="H1502" t="s">
        <v>30</v>
      </c>
      <c r="I1502" t="s">
        <v>344</v>
      </c>
    </row>
    <row r="1503" customHeight="1" ht="14.0">
      <c r="A1503" t="s">
        <v>361</v>
      </c>
      <c r="B1503" s="153" t="s">
        <v>362</v>
      </c>
      <c r="C1503">
        <v>124.0</v>
      </c>
      <c r="D1503">
        <v>319.61</v>
      </c>
      <c r="E1503">
        <v>2.5775</v>
      </c>
      <c r="F1503" t="s">
        <v>2942</v>
      </c>
      <c r="G1503" t="s">
        <v>2962</v>
      </c>
      <c r="H1503" t="s">
        <v>2963</v>
      </c>
      <c r="I1503" t="s">
        <v>344</v>
      </c>
    </row>
    <row r="1504" customHeight="1" ht="14.0">
      <c r="A1504" t="s">
        <v>359</v>
      </c>
      <c r="B1504" s="153" t="s">
        <v>360</v>
      </c>
      <c r="C1504">
        <v>60.0</v>
      </c>
      <c r="D1504">
        <v>154.53</v>
      </c>
      <c r="E1504">
        <v>2.5755</v>
      </c>
      <c r="F1504" t="s">
        <v>2942</v>
      </c>
      <c r="G1504" t="s">
        <v>2962</v>
      </c>
      <c r="H1504" t="s">
        <v>2963</v>
      </c>
      <c r="I1504" t="s">
        <v>344</v>
      </c>
    </row>
    <row r="1505" customHeight="1" ht="14.0">
      <c r="A1505" t="s">
        <v>349</v>
      </c>
      <c r="B1505" s="153" t="s">
        <v>350</v>
      </c>
      <c r="C1505">
        <v>83.0</v>
      </c>
      <c r="D1505">
        <v>219.27</v>
      </c>
      <c r="E1505">
        <v>2.6418</v>
      </c>
      <c r="F1505" t="s">
        <v>2942</v>
      </c>
      <c r="G1505" t="s">
        <v>2962</v>
      </c>
      <c r="H1505" t="s">
        <v>2963</v>
      </c>
      <c r="I1505" t="s">
        <v>344</v>
      </c>
    </row>
    <row r="1506" customHeight="1" ht="14.0">
      <c r="A1506" t="s">
        <v>351</v>
      </c>
      <c r="B1506" s="153" t="s">
        <v>352</v>
      </c>
      <c r="C1506">
        <v>351.0</v>
      </c>
      <c r="D1506">
        <v>905.28</v>
      </c>
      <c r="E1506">
        <v>2.5791</v>
      </c>
      <c r="F1506" t="s">
        <v>2942</v>
      </c>
      <c r="G1506" t="s">
        <v>2962</v>
      </c>
      <c r="H1506" t="s">
        <v>2963</v>
      </c>
      <c r="I1506" t="s">
        <v>344</v>
      </c>
    </row>
    <row r="1507" customHeight="1" ht="14.0">
      <c r="A1507" t="s">
        <v>353</v>
      </c>
      <c r="B1507" s="153" t="s">
        <v>354</v>
      </c>
      <c r="C1507">
        <v>11.0</v>
      </c>
      <c r="D1507">
        <v>28.05</v>
      </c>
      <c r="E1507">
        <v>2.55</v>
      </c>
      <c r="F1507" t="s">
        <v>2942</v>
      </c>
      <c r="G1507" t="s">
        <v>2962</v>
      </c>
      <c r="H1507" t="s">
        <v>30</v>
      </c>
      <c r="I1507" t="s">
        <v>344</v>
      </c>
    </row>
    <row r="1508" customHeight="1" ht="14.0">
      <c r="A1508" t="s">
        <v>357</v>
      </c>
      <c r="B1508" s="153" t="s">
        <v>358</v>
      </c>
      <c r="C1508">
        <v>347.0</v>
      </c>
      <c r="D1508">
        <v>894.96</v>
      </c>
      <c r="E1508">
        <v>2.5791</v>
      </c>
      <c r="F1508" t="s">
        <v>2942</v>
      </c>
      <c r="G1508" t="s">
        <v>2962</v>
      </c>
      <c r="H1508" t="s">
        <v>2963</v>
      </c>
      <c r="I1508" t="s">
        <v>344</v>
      </c>
    </row>
    <row r="1509" customHeight="1" ht="14.0">
      <c r="A1509" t="s">
        <v>355</v>
      </c>
      <c r="B1509" s="153" t="s">
        <v>356</v>
      </c>
      <c r="C1509">
        <v>170.0</v>
      </c>
      <c r="D1509">
        <v>449.38</v>
      </c>
      <c r="E1509">
        <v>2.6434</v>
      </c>
      <c r="F1509" t="s">
        <v>2942</v>
      </c>
      <c r="G1509" t="s">
        <v>2962</v>
      </c>
      <c r="H1509" t="s">
        <v>2963</v>
      </c>
      <c r="I1509" t="s">
        <v>344</v>
      </c>
    </row>
    <row r="1510" customHeight="1" ht="14.0">
      <c r="A1510" t="s">
        <v>1920</v>
      </c>
      <c r="B1510" s="153" t="s">
        <v>4491</v>
      </c>
      <c r="C1510">
        <v>0.0</v>
      </c>
      <c r="D1510">
        <v>0.0</v>
      </c>
      <c r="F1510" t="s">
        <v>2942</v>
      </c>
      <c r="G1510" t="s">
        <v>2943</v>
      </c>
      <c r="H1510" t="s">
        <v>2944</v>
      </c>
      <c r="I1510" t="s">
        <v>344</v>
      </c>
    </row>
    <row r="1511" customHeight="1" ht="14.0">
      <c r="A1511" t="s">
        <v>4492</v>
      </c>
      <c r="B1511" s="153" t="s">
        <v>1922</v>
      </c>
      <c r="C1511">
        <v>0.0</v>
      </c>
      <c r="D1511">
        <v>0.0</v>
      </c>
      <c r="F1511" t="s">
        <v>2942</v>
      </c>
      <c r="G1511" t="s">
        <v>2943</v>
      </c>
      <c r="H1511" t="s">
        <v>3161</v>
      </c>
      <c r="I1511" t="s">
        <v>197</v>
      </c>
    </row>
    <row r="1512" customHeight="1" ht="14.0">
      <c r="A1512" t="s">
        <v>4493</v>
      </c>
      <c r="B1512" s="153" t="s">
        <v>4494</v>
      </c>
      <c r="C1512">
        <v>1060.0</v>
      </c>
      <c r="D1512">
        <v>2790.46</v>
      </c>
      <c r="E1512">
        <v>2.6325</v>
      </c>
      <c r="F1512" t="s">
        <v>2942</v>
      </c>
      <c r="G1512" t="s">
        <v>2962</v>
      </c>
      <c r="H1512" t="s">
        <v>2984</v>
      </c>
      <c r="I1512" t="s">
        <v>138</v>
      </c>
    </row>
    <row r="1513" customHeight="1" ht="14.0">
      <c r="A1513" t="s">
        <v>141</v>
      </c>
      <c r="B1513" s="153" t="s">
        <v>142</v>
      </c>
      <c r="C1513">
        <v>4.0</v>
      </c>
      <c r="D1513">
        <v>10.8</v>
      </c>
      <c r="E1513">
        <v>2.7</v>
      </c>
      <c r="F1513" t="s">
        <v>2942</v>
      </c>
      <c r="G1513" t="s">
        <v>2962</v>
      </c>
      <c r="H1513" t="s">
        <v>2963</v>
      </c>
      <c r="I1513" t="s">
        <v>138</v>
      </c>
    </row>
    <row r="1514" customHeight="1" ht="14.0">
      <c r="A1514" t="s">
        <v>4495</v>
      </c>
      <c r="B1514" s="153" t="s">
        <v>4496</v>
      </c>
      <c r="C1514">
        <v>1416.0</v>
      </c>
      <c r="D1514">
        <v>3727.62</v>
      </c>
      <c r="E1514">
        <v>2.6325</v>
      </c>
      <c r="F1514" t="s">
        <v>2942</v>
      </c>
      <c r="G1514" t="s">
        <v>2962</v>
      </c>
      <c r="H1514" t="s">
        <v>2984</v>
      </c>
      <c r="I1514" t="s">
        <v>138</v>
      </c>
    </row>
    <row r="1515" customHeight="1" ht="14.0">
      <c r="A1515" t="s">
        <v>153</v>
      </c>
      <c r="B1515" s="153" t="s">
        <v>154</v>
      </c>
      <c r="C1515">
        <v>965.0</v>
      </c>
      <c r="D1515">
        <v>2730.89</v>
      </c>
      <c r="E1515">
        <v>2.8299</v>
      </c>
      <c r="F1515" t="s">
        <v>2942</v>
      </c>
      <c r="G1515" t="s">
        <v>2962</v>
      </c>
      <c r="H1515" t="s">
        <v>30</v>
      </c>
      <c r="I1515" t="s">
        <v>138</v>
      </c>
    </row>
    <row r="1516" customHeight="1" ht="14.0">
      <c r="A1516" t="s">
        <v>139</v>
      </c>
      <c r="B1516" s="153" t="s">
        <v>140</v>
      </c>
      <c r="C1516">
        <v>47.0</v>
      </c>
      <c r="D1516">
        <v>132.95</v>
      </c>
      <c r="E1516">
        <v>2.8287</v>
      </c>
      <c r="F1516" t="s">
        <v>2942</v>
      </c>
      <c r="G1516" t="s">
        <v>2962</v>
      </c>
      <c r="H1516" t="s">
        <v>30</v>
      </c>
      <c r="I1516" t="s">
        <v>138</v>
      </c>
    </row>
    <row r="1517" customHeight="1" ht="14.0">
      <c r="A1517" t="s">
        <v>4497</v>
      </c>
      <c r="B1517" s="153" t="s">
        <v>4498</v>
      </c>
      <c r="C1517">
        <v>1595.0</v>
      </c>
      <c r="D1517">
        <v>4198.84</v>
      </c>
      <c r="E1517">
        <v>2.6325</v>
      </c>
      <c r="F1517" t="s">
        <v>2942</v>
      </c>
      <c r="G1517" t="s">
        <v>2962</v>
      </c>
      <c r="H1517" t="s">
        <v>2984</v>
      </c>
      <c r="I1517" t="s">
        <v>138</v>
      </c>
    </row>
    <row r="1518" customHeight="1" ht="14.0">
      <c r="A1518" t="s">
        <v>151</v>
      </c>
      <c r="B1518" s="153" t="s">
        <v>152</v>
      </c>
      <c r="C1518">
        <v>861.0</v>
      </c>
      <c r="D1518">
        <v>2436.57</v>
      </c>
      <c r="E1518">
        <v>2.8299</v>
      </c>
      <c r="F1518" t="s">
        <v>2942</v>
      </c>
      <c r="G1518" t="s">
        <v>2962</v>
      </c>
      <c r="H1518" t="s">
        <v>2963</v>
      </c>
      <c r="I1518" t="s">
        <v>138</v>
      </c>
    </row>
    <row r="1519" customHeight="1" ht="14.0">
      <c r="A1519" t="s">
        <v>752</v>
      </c>
      <c r="B1519" s="153" t="s">
        <v>753</v>
      </c>
      <c r="C1519">
        <v>2.0</v>
      </c>
      <c r="D1519">
        <v>2.44</v>
      </c>
      <c r="E1519">
        <v>1.22</v>
      </c>
      <c r="F1519" t="s">
        <v>2942</v>
      </c>
      <c r="G1519" t="s">
        <v>2962</v>
      </c>
      <c r="H1519" t="s">
        <v>30</v>
      </c>
      <c r="I1519" t="s">
        <v>138</v>
      </c>
    </row>
    <row r="1520" customHeight="1" ht="14.0">
      <c r="A1520" t="s">
        <v>2838</v>
      </c>
      <c r="B1520" s="153" t="s">
        <v>2839</v>
      </c>
      <c r="C1520">
        <v>1.0</v>
      </c>
      <c r="D1520">
        <v>1.22</v>
      </c>
      <c r="E1520">
        <v>1.22</v>
      </c>
      <c r="F1520" t="s">
        <v>2942</v>
      </c>
      <c r="G1520" t="s">
        <v>2962</v>
      </c>
      <c r="H1520" t="s">
        <v>30</v>
      </c>
      <c r="I1520" t="s">
        <v>138</v>
      </c>
    </row>
    <row r="1521" customHeight="1" ht="14.0">
      <c r="A1521" t="s">
        <v>750</v>
      </c>
      <c r="B1521" s="153" t="s">
        <v>751</v>
      </c>
      <c r="C1521">
        <v>1.0</v>
      </c>
      <c r="D1521">
        <v>1.22</v>
      </c>
      <c r="E1521">
        <v>1.22</v>
      </c>
      <c r="F1521" t="s">
        <v>2942</v>
      </c>
      <c r="G1521" t="s">
        <v>2962</v>
      </c>
      <c r="H1521" t="s">
        <v>30</v>
      </c>
      <c r="I1521" t="s">
        <v>138</v>
      </c>
    </row>
    <row r="1522" customHeight="1" ht="14.0">
      <c r="A1522" t="s">
        <v>754</v>
      </c>
      <c r="B1522" s="153" t="s">
        <v>755</v>
      </c>
      <c r="C1522">
        <v>2.0</v>
      </c>
      <c r="D1522">
        <v>2.44</v>
      </c>
      <c r="E1522">
        <v>1.22</v>
      </c>
      <c r="F1522" t="s">
        <v>2942</v>
      </c>
      <c r="G1522" t="s">
        <v>2962</v>
      </c>
      <c r="H1522" t="s">
        <v>30</v>
      </c>
      <c r="I1522" t="s">
        <v>138</v>
      </c>
    </row>
    <row r="1523" customHeight="1" ht="14.0">
      <c r="A1523" t="s">
        <v>748</v>
      </c>
      <c r="B1523" s="153" t="s">
        <v>749</v>
      </c>
      <c r="C1523">
        <v>0.0</v>
      </c>
      <c r="D1523">
        <v>0.0</v>
      </c>
      <c r="F1523" t="s">
        <v>2942</v>
      </c>
      <c r="G1523" t="s">
        <v>2962</v>
      </c>
      <c r="H1523" t="s">
        <v>30</v>
      </c>
      <c r="I1523" t="s">
        <v>138</v>
      </c>
    </row>
    <row r="1524" customHeight="1" ht="14.0">
      <c r="A1524" t="s">
        <v>746</v>
      </c>
      <c r="B1524" s="153" t="s">
        <v>747</v>
      </c>
      <c r="C1524">
        <v>0.0</v>
      </c>
      <c r="D1524">
        <v>0.0</v>
      </c>
      <c r="F1524" t="s">
        <v>2942</v>
      </c>
      <c r="G1524" t="s">
        <v>2962</v>
      </c>
      <c r="H1524" t="s">
        <v>30</v>
      </c>
      <c r="I1524" t="s">
        <v>138</v>
      </c>
    </row>
    <row r="1525" customHeight="1" ht="14.0">
      <c r="A1525" t="s">
        <v>756</v>
      </c>
      <c r="B1525" s="153" t="s">
        <v>757</v>
      </c>
      <c r="C1525">
        <v>1.0</v>
      </c>
      <c r="D1525">
        <v>1.22</v>
      </c>
      <c r="E1525">
        <v>1.22</v>
      </c>
      <c r="F1525" t="s">
        <v>2942</v>
      </c>
      <c r="G1525" t="s">
        <v>2962</v>
      </c>
      <c r="H1525" t="s">
        <v>30</v>
      </c>
      <c r="I1525" t="s">
        <v>138</v>
      </c>
    </row>
    <row r="1526" customHeight="1" ht="14.0">
      <c r="A1526" t="s">
        <v>4499</v>
      </c>
      <c r="B1526" s="153" t="s">
        <v>4500</v>
      </c>
      <c r="C1526">
        <v>0.0</v>
      </c>
      <c r="D1526">
        <v>0.0</v>
      </c>
      <c r="F1526" t="s">
        <v>2942</v>
      </c>
      <c r="G1526" t="s">
        <v>2962</v>
      </c>
      <c r="H1526" t="s">
        <v>30</v>
      </c>
      <c r="I1526" t="s">
        <v>138</v>
      </c>
    </row>
    <row r="1527" customHeight="1" ht="14.0">
      <c r="A1527" t="s">
        <v>4501</v>
      </c>
      <c r="B1527" s="153" t="s">
        <v>4502</v>
      </c>
      <c r="C1527">
        <v>0.0</v>
      </c>
      <c r="D1527">
        <v>0.0</v>
      </c>
      <c r="F1527" t="s">
        <v>2942</v>
      </c>
      <c r="G1527" t="s">
        <v>2943</v>
      </c>
      <c r="H1527" t="s">
        <v>2944</v>
      </c>
      <c r="I1527" t="s">
        <v>3173</v>
      </c>
    </row>
    <row r="1528" customHeight="1" ht="14.0">
      <c r="A1528" t="s">
        <v>4503</v>
      </c>
      <c r="B1528" s="153" t="s">
        <v>4504</v>
      </c>
      <c r="C1528">
        <v>0.0</v>
      </c>
      <c r="D1528">
        <v>0.0</v>
      </c>
      <c r="F1528" t="s">
        <v>2942</v>
      </c>
      <c r="G1528" t="s">
        <v>2943</v>
      </c>
      <c r="H1528" t="s">
        <v>2944</v>
      </c>
      <c r="I1528" t="s">
        <v>3173</v>
      </c>
    </row>
    <row r="1529" customHeight="1" ht="14.0">
      <c r="A1529" t="s">
        <v>4505</v>
      </c>
      <c r="B1529" s="153" t="s">
        <v>4506</v>
      </c>
      <c r="C1529">
        <v>0.0</v>
      </c>
      <c r="D1529">
        <v>0.0</v>
      </c>
      <c r="F1529" t="s">
        <v>2994</v>
      </c>
      <c r="G1529" t="s">
        <v>2943</v>
      </c>
      <c r="H1529" t="s">
        <v>2944</v>
      </c>
    </row>
    <row r="1530" customHeight="1" ht="14.0">
      <c r="A1530" t="s">
        <v>251</v>
      </c>
      <c r="B1530" s="153" t="s">
        <v>252</v>
      </c>
      <c r="C1530">
        <v>325.0</v>
      </c>
      <c r="D1530">
        <v>390.3</v>
      </c>
      <c r="E1530">
        <v>1.2009</v>
      </c>
      <c r="F1530" t="s">
        <v>2942</v>
      </c>
      <c r="G1530" t="s">
        <v>2962</v>
      </c>
      <c r="H1530" t="s">
        <v>30</v>
      </c>
      <c r="I1530" t="s">
        <v>228</v>
      </c>
    </row>
    <row r="1531" customHeight="1" ht="14.0">
      <c r="A1531" t="s">
        <v>4507</v>
      </c>
      <c r="B1531" s="153" t="s">
        <v>4508</v>
      </c>
      <c r="C1531">
        <v>0.0</v>
      </c>
      <c r="D1531">
        <v>0.0</v>
      </c>
      <c r="F1531" t="s">
        <v>2942</v>
      </c>
      <c r="G1531" t="s">
        <v>2943</v>
      </c>
      <c r="H1531" t="s">
        <v>2944</v>
      </c>
      <c r="I1531" t="s">
        <v>269</v>
      </c>
    </row>
    <row r="1532" customHeight="1" ht="14.0">
      <c r="A1532" t="s">
        <v>257</v>
      </c>
      <c r="B1532" s="153" t="s">
        <v>258</v>
      </c>
      <c r="C1532">
        <v>54.0</v>
      </c>
      <c r="D1532">
        <v>211.68</v>
      </c>
      <c r="E1532">
        <v>3.92</v>
      </c>
      <c r="F1532" t="s">
        <v>2942</v>
      </c>
      <c r="G1532" t="s">
        <v>2962</v>
      </c>
      <c r="H1532" t="s">
        <v>2963</v>
      </c>
      <c r="I1532" t="s">
        <v>228</v>
      </c>
    </row>
    <row r="1533" customHeight="1" ht="14.0">
      <c r="A1533" t="s">
        <v>1925</v>
      </c>
      <c r="B1533" s="153" t="s">
        <v>1926</v>
      </c>
      <c r="C1533">
        <v>0.0</v>
      </c>
      <c r="D1533">
        <v>0.0</v>
      </c>
      <c r="F1533" t="s">
        <v>2942</v>
      </c>
      <c r="G1533" t="s">
        <v>2943</v>
      </c>
      <c r="H1533" t="s">
        <v>2963</v>
      </c>
      <c r="I1533" t="s">
        <v>228</v>
      </c>
    </row>
    <row r="1534" customHeight="1" ht="14.0">
      <c r="A1534" t="s">
        <v>231</v>
      </c>
      <c r="B1534" s="153" t="s">
        <v>232</v>
      </c>
      <c r="C1534">
        <v>684.0</v>
      </c>
      <c r="D1534">
        <v>5120.62</v>
      </c>
      <c r="E1534">
        <v>7.4863</v>
      </c>
      <c r="F1534" t="s">
        <v>2942</v>
      </c>
      <c r="G1534" t="s">
        <v>2962</v>
      </c>
      <c r="H1534" t="s">
        <v>30</v>
      </c>
      <c r="I1534" t="s">
        <v>228</v>
      </c>
    </row>
    <row r="1535" customHeight="1" ht="14.0">
      <c r="A1535" t="s">
        <v>239</v>
      </c>
      <c r="B1535" s="153" t="s">
        <v>240</v>
      </c>
      <c r="C1535">
        <v>150.0</v>
      </c>
      <c r="D1535">
        <v>991.05</v>
      </c>
      <c r="E1535">
        <v>6.607</v>
      </c>
      <c r="F1535" t="s">
        <v>2942</v>
      </c>
      <c r="G1535" t="s">
        <v>2962</v>
      </c>
      <c r="H1535" t="s">
        <v>30</v>
      </c>
      <c r="I1535" t="s">
        <v>228</v>
      </c>
    </row>
    <row r="1536" customHeight="1" ht="14.0">
      <c r="A1536" t="s">
        <v>1927</v>
      </c>
      <c r="B1536" s="153" t="s">
        <v>1928</v>
      </c>
      <c r="C1536">
        <v>102.0</v>
      </c>
      <c r="D1536">
        <v>734.46</v>
      </c>
      <c r="E1536">
        <v>7.2006</v>
      </c>
      <c r="F1536" t="s">
        <v>2942</v>
      </c>
      <c r="G1536" t="s">
        <v>2962</v>
      </c>
      <c r="H1536" t="s">
        <v>2963</v>
      </c>
      <c r="I1536" t="s">
        <v>228</v>
      </c>
    </row>
    <row r="1537" customHeight="1" ht="14.0">
      <c r="A1537" t="s">
        <v>1929</v>
      </c>
      <c r="B1537" s="153" t="s">
        <v>1930</v>
      </c>
      <c r="C1537">
        <v>0.0</v>
      </c>
      <c r="D1537">
        <v>0.0</v>
      </c>
      <c r="F1537" t="s">
        <v>2942</v>
      </c>
      <c r="G1537" t="s">
        <v>2943</v>
      </c>
      <c r="H1537" t="s">
        <v>2963</v>
      </c>
      <c r="I1537" t="s">
        <v>228</v>
      </c>
    </row>
    <row r="1538" customHeight="1" ht="14.0">
      <c r="A1538" t="s">
        <v>265</v>
      </c>
      <c r="B1538" s="153" t="s">
        <v>266</v>
      </c>
      <c r="C1538">
        <v>250.0</v>
      </c>
      <c r="D1538">
        <v>315.85</v>
      </c>
      <c r="E1538">
        <v>1.2634</v>
      </c>
      <c r="F1538" t="s">
        <v>2942</v>
      </c>
      <c r="G1538" t="s">
        <v>2962</v>
      </c>
      <c r="H1538" t="s">
        <v>30</v>
      </c>
      <c r="I1538" t="s">
        <v>228</v>
      </c>
    </row>
    <row r="1539" customHeight="1" ht="14.0">
      <c r="A1539" t="s">
        <v>229</v>
      </c>
      <c r="B1539" s="153" t="s">
        <v>230</v>
      </c>
      <c r="C1539">
        <v>0.0</v>
      </c>
      <c r="D1539">
        <v>0.0</v>
      </c>
      <c r="F1539" t="s">
        <v>2942</v>
      </c>
      <c r="G1539" t="s">
        <v>2943</v>
      </c>
      <c r="H1539" t="s">
        <v>30</v>
      </c>
      <c r="I1539" t="s">
        <v>228</v>
      </c>
    </row>
    <row r="1540" customHeight="1" ht="14.0">
      <c r="A1540" t="s">
        <v>233</v>
      </c>
      <c r="B1540" s="153" t="s">
        <v>234</v>
      </c>
      <c r="C1540">
        <v>302.0</v>
      </c>
      <c r="D1540">
        <v>424.91</v>
      </c>
      <c r="E1540">
        <v>1.407</v>
      </c>
      <c r="F1540" t="s">
        <v>2942</v>
      </c>
      <c r="G1540" t="s">
        <v>2962</v>
      </c>
      <c r="H1540" t="s">
        <v>30</v>
      </c>
      <c r="I1540" t="s">
        <v>228</v>
      </c>
    </row>
    <row r="1541" customHeight="1" ht="14.0">
      <c r="A1541" t="s">
        <v>259</v>
      </c>
      <c r="B1541" s="153" t="s">
        <v>260</v>
      </c>
      <c r="C1541">
        <v>757.0</v>
      </c>
      <c r="D1541">
        <v>1639.03</v>
      </c>
      <c r="E1541">
        <v>2.1652</v>
      </c>
      <c r="F1541" t="s">
        <v>2942</v>
      </c>
      <c r="G1541" t="s">
        <v>2962</v>
      </c>
      <c r="H1541" t="s">
        <v>30</v>
      </c>
      <c r="I1541" t="s">
        <v>228</v>
      </c>
    </row>
    <row r="1542" customHeight="1" ht="14.0">
      <c r="A1542" t="s">
        <v>263</v>
      </c>
      <c r="B1542" s="153" t="s">
        <v>264</v>
      </c>
      <c r="C1542">
        <v>761.0</v>
      </c>
      <c r="D1542">
        <v>1140.66</v>
      </c>
      <c r="E1542">
        <v>1.4989</v>
      </c>
      <c r="F1542" t="s">
        <v>2942</v>
      </c>
      <c r="G1542" t="s">
        <v>2962</v>
      </c>
      <c r="H1542" t="s">
        <v>30</v>
      </c>
      <c r="I1542" t="s">
        <v>228</v>
      </c>
    </row>
    <row r="1543" customHeight="1" ht="14.0">
      <c r="A1543" t="s">
        <v>247</v>
      </c>
      <c r="B1543" s="153" t="s">
        <v>248</v>
      </c>
      <c r="C1543">
        <v>44.0</v>
      </c>
      <c r="D1543">
        <v>120.71</v>
      </c>
      <c r="E1543">
        <v>2.7434</v>
      </c>
      <c r="F1543" t="s">
        <v>2942</v>
      </c>
      <c r="G1543" t="s">
        <v>2962</v>
      </c>
      <c r="H1543" t="s">
        <v>2963</v>
      </c>
      <c r="I1543" t="s">
        <v>228</v>
      </c>
    </row>
    <row r="1544" customHeight="1" ht="14.0">
      <c r="A1544" t="s">
        <v>261</v>
      </c>
      <c r="B1544" s="153" t="s">
        <v>262</v>
      </c>
      <c r="C1544">
        <v>877.0</v>
      </c>
      <c r="D1544">
        <v>4882.78</v>
      </c>
      <c r="E1544">
        <v>5.5676</v>
      </c>
      <c r="F1544" t="s">
        <v>2942</v>
      </c>
      <c r="G1544" t="s">
        <v>2962</v>
      </c>
      <c r="H1544" t="s">
        <v>30</v>
      </c>
      <c r="I1544" t="s">
        <v>228</v>
      </c>
    </row>
    <row r="1545" customHeight="1" ht="14.0">
      <c r="A1545" t="s">
        <v>255</v>
      </c>
      <c r="B1545" s="153" t="s">
        <v>256</v>
      </c>
      <c r="C1545">
        <v>126.0</v>
      </c>
      <c r="D1545">
        <v>213.98</v>
      </c>
      <c r="E1545">
        <v>1.6983</v>
      </c>
      <c r="F1545" t="s">
        <v>2942</v>
      </c>
      <c r="G1545" t="s">
        <v>2962</v>
      </c>
      <c r="H1545" t="s">
        <v>30</v>
      </c>
      <c r="I1545" t="s">
        <v>228</v>
      </c>
    </row>
    <row r="1546" customHeight="1" ht="14.0">
      <c r="A1546" t="s">
        <v>253</v>
      </c>
      <c r="B1546" s="153" t="s">
        <v>254</v>
      </c>
      <c r="C1546">
        <v>527.0</v>
      </c>
      <c r="D1546">
        <v>921.41</v>
      </c>
      <c r="E1546">
        <v>1.7484</v>
      </c>
      <c r="F1546" t="s">
        <v>2942</v>
      </c>
      <c r="G1546" t="s">
        <v>2962</v>
      </c>
      <c r="H1546" t="s">
        <v>30</v>
      </c>
      <c r="I1546" t="s">
        <v>228</v>
      </c>
    </row>
    <row r="1547" customHeight="1" ht="14.0">
      <c r="A1547" t="s">
        <v>243</v>
      </c>
      <c r="B1547" s="153" t="s">
        <v>244</v>
      </c>
      <c r="C1547">
        <v>859.0</v>
      </c>
      <c r="D1547">
        <v>3905.58</v>
      </c>
      <c r="E1547">
        <v>4.5467</v>
      </c>
      <c r="F1547" t="s">
        <v>2942</v>
      </c>
      <c r="G1547" t="s">
        <v>2962</v>
      </c>
      <c r="H1547" t="s">
        <v>30</v>
      </c>
      <c r="I1547" t="s">
        <v>228</v>
      </c>
    </row>
    <row r="1548" customHeight="1" ht="14.0">
      <c r="A1548" t="s">
        <v>245</v>
      </c>
      <c r="B1548" s="153" t="s">
        <v>246</v>
      </c>
      <c r="C1548">
        <v>595.0</v>
      </c>
      <c r="D1548">
        <v>1134.64</v>
      </c>
      <c r="E1548">
        <v>1.907</v>
      </c>
      <c r="F1548" t="s">
        <v>2942</v>
      </c>
      <c r="G1548" t="s">
        <v>2962</v>
      </c>
      <c r="H1548" t="s">
        <v>30</v>
      </c>
      <c r="I1548" t="s">
        <v>228</v>
      </c>
    </row>
    <row r="1549" customHeight="1" ht="14.0">
      <c r="A1549" t="s">
        <v>1931</v>
      </c>
      <c r="B1549" s="153" t="s">
        <v>1932</v>
      </c>
      <c r="C1549">
        <v>0.0</v>
      </c>
      <c r="D1549">
        <v>0.0</v>
      </c>
      <c r="F1549" t="s">
        <v>2942</v>
      </c>
      <c r="G1549" t="s">
        <v>2943</v>
      </c>
      <c r="H1549" t="s">
        <v>2963</v>
      </c>
      <c r="I1549" t="s">
        <v>228</v>
      </c>
    </row>
    <row r="1550" customHeight="1" ht="14.0">
      <c r="A1550" t="s">
        <v>237</v>
      </c>
      <c r="B1550" s="153" t="s">
        <v>238</v>
      </c>
      <c r="C1550">
        <v>383.0</v>
      </c>
      <c r="D1550">
        <v>605.83</v>
      </c>
      <c r="E1550">
        <v>1.5818</v>
      </c>
      <c r="F1550" t="s">
        <v>2942</v>
      </c>
      <c r="G1550" t="s">
        <v>2962</v>
      </c>
      <c r="H1550" t="s">
        <v>30</v>
      </c>
      <c r="I1550" t="s">
        <v>228</v>
      </c>
    </row>
    <row r="1551" customHeight="1" ht="14.0">
      <c r="A1551" t="s">
        <v>235</v>
      </c>
      <c r="B1551" s="153" t="s">
        <v>236</v>
      </c>
      <c r="C1551">
        <v>439.0</v>
      </c>
      <c r="D1551">
        <v>419.05</v>
      </c>
      <c r="E1551">
        <v>0.9546</v>
      </c>
      <c r="F1551" t="s">
        <v>2942</v>
      </c>
      <c r="G1551" t="s">
        <v>2962</v>
      </c>
      <c r="H1551" t="s">
        <v>30</v>
      </c>
      <c r="I1551" t="s">
        <v>228</v>
      </c>
    </row>
    <row r="1552" customHeight="1" ht="14.0">
      <c r="A1552" t="s">
        <v>1933</v>
      </c>
      <c r="B1552" s="153" t="s">
        <v>1934</v>
      </c>
      <c r="C1552">
        <v>0.0</v>
      </c>
      <c r="D1552">
        <v>0.0</v>
      </c>
      <c r="F1552" t="s">
        <v>2942</v>
      </c>
      <c r="G1552" t="s">
        <v>2943</v>
      </c>
      <c r="H1552" t="s">
        <v>2963</v>
      </c>
      <c r="I1552" t="s">
        <v>228</v>
      </c>
    </row>
    <row r="1553" customHeight="1" ht="14.0">
      <c r="A1553" t="s">
        <v>241</v>
      </c>
      <c r="B1553" s="153" t="s">
        <v>242</v>
      </c>
      <c r="C1553">
        <v>50.0</v>
      </c>
      <c r="D1553">
        <v>201.23</v>
      </c>
      <c r="E1553">
        <v>4.0246</v>
      </c>
      <c r="F1553" t="s">
        <v>2942</v>
      </c>
      <c r="G1553" t="s">
        <v>2962</v>
      </c>
      <c r="H1553" t="s">
        <v>30</v>
      </c>
      <c r="I1553" t="s">
        <v>228</v>
      </c>
    </row>
    <row r="1554" customHeight="1" ht="14.0">
      <c r="A1554" t="s">
        <v>270</v>
      </c>
      <c r="B1554" s="153" t="s">
        <v>271</v>
      </c>
      <c r="C1554">
        <v>1.0</v>
      </c>
      <c r="D1554">
        <v>312.68</v>
      </c>
      <c r="E1554">
        <v>312.68</v>
      </c>
      <c r="F1554" t="s">
        <v>2942</v>
      </c>
      <c r="G1554" t="s">
        <v>2962</v>
      </c>
      <c r="H1554" t="s">
        <v>30</v>
      </c>
      <c r="I1554" t="s">
        <v>228</v>
      </c>
    </row>
    <row r="1555" customHeight="1" ht="14.0">
      <c r="A1555" t="s">
        <v>267</v>
      </c>
      <c r="B1555" s="153" t="s">
        <v>268</v>
      </c>
      <c r="C1555">
        <v>201.0</v>
      </c>
      <c r="D1555">
        <v>329.11</v>
      </c>
      <c r="E1555">
        <v>1.6374</v>
      </c>
      <c r="F1555" t="s">
        <v>2942</v>
      </c>
      <c r="G1555" t="s">
        <v>2962</v>
      </c>
      <c r="H1555" t="s">
        <v>30</v>
      </c>
      <c r="I1555" t="s">
        <v>228</v>
      </c>
    </row>
    <row r="1556" customHeight="1" ht="14.0">
      <c r="A1556" t="s">
        <v>4509</v>
      </c>
      <c r="B1556" s="153" t="s">
        <v>4510</v>
      </c>
      <c r="C1556">
        <v>0.0</v>
      </c>
      <c r="D1556">
        <v>0.0</v>
      </c>
      <c r="F1556" t="s">
        <v>2942</v>
      </c>
      <c r="G1556" t="s">
        <v>2943</v>
      </c>
      <c r="H1556" t="s">
        <v>2944</v>
      </c>
    </row>
    <row r="1557" customHeight="1" ht="14.0">
      <c r="A1557" t="s">
        <v>4511</v>
      </c>
      <c r="B1557" s="153" t="s">
        <v>4512</v>
      </c>
      <c r="C1557">
        <v>0.0</v>
      </c>
      <c r="D1557">
        <v>0.0</v>
      </c>
      <c r="F1557" t="s">
        <v>2942</v>
      </c>
      <c r="G1557" t="s">
        <v>2943</v>
      </c>
      <c r="H1557" t="s">
        <v>2944</v>
      </c>
    </row>
    <row r="1558" customHeight="1" ht="14.0">
      <c r="A1558" t="s">
        <v>1935</v>
      </c>
      <c r="B1558" s="153" t="s">
        <v>1936</v>
      </c>
      <c r="C1558">
        <v>0.0</v>
      </c>
      <c r="D1558">
        <v>0.0</v>
      </c>
      <c r="F1558" t="s">
        <v>2942</v>
      </c>
      <c r="G1558" t="s">
        <v>2943</v>
      </c>
      <c r="H1558" t="s">
        <v>2963</v>
      </c>
      <c r="I1558" t="s">
        <v>228</v>
      </c>
    </row>
    <row r="1559" customHeight="1" ht="14.0">
      <c r="A1559" t="s">
        <v>1937</v>
      </c>
      <c r="B1559" s="153" t="s">
        <v>1938</v>
      </c>
      <c r="C1559">
        <v>0.0</v>
      </c>
      <c r="D1559">
        <v>0.0</v>
      </c>
      <c r="F1559" t="s">
        <v>2942</v>
      </c>
      <c r="G1559" t="s">
        <v>2943</v>
      </c>
      <c r="H1559" t="s">
        <v>2963</v>
      </c>
      <c r="I1559" t="s">
        <v>228</v>
      </c>
    </row>
    <row r="1560" customHeight="1" ht="14.0">
      <c r="A1560" t="s">
        <v>249</v>
      </c>
      <c r="B1560" s="153" t="s">
        <v>250</v>
      </c>
      <c r="C1560">
        <v>708.0</v>
      </c>
      <c r="D1560">
        <v>1379.7</v>
      </c>
      <c r="E1560">
        <v>1.9487</v>
      </c>
      <c r="F1560" t="s">
        <v>2942</v>
      </c>
      <c r="G1560" t="s">
        <v>2962</v>
      </c>
      <c r="H1560" t="s">
        <v>30</v>
      </c>
      <c r="I1560" t="s">
        <v>228</v>
      </c>
    </row>
    <row r="1561" customHeight="1" ht="14.0">
      <c r="A1561" t="s">
        <v>1939</v>
      </c>
      <c r="B1561" s="153" t="s">
        <v>1940</v>
      </c>
      <c r="C1561">
        <v>1.0</v>
      </c>
      <c r="D1561">
        <v>30.81</v>
      </c>
      <c r="E1561">
        <v>30.81</v>
      </c>
      <c r="F1561" t="s">
        <v>2942</v>
      </c>
      <c r="G1561" t="s">
        <v>2962</v>
      </c>
      <c r="H1561" t="s">
        <v>2963</v>
      </c>
      <c r="I1561" t="s">
        <v>3685</v>
      </c>
    </row>
    <row r="1562" customHeight="1" ht="14.0">
      <c r="A1562" t="s">
        <v>4513</v>
      </c>
      <c r="B1562" s="153" t="s">
        <v>4514</v>
      </c>
      <c r="C1562">
        <v>0.0</v>
      </c>
      <c r="D1562">
        <v>0.0</v>
      </c>
      <c r="F1562" t="s">
        <v>2942</v>
      </c>
      <c r="G1562" t="s">
        <v>2943</v>
      </c>
      <c r="H1562" t="s">
        <v>2963</v>
      </c>
      <c r="I1562" t="s">
        <v>3685</v>
      </c>
    </row>
    <row r="1563" customHeight="1" ht="14.0">
      <c r="A1563" t="s">
        <v>4515</v>
      </c>
      <c r="B1563" s="153" t="s">
        <v>1942</v>
      </c>
      <c r="C1563">
        <v>6.0</v>
      </c>
      <c r="D1563">
        <v>29.76</v>
      </c>
      <c r="E1563">
        <v>4.96</v>
      </c>
      <c r="F1563" t="s">
        <v>2942</v>
      </c>
      <c r="G1563" t="s">
        <v>2962</v>
      </c>
      <c r="I1563" t="s">
        <v>197</v>
      </c>
    </row>
    <row r="1564" customHeight="1" ht="14.0">
      <c r="A1564" t="s">
        <v>4516</v>
      </c>
      <c r="B1564" s="153" t="s">
        <v>4517</v>
      </c>
      <c r="C1564">
        <v>0.0</v>
      </c>
      <c r="D1564">
        <v>0.0</v>
      </c>
      <c r="F1564" t="s">
        <v>2942</v>
      </c>
      <c r="G1564" t="s">
        <v>2943</v>
      </c>
      <c r="H1564" t="s">
        <v>2944</v>
      </c>
      <c r="I1564" t="s">
        <v>197</v>
      </c>
    </row>
    <row r="1565" customHeight="1" ht="14.0">
      <c r="A1565" t="s">
        <v>4518</v>
      </c>
      <c r="B1565" s="153" t="s">
        <v>4519</v>
      </c>
      <c r="C1565">
        <v>0.0</v>
      </c>
      <c r="D1565">
        <v>0.0</v>
      </c>
      <c r="F1565" t="s">
        <v>2942</v>
      </c>
      <c r="G1565" t="s">
        <v>2943</v>
      </c>
      <c r="H1565" t="s">
        <v>2944</v>
      </c>
    </row>
    <row r="1566" customHeight="1" ht="14.0">
      <c r="A1566" t="s">
        <v>4520</v>
      </c>
      <c r="B1566" s="153" t="s">
        <v>4521</v>
      </c>
      <c r="C1566">
        <v>0.0</v>
      </c>
      <c r="D1566">
        <v>0.0</v>
      </c>
      <c r="F1566" t="s">
        <v>2994</v>
      </c>
      <c r="G1566" t="s">
        <v>2943</v>
      </c>
      <c r="H1566" t="s">
        <v>2944</v>
      </c>
    </row>
    <row r="1567" customHeight="1" ht="14.0">
      <c r="A1567" t="s">
        <v>4522</v>
      </c>
      <c r="B1567" s="153" t="s">
        <v>4523</v>
      </c>
      <c r="C1567">
        <v>0.0</v>
      </c>
      <c r="D1567">
        <v>0.0</v>
      </c>
      <c r="F1567" t="s">
        <v>2994</v>
      </c>
      <c r="G1567" t="s">
        <v>2943</v>
      </c>
      <c r="H1567" t="s">
        <v>2944</v>
      </c>
    </row>
    <row r="1568" customHeight="1" ht="14.0">
      <c r="A1568" t="s">
        <v>4524</v>
      </c>
      <c r="B1568" s="153">
        <v>92901.0</v>
      </c>
      <c r="C1568">
        <v>0.0</v>
      </c>
      <c r="D1568">
        <v>0.0</v>
      </c>
      <c r="F1568" t="s">
        <v>2942</v>
      </c>
      <c r="G1568" t="s">
        <v>2943</v>
      </c>
      <c r="H1568" t="s">
        <v>2944</v>
      </c>
      <c r="I1568" t="s">
        <v>83</v>
      </c>
    </row>
    <row r="1569" customHeight="1" ht="14.0">
      <c r="A1569" t="s">
        <v>4525</v>
      </c>
      <c r="B1569" s="153">
        <v>92902.0</v>
      </c>
      <c r="C1569">
        <v>0.0</v>
      </c>
      <c r="D1569">
        <v>0.0</v>
      </c>
      <c r="F1569" t="s">
        <v>2942</v>
      </c>
      <c r="G1569" t="s">
        <v>2943</v>
      </c>
      <c r="H1569" t="s">
        <v>2944</v>
      </c>
      <c r="I1569" t="s">
        <v>83</v>
      </c>
    </row>
    <row r="1570" customHeight="1" ht="14.0">
      <c r="A1570" t="s">
        <v>4526</v>
      </c>
      <c r="B1570" s="153">
        <v>92903.0</v>
      </c>
      <c r="C1570">
        <v>0.0</v>
      </c>
      <c r="D1570">
        <v>0.0</v>
      </c>
      <c r="F1570" t="s">
        <v>2942</v>
      </c>
      <c r="G1570" t="s">
        <v>2943</v>
      </c>
      <c r="H1570" t="s">
        <v>2944</v>
      </c>
      <c r="I1570" t="s">
        <v>83</v>
      </c>
    </row>
    <row r="1571" customHeight="1" ht="14.0">
      <c r="A1571" t="s">
        <v>4527</v>
      </c>
      <c r="B1571" s="153">
        <v>92904.0</v>
      </c>
      <c r="C1571">
        <v>0.0</v>
      </c>
      <c r="D1571">
        <v>0.0</v>
      </c>
      <c r="F1571" t="s">
        <v>2942</v>
      </c>
      <c r="G1571" t="s">
        <v>2943</v>
      </c>
      <c r="H1571" t="s">
        <v>2944</v>
      </c>
      <c r="I1571" t="s">
        <v>83</v>
      </c>
    </row>
    <row r="1572" customHeight="1" ht="14.0">
      <c r="A1572" t="s">
        <v>4528</v>
      </c>
      <c r="B1572" s="153">
        <v>92905.0</v>
      </c>
      <c r="C1572">
        <v>0.0</v>
      </c>
      <c r="D1572">
        <v>0.0</v>
      </c>
      <c r="F1572" t="s">
        <v>2942</v>
      </c>
      <c r="G1572" t="s">
        <v>2943</v>
      </c>
      <c r="H1572" t="s">
        <v>2944</v>
      </c>
      <c r="I1572" t="s">
        <v>83</v>
      </c>
    </row>
    <row r="1573" customHeight="1" ht="14.0">
      <c r="A1573" t="s">
        <v>4529</v>
      </c>
      <c r="B1573" s="153">
        <v>92906.0</v>
      </c>
      <c r="C1573">
        <v>0.0</v>
      </c>
      <c r="D1573">
        <v>0.0</v>
      </c>
      <c r="F1573" t="s">
        <v>2942</v>
      </c>
      <c r="G1573" t="s">
        <v>2943</v>
      </c>
      <c r="H1573" t="s">
        <v>2944</v>
      </c>
      <c r="I1573" t="s">
        <v>83</v>
      </c>
    </row>
    <row r="1574" customHeight="1" ht="14.0">
      <c r="A1574" t="s">
        <v>4530</v>
      </c>
      <c r="B1574" s="153">
        <v>92907.0</v>
      </c>
      <c r="C1574">
        <v>0.0</v>
      </c>
      <c r="D1574">
        <v>0.0</v>
      </c>
      <c r="F1574" t="s">
        <v>2942</v>
      </c>
      <c r="G1574" t="s">
        <v>2943</v>
      </c>
      <c r="H1574" t="s">
        <v>2944</v>
      </c>
      <c r="I1574" t="s">
        <v>83</v>
      </c>
    </row>
    <row r="1575" customHeight="1" ht="14.0">
      <c r="A1575" t="s">
        <v>4531</v>
      </c>
      <c r="B1575" s="153">
        <v>92908.0</v>
      </c>
      <c r="C1575">
        <v>0.0</v>
      </c>
      <c r="D1575">
        <v>0.0</v>
      </c>
      <c r="F1575" t="s">
        <v>2942</v>
      </c>
      <c r="G1575" t="s">
        <v>2943</v>
      </c>
      <c r="H1575" t="s">
        <v>2944</v>
      </c>
      <c r="I1575" t="s">
        <v>83</v>
      </c>
    </row>
    <row r="1576" customHeight="1" ht="14.0">
      <c r="A1576" t="s">
        <v>4532</v>
      </c>
      <c r="B1576" s="153">
        <v>92909.0</v>
      </c>
      <c r="C1576">
        <v>0.0</v>
      </c>
      <c r="D1576">
        <v>0.0</v>
      </c>
      <c r="F1576" t="s">
        <v>2942</v>
      </c>
      <c r="G1576" t="s">
        <v>2943</v>
      </c>
      <c r="H1576" t="s">
        <v>2944</v>
      </c>
      <c r="I1576" t="s">
        <v>83</v>
      </c>
    </row>
    <row r="1577" customHeight="1" ht="14.0">
      <c r="A1577" t="s">
        <v>4533</v>
      </c>
      <c r="B1577" s="153">
        <v>92910.0</v>
      </c>
      <c r="C1577">
        <v>0.0</v>
      </c>
      <c r="D1577">
        <v>0.0</v>
      </c>
      <c r="F1577" t="s">
        <v>2942</v>
      </c>
      <c r="G1577" t="s">
        <v>2943</v>
      </c>
      <c r="H1577" t="s">
        <v>2944</v>
      </c>
      <c r="I1577" t="s">
        <v>83</v>
      </c>
    </row>
    <row r="1578" customHeight="1" ht="14.0">
      <c r="A1578" t="s">
        <v>4534</v>
      </c>
      <c r="B1578" s="153">
        <v>92911.0</v>
      </c>
      <c r="C1578">
        <v>0.0</v>
      </c>
      <c r="D1578">
        <v>0.0</v>
      </c>
      <c r="F1578" t="s">
        <v>2942</v>
      </c>
      <c r="G1578" t="s">
        <v>2943</v>
      </c>
      <c r="H1578" t="s">
        <v>2944</v>
      </c>
      <c r="I1578" t="s">
        <v>83</v>
      </c>
    </row>
    <row r="1579" customHeight="1" ht="14.0">
      <c r="A1579" t="s">
        <v>4535</v>
      </c>
      <c r="B1579" s="153">
        <v>92912.0</v>
      </c>
      <c r="C1579">
        <v>0.0</v>
      </c>
      <c r="D1579">
        <v>0.0</v>
      </c>
      <c r="F1579" t="s">
        <v>2942</v>
      </c>
      <c r="G1579" t="s">
        <v>2943</v>
      </c>
      <c r="H1579" t="s">
        <v>2944</v>
      </c>
      <c r="I1579" t="s">
        <v>83</v>
      </c>
    </row>
    <row r="1580" customHeight="1" ht="14.0">
      <c r="A1580" t="s">
        <v>4536</v>
      </c>
      <c r="B1580" s="153">
        <v>92913.0</v>
      </c>
      <c r="C1580">
        <v>0.0</v>
      </c>
      <c r="D1580">
        <v>0.0</v>
      </c>
      <c r="F1580" t="s">
        <v>2942</v>
      </c>
      <c r="G1580" t="s">
        <v>2943</v>
      </c>
      <c r="H1580" t="s">
        <v>2944</v>
      </c>
      <c r="I1580" t="s">
        <v>83</v>
      </c>
    </row>
    <row r="1581" customHeight="1" ht="14.0">
      <c r="A1581" t="s">
        <v>4537</v>
      </c>
      <c r="B1581" s="153">
        <v>92914.0</v>
      </c>
      <c r="C1581">
        <v>0.0</v>
      </c>
      <c r="D1581">
        <v>0.0</v>
      </c>
      <c r="F1581" t="s">
        <v>2942</v>
      </c>
      <c r="G1581" t="s">
        <v>2943</v>
      </c>
      <c r="H1581" t="s">
        <v>2944</v>
      </c>
      <c r="I1581" t="s">
        <v>83</v>
      </c>
    </row>
    <row r="1582" customHeight="1" ht="14.0">
      <c r="A1582" t="s">
        <v>4538</v>
      </c>
      <c r="B1582" s="153">
        <v>92915.0</v>
      </c>
      <c r="C1582">
        <v>0.0</v>
      </c>
      <c r="D1582">
        <v>0.0</v>
      </c>
      <c r="F1582" t="s">
        <v>2942</v>
      </c>
      <c r="G1582" t="s">
        <v>2943</v>
      </c>
      <c r="H1582" t="s">
        <v>2944</v>
      </c>
      <c r="I1582" t="s">
        <v>83</v>
      </c>
    </row>
    <row r="1583" customHeight="1" ht="14.0">
      <c r="A1583" t="s">
        <v>4539</v>
      </c>
      <c r="B1583" s="153">
        <v>92916.0</v>
      </c>
      <c r="C1583">
        <v>0.0</v>
      </c>
      <c r="D1583">
        <v>0.0</v>
      </c>
      <c r="F1583" t="s">
        <v>2942</v>
      </c>
      <c r="G1583" t="s">
        <v>2943</v>
      </c>
      <c r="H1583" t="s">
        <v>2944</v>
      </c>
      <c r="I1583" t="s">
        <v>83</v>
      </c>
    </row>
    <row r="1584" customHeight="1" ht="14.0">
      <c r="A1584" t="s">
        <v>4540</v>
      </c>
      <c r="B1584" s="153">
        <v>92918.0</v>
      </c>
      <c r="C1584">
        <v>0.0</v>
      </c>
      <c r="D1584">
        <v>0.0</v>
      </c>
      <c r="F1584" t="s">
        <v>2942</v>
      </c>
      <c r="G1584" t="s">
        <v>2943</v>
      </c>
      <c r="H1584" t="s">
        <v>2944</v>
      </c>
      <c r="I1584" t="s">
        <v>83</v>
      </c>
    </row>
    <row r="1585" customHeight="1" ht="14.0">
      <c r="A1585" t="s">
        <v>4541</v>
      </c>
      <c r="B1585" s="153">
        <v>92919.0</v>
      </c>
      <c r="C1585">
        <v>0.0</v>
      </c>
      <c r="D1585">
        <v>0.0</v>
      </c>
      <c r="F1585" t="s">
        <v>2942</v>
      </c>
      <c r="G1585" t="s">
        <v>2943</v>
      </c>
      <c r="H1585" t="s">
        <v>2944</v>
      </c>
      <c r="I1585" t="s">
        <v>83</v>
      </c>
    </row>
    <row r="1586" customHeight="1" ht="14.0">
      <c r="A1586" t="s">
        <v>4542</v>
      </c>
      <c r="B1586" s="153" t="s">
        <v>4543</v>
      </c>
      <c r="C1586">
        <v>0.0</v>
      </c>
      <c r="D1586">
        <v>0.0</v>
      </c>
      <c r="F1586" t="s">
        <v>2942</v>
      </c>
      <c r="G1586" t="s">
        <v>2943</v>
      </c>
      <c r="H1586" t="s">
        <v>2944</v>
      </c>
      <c r="I1586" t="s">
        <v>83</v>
      </c>
    </row>
    <row r="1587" customHeight="1" ht="14.0">
      <c r="A1587" t="s">
        <v>4544</v>
      </c>
      <c r="B1587" s="153">
        <v>92920.0</v>
      </c>
      <c r="C1587">
        <v>0.0</v>
      </c>
      <c r="D1587">
        <v>0.0</v>
      </c>
      <c r="F1587" t="s">
        <v>2942</v>
      </c>
      <c r="G1587" t="s">
        <v>2943</v>
      </c>
      <c r="H1587" t="s">
        <v>2944</v>
      </c>
      <c r="I1587" t="s">
        <v>83</v>
      </c>
    </row>
    <row r="1588" customHeight="1" ht="14.0">
      <c r="A1588" t="s">
        <v>4545</v>
      </c>
      <c r="B1588" s="153">
        <v>92921.0</v>
      </c>
      <c r="C1588">
        <v>0.0</v>
      </c>
      <c r="D1588">
        <v>0.0</v>
      </c>
      <c r="F1588" t="s">
        <v>2942</v>
      </c>
      <c r="G1588" t="s">
        <v>2943</v>
      </c>
      <c r="H1588" t="s">
        <v>2944</v>
      </c>
      <c r="I1588" t="s">
        <v>83</v>
      </c>
    </row>
    <row r="1589" customHeight="1" ht="14.0">
      <c r="A1589" t="s">
        <v>4546</v>
      </c>
      <c r="B1589" s="153">
        <v>92922.0</v>
      </c>
      <c r="C1589">
        <v>0.0</v>
      </c>
      <c r="D1589">
        <v>0.0</v>
      </c>
      <c r="F1589" t="s">
        <v>2942</v>
      </c>
      <c r="G1589" t="s">
        <v>2943</v>
      </c>
      <c r="H1589" t="s">
        <v>2944</v>
      </c>
      <c r="I1589" t="s">
        <v>83</v>
      </c>
    </row>
    <row r="1590" customHeight="1" ht="14.0">
      <c r="A1590" t="s">
        <v>4547</v>
      </c>
      <c r="B1590" s="153">
        <v>92923.0</v>
      </c>
      <c r="C1590">
        <v>0.0</v>
      </c>
      <c r="D1590">
        <v>0.0</v>
      </c>
      <c r="F1590" t="s">
        <v>2942</v>
      </c>
      <c r="G1590" t="s">
        <v>2943</v>
      </c>
      <c r="H1590" t="s">
        <v>2944</v>
      </c>
      <c r="I1590" t="s">
        <v>83</v>
      </c>
    </row>
    <row r="1591" customHeight="1" ht="14.0">
      <c r="A1591" t="s">
        <v>4548</v>
      </c>
      <c r="B1591" s="153">
        <v>92925.0</v>
      </c>
      <c r="C1591">
        <v>0.0</v>
      </c>
      <c r="D1591">
        <v>0.0</v>
      </c>
      <c r="F1591" t="s">
        <v>2942</v>
      </c>
      <c r="G1591" t="s">
        <v>2943</v>
      </c>
      <c r="H1591" t="s">
        <v>2944</v>
      </c>
      <c r="I1591" t="s">
        <v>83</v>
      </c>
    </row>
    <row r="1592" customHeight="1" ht="14.0">
      <c r="A1592" t="s">
        <v>4549</v>
      </c>
      <c r="B1592" s="153">
        <v>92926.0</v>
      </c>
      <c r="C1592">
        <v>0.0</v>
      </c>
      <c r="D1592">
        <v>0.0</v>
      </c>
      <c r="F1592" t="s">
        <v>2942</v>
      </c>
      <c r="G1592" t="s">
        <v>2943</v>
      </c>
      <c r="H1592" t="s">
        <v>2944</v>
      </c>
      <c r="I1592" t="s">
        <v>83</v>
      </c>
    </row>
    <row r="1593" customHeight="1" ht="14.0">
      <c r="A1593" t="s">
        <v>4550</v>
      </c>
      <c r="B1593" s="153" t="s">
        <v>4551</v>
      </c>
      <c r="C1593">
        <v>0.0</v>
      </c>
      <c r="D1593">
        <v>0.0</v>
      </c>
      <c r="F1593" t="s">
        <v>2942</v>
      </c>
      <c r="G1593" t="s">
        <v>2943</v>
      </c>
      <c r="H1593" t="s">
        <v>2944</v>
      </c>
      <c r="I1593" t="s">
        <v>4339</v>
      </c>
    </row>
    <row r="1594" customHeight="1" ht="14.0">
      <c r="A1594" t="s">
        <v>4552</v>
      </c>
      <c r="B1594" s="153" t="s">
        <v>4553</v>
      </c>
      <c r="C1594">
        <v>0.0</v>
      </c>
      <c r="D1594">
        <v>0.0</v>
      </c>
      <c r="F1594" t="s">
        <v>2942</v>
      </c>
      <c r="G1594" t="s">
        <v>2943</v>
      </c>
      <c r="H1594" t="s">
        <v>2944</v>
      </c>
      <c r="I1594" t="s">
        <v>4339</v>
      </c>
    </row>
    <row r="1595" customHeight="1" ht="14.0">
      <c r="A1595" t="s">
        <v>4554</v>
      </c>
      <c r="B1595" s="153" t="s">
        <v>4555</v>
      </c>
      <c r="C1595">
        <v>0.0</v>
      </c>
      <c r="D1595">
        <v>0.0</v>
      </c>
      <c r="F1595" t="s">
        <v>2942</v>
      </c>
      <c r="G1595" t="s">
        <v>2943</v>
      </c>
      <c r="H1595" t="s">
        <v>2944</v>
      </c>
      <c r="I1595" t="s">
        <v>4339</v>
      </c>
    </row>
    <row r="1596" customHeight="1" ht="14.0">
      <c r="A1596" t="s">
        <v>4556</v>
      </c>
      <c r="B1596" s="153" t="s">
        <v>4557</v>
      </c>
      <c r="C1596">
        <v>0.0</v>
      </c>
      <c r="D1596">
        <v>0.0</v>
      </c>
      <c r="F1596" t="s">
        <v>2942</v>
      </c>
      <c r="G1596" t="s">
        <v>2943</v>
      </c>
      <c r="H1596" t="s">
        <v>2944</v>
      </c>
      <c r="I1596" t="s">
        <v>4339</v>
      </c>
    </row>
    <row r="1597" customHeight="1" ht="14.0">
      <c r="A1597" t="s">
        <v>4558</v>
      </c>
      <c r="B1597" s="153" t="s">
        <v>4559</v>
      </c>
      <c r="C1597">
        <v>0.0</v>
      </c>
      <c r="D1597">
        <v>0.0</v>
      </c>
      <c r="F1597" t="s">
        <v>2942</v>
      </c>
      <c r="G1597" t="s">
        <v>2943</v>
      </c>
      <c r="H1597" t="s">
        <v>2944</v>
      </c>
      <c r="I1597" t="s">
        <v>4339</v>
      </c>
    </row>
    <row r="1598" customHeight="1" ht="14.0">
      <c r="A1598" t="s">
        <v>4560</v>
      </c>
      <c r="B1598" s="153" t="s">
        <v>4561</v>
      </c>
      <c r="C1598">
        <v>0.0</v>
      </c>
      <c r="D1598">
        <v>0.0</v>
      </c>
      <c r="F1598" t="s">
        <v>2942</v>
      </c>
      <c r="G1598" t="s">
        <v>2943</v>
      </c>
      <c r="H1598" t="s">
        <v>2944</v>
      </c>
      <c r="I1598" t="s">
        <v>4339</v>
      </c>
    </row>
    <row r="1599" customHeight="1" ht="14.0">
      <c r="A1599" t="s">
        <v>4562</v>
      </c>
      <c r="B1599" s="153" t="s">
        <v>4563</v>
      </c>
      <c r="C1599">
        <v>0.0</v>
      </c>
      <c r="D1599">
        <v>0.0</v>
      </c>
      <c r="F1599" t="s">
        <v>2942</v>
      </c>
      <c r="G1599" t="s">
        <v>2943</v>
      </c>
      <c r="H1599" t="s">
        <v>2944</v>
      </c>
      <c r="I1599" t="s">
        <v>4339</v>
      </c>
    </row>
    <row r="1600" customHeight="1" ht="14.0">
      <c r="A1600" t="s">
        <v>4564</v>
      </c>
      <c r="B1600" s="153" t="s">
        <v>4565</v>
      </c>
      <c r="C1600">
        <v>0.0</v>
      </c>
      <c r="D1600">
        <v>0.0</v>
      </c>
      <c r="F1600" t="s">
        <v>2942</v>
      </c>
      <c r="G1600" t="s">
        <v>2943</v>
      </c>
      <c r="H1600" t="s">
        <v>2944</v>
      </c>
      <c r="I1600" t="s">
        <v>4339</v>
      </c>
    </row>
    <row r="1601" customHeight="1" ht="14.0">
      <c r="A1601" t="s">
        <v>4566</v>
      </c>
      <c r="B1601" s="153" t="s">
        <v>4567</v>
      </c>
      <c r="C1601">
        <v>0.0</v>
      </c>
      <c r="D1601">
        <v>0.0</v>
      </c>
      <c r="F1601" t="s">
        <v>2942</v>
      </c>
      <c r="G1601" t="s">
        <v>2943</v>
      </c>
      <c r="H1601" t="s">
        <v>2944</v>
      </c>
      <c r="I1601" t="s">
        <v>4339</v>
      </c>
    </row>
    <row r="1602" customHeight="1" ht="14.0">
      <c r="A1602" t="s">
        <v>4568</v>
      </c>
      <c r="B1602" s="153" t="s">
        <v>4569</v>
      </c>
      <c r="C1602">
        <v>0.0</v>
      </c>
      <c r="D1602">
        <v>0.0</v>
      </c>
      <c r="F1602" t="s">
        <v>2942</v>
      </c>
      <c r="G1602" t="s">
        <v>2943</v>
      </c>
      <c r="H1602" t="s">
        <v>2944</v>
      </c>
      <c r="I1602" t="s">
        <v>4339</v>
      </c>
    </row>
    <row r="1603" customHeight="1" ht="14.0">
      <c r="A1603" t="s">
        <v>4570</v>
      </c>
      <c r="B1603" s="153" t="s">
        <v>4571</v>
      </c>
      <c r="C1603">
        <v>0.0</v>
      </c>
      <c r="D1603">
        <v>0.0</v>
      </c>
      <c r="F1603" t="s">
        <v>2942</v>
      </c>
      <c r="G1603" t="s">
        <v>2943</v>
      </c>
      <c r="H1603" t="s">
        <v>2944</v>
      </c>
      <c r="I1603" t="s">
        <v>4339</v>
      </c>
    </row>
    <row r="1604" customHeight="1" ht="14.0">
      <c r="A1604" t="s">
        <v>4572</v>
      </c>
      <c r="B1604" s="153" t="s">
        <v>4573</v>
      </c>
      <c r="C1604">
        <v>0.0</v>
      </c>
      <c r="D1604">
        <v>0.0</v>
      </c>
      <c r="F1604" t="s">
        <v>2942</v>
      </c>
      <c r="G1604" t="s">
        <v>2943</v>
      </c>
      <c r="H1604" t="s">
        <v>2944</v>
      </c>
      <c r="I1604" t="s">
        <v>4339</v>
      </c>
    </row>
    <row r="1605" customHeight="1" ht="14.0">
      <c r="A1605" t="s">
        <v>4574</v>
      </c>
      <c r="B1605" s="153" t="s">
        <v>4575</v>
      </c>
      <c r="C1605">
        <v>0.0</v>
      </c>
      <c r="D1605">
        <v>0.0</v>
      </c>
      <c r="F1605" t="s">
        <v>2942</v>
      </c>
      <c r="G1605" t="s">
        <v>2943</v>
      </c>
      <c r="H1605" t="s">
        <v>2944</v>
      </c>
      <c r="I1605" t="s">
        <v>4339</v>
      </c>
    </row>
    <row r="1606" customHeight="1" ht="14.0">
      <c r="A1606" t="s">
        <v>4576</v>
      </c>
      <c r="B1606" s="153" t="s">
        <v>4577</v>
      </c>
      <c r="C1606">
        <v>0.0</v>
      </c>
      <c r="D1606">
        <v>0.0</v>
      </c>
      <c r="F1606" t="s">
        <v>2942</v>
      </c>
      <c r="G1606" t="s">
        <v>2943</v>
      </c>
      <c r="H1606" t="s">
        <v>2944</v>
      </c>
      <c r="I1606" t="s">
        <v>4339</v>
      </c>
    </row>
    <row r="1607" customHeight="1" ht="14.0">
      <c r="A1607" t="s">
        <v>4578</v>
      </c>
      <c r="B1607" s="153" t="s">
        <v>4579</v>
      </c>
      <c r="C1607">
        <v>0.0</v>
      </c>
      <c r="D1607">
        <v>0.0</v>
      </c>
      <c r="F1607" t="s">
        <v>2942</v>
      </c>
      <c r="G1607" t="s">
        <v>2943</v>
      </c>
      <c r="H1607" t="s">
        <v>2944</v>
      </c>
      <c r="I1607" t="s">
        <v>4339</v>
      </c>
    </row>
    <row r="1608" customHeight="1" ht="14.0">
      <c r="A1608" t="s">
        <v>4580</v>
      </c>
      <c r="B1608" s="153" t="s">
        <v>4581</v>
      </c>
      <c r="C1608">
        <v>0.0</v>
      </c>
      <c r="D1608">
        <v>0.0</v>
      </c>
      <c r="F1608" t="s">
        <v>2942</v>
      </c>
      <c r="G1608" t="s">
        <v>2943</v>
      </c>
      <c r="H1608" t="s">
        <v>2944</v>
      </c>
      <c r="I1608" t="s">
        <v>4339</v>
      </c>
    </row>
    <row r="1609" customHeight="1" ht="14.0">
      <c r="A1609" t="s">
        <v>4582</v>
      </c>
      <c r="B1609" s="153" t="s">
        <v>4583</v>
      </c>
      <c r="C1609">
        <v>0.0</v>
      </c>
      <c r="D1609">
        <v>0.0</v>
      </c>
      <c r="F1609" t="s">
        <v>2942</v>
      </c>
      <c r="G1609" t="s">
        <v>2943</v>
      </c>
      <c r="H1609" t="s">
        <v>2944</v>
      </c>
      <c r="I1609" t="s">
        <v>4339</v>
      </c>
    </row>
    <row r="1610" customHeight="1" ht="14.0">
      <c r="A1610" t="s">
        <v>4584</v>
      </c>
      <c r="B1610" s="153" t="s">
        <v>4585</v>
      </c>
      <c r="C1610">
        <v>0.0</v>
      </c>
      <c r="D1610">
        <v>0.0</v>
      </c>
      <c r="F1610" t="s">
        <v>2942</v>
      </c>
      <c r="G1610" t="s">
        <v>2943</v>
      </c>
      <c r="H1610" t="s">
        <v>2944</v>
      </c>
      <c r="I1610" t="s">
        <v>4339</v>
      </c>
    </row>
    <row r="1611" customHeight="1" ht="14.0">
      <c r="A1611" t="s">
        <v>4586</v>
      </c>
      <c r="B1611" s="153" t="s">
        <v>4587</v>
      </c>
      <c r="C1611">
        <v>0.0</v>
      </c>
      <c r="D1611">
        <v>0.0</v>
      </c>
      <c r="F1611" t="s">
        <v>2942</v>
      </c>
      <c r="G1611" t="s">
        <v>2943</v>
      </c>
      <c r="H1611" t="s">
        <v>2944</v>
      </c>
      <c r="I1611" t="s">
        <v>4339</v>
      </c>
    </row>
    <row r="1612" customHeight="1" ht="14.0">
      <c r="A1612" t="s">
        <v>4588</v>
      </c>
      <c r="B1612" s="153" t="s">
        <v>4589</v>
      </c>
      <c r="C1612">
        <v>0.0</v>
      </c>
      <c r="D1612">
        <v>0.0</v>
      </c>
      <c r="F1612" t="s">
        <v>2942</v>
      </c>
      <c r="G1612" t="s">
        <v>2943</v>
      </c>
      <c r="H1612" t="s">
        <v>2944</v>
      </c>
      <c r="I1612" t="s">
        <v>4339</v>
      </c>
    </row>
    <row r="1613" customHeight="1" ht="14.0">
      <c r="A1613" t="s">
        <v>4590</v>
      </c>
      <c r="B1613" s="153" t="s">
        <v>4591</v>
      </c>
      <c r="C1613">
        <v>0.0</v>
      </c>
      <c r="D1613">
        <v>0.0</v>
      </c>
      <c r="F1613" t="s">
        <v>2942</v>
      </c>
      <c r="G1613" t="s">
        <v>2943</v>
      </c>
      <c r="H1613" t="s">
        <v>2944</v>
      </c>
      <c r="I1613" t="s">
        <v>4339</v>
      </c>
    </row>
    <row r="1614" customHeight="1" ht="14.0">
      <c r="A1614" t="s">
        <v>4592</v>
      </c>
      <c r="B1614" s="153" t="s">
        <v>4593</v>
      </c>
      <c r="C1614">
        <v>0.0</v>
      </c>
      <c r="D1614">
        <v>0.0</v>
      </c>
      <c r="F1614" t="s">
        <v>2942</v>
      </c>
      <c r="G1614" t="s">
        <v>2943</v>
      </c>
      <c r="H1614" t="s">
        <v>2944</v>
      </c>
      <c r="I1614" t="s">
        <v>4339</v>
      </c>
    </row>
    <row r="1615" customHeight="1" ht="14.0">
      <c r="A1615" t="s">
        <v>4594</v>
      </c>
      <c r="B1615" s="153" t="s">
        <v>4595</v>
      </c>
      <c r="C1615">
        <v>0.0</v>
      </c>
      <c r="D1615">
        <v>0.0</v>
      </c>
      <c r="F1615" t="s">
        <v>2942</v>
      </c>
      <c r="G1615" t="s">
        <v>2943</v>
      </c>
      <c r="H1615" t="s">
        <v>2944</v>
      </c>
      <c r="I1615" t="s">
        <v>4339</v>
      </c>
    </row>
    <row r="1616" customHeight="1" ht="14.0">
      <c r="A1616" t="s">
        <v>4596</v>
      </c>
      <c r="B1616" s="153" t="s">
        <v>4597</v>
      </c>
      <c r="C1616">
        <v>0.0</v>
      </c>
      <c r="D1616">
        <v>0.0</v>
      </c>
      <c r="F1616" t="s">
        <v>2942</v>
      </c>
      <c r="G1616" t="s">
        <v>2943</v>
      </c>
      <c r="H1616" t="s">
        <v>2944</v>
      </c>
      <c r="I1616" t="s">
        <v>4339</v>
      </c>
    </row>
    <row r="1617" customHeight="1" ht="14.0">
      <c r="A1617" t="s">
        <v>4598</v>
      </c>
      <c r="B1617" s="153" t="s">
        <v>4599</v>
      </c>
      <c r="C1617">
        <v>0.0</v>
      </c>
      <c r="D1617">
        <v>0.0</v>
      </c>
      <c r="F1617" t="s">
        <v>2942</v>
      </c>
      <c r="G1617" t="s">
        <v>2943</v>
      </c>
      <c r="H1617" t="s">
        <v>2944</v>
      </c>
      <c r="I1617" t="s">
        <v>4339</v>
      </c>
    </row>
    <row r="1618" customHeight="1" ht="14.0">
      <c r="A1618" t="s">
        <v>4600</v>
      </c>
      <c r="B1618" s="153" t="s">
        <v>4601</v>
      </c>
      <c r="C1618">
        <v>0.0</v>
      </c>
      <c r="D1618">
        <v>0.0</v>
      </c>
      <c r="F1618" t="s">
        <v>2942</v>
      </c>
      <c r="G1618" t="s">
        <v>2943</v>
      </c>
      <c r="H1618" t="s">
        <v>2944</v>
      </c>
      <c r="I1618" t="s">
        <v>4339</v>
      </c>
    </row>
    <row r="1619" customHeight="1" ht="14.0">
      <c r="A1619" t="s">
        <v>4602</v>
      </c>
      <c r="B1619" s="153" t="s">
        <v>4603</v>
      </c>
      <c r="C1619">
        <v>0.0</v>
      </c>
      <c r="D1619">
        <v>0.0</v>
      </c>
      <c r="F1619" t="s">
        <v>2942</v>
      </c>
      <c r="G1619" t="s">
        <v>2943</v>
      </c>
      <c r="H1619" t="s">
        <v>2944</v>
      </c>
      <c r="I1619" t="s">
        <v>4339</v>
      </c>
    </row>
    <row r="1620" customHeight="1" ht="14.0">
      <c r="A1620" t="s">
        <v>4604</v>
      </c>
      <c r="B1620" s="153" t="s">
        <v>4605</v>
      </c>
      <c r="C1620">
        <v>0.0</v>
      </c>
      <c r="D1620">
        <v>0.0</v>
      </c>
      <c r="F1620" t="s">
        <v>2942</v>
      </c>
      <c r="G1620" t="s">
        <v>2943</v>
      </c>
      <c r="H1620" t="s">
        <v>2944</v>
      </c>
      <c r="I1620" t="s">
        <v>4339</v>
      </c>
    </row>
    <row r="1621" customHeight="1" ht="14.0">
      <c r="A1621" t="s">
        <v>4606</v>
      </c>
      <c r="B1621" s="153" t="s">
        <v>4607</v>
      </c>
      <c r="C1621">
        <v>0.0</v>
      </c>
      <c r="D1621">
        <v>0.0</v>
      </c>
      <c r="F1621" t="s">
        <v>2942</v>
      </c>
      <c r="G1621" t="s">
        <v>2943</v>
      </c>
      <c r="H1621" t="s">
        <v>2944</v>
      </c>
      <c r="I1621" t="s">
        <v>4339</v>
      </c>
    </row>
    <row r="1622" customHeight="1" ht="14.0">
      <c r="A1622" t="s">
        <v>4608</v>
      </c>
      <c r="B1622" s="153" t="s">
        <v>4609</v>
      </c>
      <c r="C1622">
        <v>0.0</v>
      </c>
      <c r="D1622">
        <v>0.0</v>
      </c>
      <c r="F1622" t="s">
        <v>2942</v>
      </c>
      <c r="G1622" t="s">
        <v>2943</v>
      </c>
      <c r="H1622" t="s">
        <v>2944</v>
      </c>
      <c r="I1622" t="s">
        <v>4339</v>
      </c>
    </row>
    <row r="1623" customHeight="1" ht="14.0">
      <c r="A1623" t="s">
        <v>4610</v>
      </c>
      <c r="B1623" s="153" t="s">
        <v>4611</v>
      </c>
      <c r="C1623">
        <v>0.0</v>
      </c>
      <c r="D1623">
        <v>0.0</v>
      </c>
      <c r="F1623" t="s">
        <v>2942</v>
      </c>
      <c r="G1623" t="s">
        <v>2943</v>
      </c>
      <c r="H1623" t="s">
        <v>2944</v>
      </c>
      <c r="I1623" t="s">
        <v>4339</v>
      </c>
    </row>
    <row r="1624" customHeight="1" ht="14.0">
      <c r="A1624" t="s">
        <v>4612</v>
      </c>
      <c r="B1624" s="153" t="s">
        <v>4613</v>
      </c>
      <c r="C1624">
        <v>0.0</v>
      </c>
      <c r="D1624">
        <v>0.0</v>
      </c>
      <c r="F1624" t="s">
        <v>2942</v>
      </c>
      <c r="G1624" t="s">
        <v>2943</v>
      </c>
      <c r="H1624" t="s">
        <v>2944</v>
      </c>
      <c r="I1624" t="s">
        <v>4339</v>
      </c>
    </row>
    <row r="1625" customHeight="1" ht="14.0">
      <c r="A1625" t="s">
        <v>4614</v>
      </c>
      <c r="B1625" s="153" t="s">
        <v>4615</v>
      </c>
      <c r="C1625">
        <v>0.0</v>
      </c>
      <c r="D1625">
        <v>0.0</v>
      </c>
      <c r="F1625" t="s">
        <v>2942</v>
      </c>
      <c r="G1625" t="s">
        <v>2943</v>
      </c>
      <c r="H1625" t="s">
        <v>2944</v>
      </c>
      <c r="I1625" t="s">
        <v>4339</v>
      </c>
    </row>
    <row r="1626" customHeight="1" ht="14.0">
      <c r="A1626" t="s">
        <v>4616</v>
      </c>
      <c r="B1626" s="153" t="s">
        <v>4617</v>
      </c>
      <c r="C1626">
        <v>0.0</v>
      </c>
      <c r="D1626">
        <v>0.0</v>
      </c>
      <c r="F1626" t="s">
        <v>2942</v>
      </c>
      <c r="G1626" t="s">
        <v>2943</v>
      </c>
      <c r="H1626" t="s">
        <v>2944</v>
      </c>
      <c r="I1626" t="s">
        <v>4339</v>
      </c>
    </row>
    <row r="1627" customHeight="1" ht="14.0">
      <c r="A1627" t="s">
        <v>4618</v>
      </c>
      <c r="B1627" s="153" t="s">
        <v>4619</v>
      </c>
      <c r="C1627">
        <v>0.0</v>
      </c>
      <c r="D1627">
        <v>0.0</v>
      </c>
      <c r="F1627" t="s">
        <v>2942</v>
      </c>
      <c r="G1627" t="s">
        <v>2943</v>
      </c>
      <c r="H1627" t="s">
        <v>2944</v>
      </c>
      <c r="I1627" t="s">
        <v>4339</v>
      </c>
    </row>
    <row r="1628" customHeight="1" ht="14.0">
      <c r="A1628" t="s">
        <v>4620</v>
      </c>
      <c r="B1628" s="153" t="s">
        <v>4621</v>
      </c>
      <c r="C1628">
        <v>0.0</v>
      </c>
      <c r="D1628">
        <v>0.0</v>
      </c>
      <c r="F1628" t="s">
        <v>2942</v>
      </c>
      <c r="G1628" t="s">
        <v>2943</v>
      </c>
      <c r="H1628" t="s">
        <v>2944</v>
      </c>
      <c r="I1628" t="s">
        <v>4339</v>
      </c>
    </row>
    <row r="1629" customHeight="1" ht="14.0">
      <c r="A1629" t="s">
        <v>4622</v>
      </c>
      <c r="B1629" s="153" t="s">
        <v>4623</v>
      </c>
      <c r="C1629">
        <v>0.0</v>
      </c>
      <c r="D1629">
        <v>0.0</v>
      </c>
      <c r="F1629" t="s">
        <v>2942</v>
      </c>
      <c r="G1629" t="s">
        <v>2943</v>
      </c>
      <c r="H1629" t="s">
        <v>2944</v>
      </c>
      <c r="I1629" t="s">
        <v>4339</v>
      </c>
    </row>
    <row r="1630" customHeight="1" ht="14.0">
      <c r="A1630" t="s">
        <v>4624</v>
      </c>
      <c r="B1630" s="153" t="s">
        <v>4625</v>
      </c>
      <c r="C1630">
        <v>0.0</v>
      </c>
      <c r="D1630">
        <v>0.0</v>
      </c>
      <c r="F1630" t="s">
        <v>2942</v>
      </c>
      <c r="G1630" t="s">
        <v>2943</v>
      </c>
      <c r="H1630" t="s">
        <v>2944</v>
      </c>
      <c r="I1630" t="s">
        <v>4339</v>
      </c>
    </row>
    <row r="1631" customHeight="1" ht="14.0">
      <c r="A1631" t="s">
        <v>4626</v>
      </c>
      <c r="B1631" s="153" t="s">
        <v>4627</v>
      </c>
      <c r="C1631">
        <v>0.0</v>
      </c>
      <c r="D1631">
        <v>0.0</v>
      </c>
      <c r="F1631" t="s">
        <v>2942</v>
      </c>
      <c r="G1631" t="s">
        <v>2943</v>
      </c>
      <c r="H1631" t="s">
        <v>2944</v>
      </c>
      <c r="I1631" t="s">
        <v>4339</v>
      </c>
    </row>
    <row r="1632" customHeight="1" ht="14.0">
      <c r="A1632" t="s">
        <v>4628</v>
      </c>
      <c r="B1632" s="153" t="s">
        <v>4629</v>
      </c>
      <c r="C1632">
        <v>0.0</v>
      </c>
      <c r="D1632">
        <v>0.0</v>
      </c>
      <c r="F1632" t="s">
        <v>2942</v>
      </c>
      <c r="G1632" t="s">
        <v>2943</v>
      </c>
      <c r="H1632" t="s">
        <v>2944</v>
      </c>
      <c r="I1632" t="s">
        <v>4339</v>
      </c>
    </row>
    <row r="1633" customHeight="1" ht="14.0">
      <c r="A1633" t="s">
        <v>4630</v>
      </c>
      <c r="B1633" s="153" t="s">
        <v>4631</v>
      </c>
      <c r="C1633">
        <v>0.0</v>
      </c>
      <c r="D1633">
        <v>0.0</v>
      </c>
      <c r="F1633" t="s">
        <v>2942</v>
      </c>
      <c r="G1633" t="s">
        <v>2943</v>
      </c>
      <c r="H1633" t="s">
        <v>2944</v>
      </c>
      <c r="I1633" t="s">
        <v>4339</v>
      </c>
    </row>
    <row r="1634" customHeight="1" ht="14.0">
      <c r="A1634" t="s">
        <v>4632</v>
      </c>
      <c r="B1634" s="153" t="s">
        <v>4633</v>
      </c>
      <c r="C1634">
        <v>0.0</v>
      </c>
      <c r="D1634">
        <v>0.0</v>
      </c>
      <c r="F1634" t="s">
        <v>2942</v>
      </c>
      <c r="G1634" t="s">
        <v>2943</v>
      </c>
      <c r="H1634" t="s">
        <v>2944</v>
      </c>
      <c r="I1634" t="s">
        <v>4339</v>
      </c>
    </row>
    <row r="1635" customHeight="1" ht="14.0">
      <c r="A1635" t="s">
        <v>4634</v>
      </c>
      <c r="B1635" s="153" t="s">
        <v>4635</v>
      </c>
      <c r="C1635">
        <v>0.0</v>
      </c>
      <c r="D1635">
        <v>0.0</v>
      </c>
      <c r="F1635" t="s">
        <v>2942</v>
      </c>
      <c r="G1635" t="s">
        <v>2943</v>
      </c>
      <c r="H1635" t="s">
        <v>2944</v>
      </c>
      <c r="I1635" t="s">
        <v>4339</v>
      </c>
    </row>
    <row r="1636" customHeight="1" ht="14.0">
      <c r="A1636" t="s">
        <v>4636</v>
      </c>
      <c r="B1636" s="153" t="s">
        <v>4637</v>
      </c>
      <c r="C1636">
        <v>0.0</v>
      </c>
      <c r="D1636">
        <v>0.0</v>
      </c>
      <c r="F1636" t="s">
        <v>2942</v>
      </c>
      <c r="G1636" t="s">
        <v>2943</v>
      </c>
      <c r="H1636" t="s">
        <v>2944</v>
      </c>
      <c r="I1636" t="s">
        <v>4339</v>
      </c>
    </row>
    <row r="1637" customHeight="1" ht="14.0">
      <c r="A1637" t="s">
        <v>4638</v>
      </c>
      <c r="B1637" s="153" t="s">
        <v>4639</v>
      </c>
      <c r="C1637">
        <v>0.0</v>
      </c>
      <c r="D1637">
        <v>0.0</v>
      </c>
      <c r="F1637" t="s">
        <v>2942</v>
      </c>
      <c r="G1637" t="s">
        <v>2943</v>
      </c>
      <c r="H1637" t="s">
        <v>2944</v>
      </c>
      <c r="I1637" t="s">
        <v>4339</v>
      </c>
    </row>
    <row r="1638" customHeight="1" ht="14.0">
      <c r="A1638" t="s">
        <v>4640</v>
      </c>
      <c r="B1638" s="153" t="s">
        <v>4641</v>
      </c>
      <c r="C1638">
        <v>0.0</v>
      </c>
      <c r="D1638">
        <v>0.0</v>
      </c>
      <c r="F1638" t="s">
        <v>2942</v>
      </c>
      <c r="G1638" t="s">
        <v>2943</v>
      </c>
      <c r="H1638" t="s">
        <v>2944</v>
      </c>
      <c r="I1638" t="s">
        <v>4339</v>
      </c>
    </row>
    <row r="1639" customHeight="1" ht="14.0">
      <c r="A1639" t="s">
        <v>4642</v>
      </c>
      <c r="B1639" s="153" t="s">
        <v>4643</v>
      </c>
      <c r="C1639">
        <v>0.0</v>
      </c>
      <c r="D1639">
        <v>0.0</v>
      </c>
      <c r="F1639" t="s">
        <v>2942</v>
      </c>
      <c r="G1639" t="s">
        <v>2943</v>
      </c>
      <c r="H1639" t="s">
        <v>2944</v>
      </c>
      <c r="I1639" t="s">
        <v>4339</v>
      </c>
    </row>
    <row r="1640" customHeight="1" ht="14.0">
      <c r="A1640" t="s">
        <v>4644</v>
      </c>
      <c r="B1640" s="153" t="s">
        <v>4645</v>
      </c>
      <c r="C1640">
        <v>0.0</v>
      </c>
      <c r="D1640">
        <v>0.0</v>
      </c>
      <c r="F1640" t="s">
        <v>2942</v>
      </c>
      <c r="G1640" t="s">
        <v>2943</v>
      </c>
      <c r="H1640" t="s">
        <v>2944</v>
      </c>
      <c r="I1640" t="s">
        <v>4339</v>
      </c>
    </row>
    <row r="1641" customHeight="1" ht="14.0">
      <c r="A1641" t="s">
        <v>4646</v>
      </c>
      <c r="B1641" s="153" t="s">
        <v>4647</v>
      </c>
      <c r="C1641">
        <v>0.0</v>
      </c>
      <c r="D1641">
        <v>0.0</v>
      </c>
      <c r="F1641" t="s">
        <v>2942</v>
      </c>
      <c r="G1641" t="s">
        <v>2943</v>
      </c>
      <c r="H1641" t="s">
        <v>2944</v>
      </c>
      <c r="I1641" t="s">
        <v>4339</v>
      </c>
    </row>
    <row r="1642" customHeight="1" ht="14.0">
      <c r="A1642" t="s">
        <v>4648</v>
      </c>
      <c r="B1642" s="153" t="s">
        <v>4649</v>
      </c>
      <c r="C1642">
        <v>0.0</v>
      </c>
      <c r="D1642">
        <v>0.0</v>
      </c>
      <c r="F1642" t="s">
        <v>2942</v>
      </c>
      <c r="G1642" t="s">
        <v>2943</v>
      </c>
      <c r="H1642" t="s">
        <v>2944</v>
      </c>
      <c r="I1642" t="s">
        <v>3179</v>
      </c>
    </row>
    <row r="1643" customHeight="1" ht="14.0">
      <c r="A1643" t="s">
        <v>1943</v>
      </c>
      <c r="B1643" s="153" t="s">
        <v>1944</v>
      </c>
      <c r="C1643">
        <v>0.0</v>
      </c>
      <c r="D1643">
        <v>0.0</v>
      </c>
      <c r="F1643" t="s">
        <v>2942</v>
      </c>
      <c r="G1643" t="s">
        <v>2962</v>
      </c>
      <c r="H1643" t="s">
        <v>2963</v>
      </c>
      <c r="I1643" t="s">
        <v>401</v>
      </c>
    </row>
    <row r="1644" customHeight="1" ht="14.0">
      <c r="A1644" t="s">
        <v>1945</v>
      </c>
      <c r="B1644" s="153" t="s">
        <v>1946</v>
      </c>
      <c r="C1644">
        <v>0.0</v>
      </c>
      <c r="D1644">
        <v>0.0</v>
      </c>
      <c r="F1644" t="s">
        <v>2942</v>
      </c>
      <c r="G1644" t="s">
        <v>2943</v>
      </c>
      <c r="H1644" t="s">
        <v>2944</v>
      </c>
      <c r="I1644" t="s">
        <v>401</v>
      </c>
    </row>
    <row r="1645" customHeight="1" ht="14.0">
      <c r="A1645" t="s">
        <v>4650</v>
      </c>
      <c r="B1645" s="153" t="s">
        <v>4651</v>
      </c>
      <c r="C1645">
        <v>0.0</v>
      </c>
      <c r="D1645">
        <v>0.0</v>
      </c>
      <c r="F1645" t="s">
        <v>2942</v>
      </c>
      <c r="G1645" t="s">
        <v>2943</v>
      </c>
      <c r="H1645" t="s">
        <v>2944</v>
      </c>
      <c r="I1645" t="s">
        <v>3724</v>
      </c>
    </row>
    <row r="1646" customHeight="1" ht="14.0">
      <c r="A1646" t="s">
        <v>4652</v>
      </c>
      <c r="B1646" s="153" t="s">
        <v>4653</v>
      </c>
      <c r="C1646">
        <v>0.0</v>
      </c>
      <c r="D1646">
        <v>0.0</v>
      </c>
      <c r="F1646" t="s">
        <v>2942</v>
      </c>
      <c r="G1646" t="s">
        <v>2943</v>
      </c>
      <c r="H1646" t="s">
        <v>2944</v>
      </c>
      <c r="I1646" t="s">
        <v>3724</v>
      </c>
    </row>
    <row r="1647" customHeight="1" ht="14.0">
      <c r="A1647" t="s">
        <v>4654</v>
      </c>
      <c r="B1647" s="153" t="s">
        <v>4655</v>
      </c>
      <c r="C1647">
        <v>0.0</v>
      </c>
      <c r="D1647">
        <v>0.0</v>
      </c>
      <c r="F1647" t="s">
        <v>2942</v>
      </c>
      <c r="G1647" t="s">
        <v>2943</v>
      </c>
      <c r="H1647" t="s">
        <v>2944</v>
      </c>
      <c r="I1647" t="s">
        <v>3724</v>
      </c>
    </row>
    <row r="1648" customHeight="1" ht="14.0">
      <c r="A1648" t="s">
        <v>4656</v>
      </c>
      <c r="B1648" s="153" t="s">
        <v>4657</v>
      </c>
      <c r="C1648">
        <v>0.0</v>
      </c>
      <c r="D1648">
        <v>0.0</v>
      </c>
      <c r="F1648" t="s">
        <v>2942</v>
      </c>
      <c r="G1648" t="s">
        <v>2943</v>
      </c>
      <c r="H1648" t="s">
        <v>2944</v>
      </c>
    </row>
    <row r="1649" customHeight="1" ht="14.0">
      <c r="A1649" t="s">
        <v>1947</v>
      </c>
      <c r="B1649" s="153" t="s">
        <v>1948</v>
      </c>
      <c r="C1649">
        <v>0.0</v>
      </c>
      <c r="D1649">
        <v>0.0</v>
      </c>
      <c r="F1649" t="s">
        <v>2942</v>
      </c>
      <c r="G1649" t="s">
        <v>2943</v>
      </c>
      <c r="H1649" t="s">
        <v>2963</v>
      </c>
      <c r="I1649" t="s">
        <v>4658</v>
      </c>
    </row>
    <row r="1650" customHeight="1" ht="14.0">
      <c r="A1650" t="s">
        <v>1949</v>
      </c>
      <c r="B1650" s="153" t="s">
        <v>1950</v>
      </c>
      <c r="C1650">
        <v>0.0</v>
      </c>
      <c r="D1650">
        <v>0.0</v>
      </c>
      <c r="F1650" t="s">
        <v>2942</v>
      </c>
      <c r="G1650" t="s">
        <v>2943</v>
      </c>
      <c r="H1650" t="s">
        <v>2963</v>
      </c>
      <c r="I1650" t="s">
        <v>4658</v>
      </c>
    </row>
    <row r="1651" customHeight="1" ht="14.0">
      <c r="A1651" t="s">
        <v>1951</v>
      </c>
      <c r="B1651" s="153" t="s">
        <v>1952</v>
      </c>
      <c r="C1651">
        <v>0.0</v>
      </c>
      <c r="D1651">
        <v>0.0</v>
      </c>
      <c r="F1651" t="s">
        <v>2942</v>
      </c>
      <c r="G1651" t="s">
        <v>2943</v>
      </c>
      <c r="H1651" t="s">
        <v>2963</v>
      </c>
      <c r="I1651" t="s">
        <v>4658</v>
      </c>
    </row>
    <row r="1652" customHeight="1" ht="14.0">
      <c r="A1652" t="s">
        <v>1953</v>
      </c>
      <c r="B1652" s="153" t="s">
        <v>1954</v>
      </c>
      <c r="C1652">
        <v>219.0</v>
      </c>
      <c r="D1652">
        <v>1052.67</v>
      </c>
      <c r="E1652">
        <v>4.8067</v>
      </c>
      <c r="F1652" t="s">
        <v>2942</v>
      </c>
      <c r="G1652" t="s">
        <v>2962</v>
      </c>
      <c r="H1652" t="s">
        <v>3005</v>
      </c>
      <c r="I1652" t="s">
        <v>3006</v>
      </c>
    </row>
    <row r="1653" customHeight="1" ht="14.0">
      <c r="A1653" t="s">
        <v>4659</v>
      </c>
      <c r="B1653" s="153" t="s">
        <v>4660</v>
      </c>
      <c r="C1653">
        <v>909.0</v>
      </c>
      <c r="D1653">
        <v>378.3</v>
      </c>
      <c r="E1653">
        <v>0.4162</v>
      </c>
      <c r="F1653" t="s">
        <v>3197</v>
      </c>
      <c r="G1653" t="s">
        <v>2962</v>
      </c>
      <c r="H1653" t="s">
        <v>3455</v>
      </c>
    </row>
    <row r="1654" customHeight="1" ht="14.0">
      <c r="A1654" t="s">
        <v>4661</v>
      </c>
      <c r="B1654" s="153" t="s">
        <v>4662</v>
      </c>
      <c r="C1654">
        <v>546.0</v>
      </c>
      <c r="D1654">
        <v>300.3</v>
      </c>
      <c r="E1654">
        <v>0.55</v>
      </c>
      <c r="F1654" t="s">
        <v>2942</v>
      </c>
      <c r="G1654" t="s">
        <v>2962</v>
      </c>
      <c r="H1654" t="s">
        <v>3161</v>
      </c>
      <c r="I1654" t="s">
        <v>3167</v>
      </c>
    </row>
    <row r="1655" customHeight="1" ht="14.0">
      <c r="A1655" t="s">
        <v>4663</v>
      </c>
      <c r="B1655" s="153" t="s">
        <v>4664</v>
      </c>
      <c r="C1655">
        <v>372.0</v>
      </c>
      <c r="D1655">
        <v>186.0</v>
      </c>
      <c r="E1655">
        <v>0.5</v>
      </c>
      <c r="F1655" t="s">
        <v>2942</v>
      </c>
      <c r="G1655" t="s">
        <v>2962</v>
      </c>
      <c r="H1655" t="s">
        <v>3161</v>
      </c>
      <c r="I1655" t="s">
        <v>3447</v>
      </c>
    </row>
    <row r="1656" customHeight="1" ht="14.0">
      <c r="A1656" t="s">
        <v>744</v>
      </c>
      <c r="B1656" s="153" t="s">
        <v>745</v>
      </c>
      <c r="C1656">
        <v>2.0</v>
      </c>
      <c r="D1656">
        <v>161.5</v>
      </c>
      <c r="E1656">
        <v>80.75</v>
      </c>
      <c r="F1656" t="s">
        <v>2942</v>
      </c>
      <c r="G1656" t="s">
        <v>2962</v>
      </c>
      <c r="H1656" t="s">
        <v>30</v>
      </c>
      <c r="I1656" t="s">
        <v>138</v>
      </c>
    </row>
    <row r="1657" customHeight="1" ht="14.0">
      <c r="A1657" t="s">
        <v>189</v>
      </c>
      <c r="B1657" s="153" t="s">
        <v>190</v>
      </c>
      <c r="C1657">
        <v>2.0</v>
      </c>
      <c r="D1657">
        <v>120.09</v>
      </c>
      <c r="E1657">
        <v>60.045</v>
      </c>
      <c r="F1657" t="s">
        <v>2942</v>
      </c>
      <c r="G1657" t="s">
        <v>2962</v>
      </c>
      <c r="H1657" t="s">
        <v>30</v>
      </c>
      <c r="I1657" t="s">
        <v>138</v>
      </c>
    </row>
    <row r="1658" customHeight="1" ht="14.0">
      <c r="A1658" t="s">
        <v>193</v>
      </c>
      <c r="B1658" s="153" t="s">
        <v>194</v>
      </c>
      <c r="C1658">
        <v>1.0</v>
      </c>
      <c r="D1658">
        <v>83.96</v>
      </c>
      <c r="E1658">
        <v>83.96</v>
      </c>
      <c r="F1658" t="s">
        <v>2942</v>
      </c>
      <c r="G1658" t="s">
        <v>2962</v>
      </c>
      <c r="H1658" t="s">
        <v>30</v>
      </c>
      <c r="I1658" t="s">
        <v>138</v>
      </c>
    </row>
    <row r="1659" customHeight="1" ht="14.0">
      <c r="A1659" t="s">
        <v>187</v>
      </c>
      <c r="B1659" s="153" t="s">
        <v>188</v>
      </c>
      <c r="C1659">
        <v>2.0</v>
      </c>
      <c r="D1659">
        <v>126.24</v>
      </c>
      <c r="E1659">
        <v>63.12</v>
      </c>
      <c r="F1659" t="s">
        <v>2942</v>
      </c>
      <c r="G1659" t="s">
        <v>2962</v>
      </c>
      <c r="H1659" t="s">
        <v>30</v>
      </c>
      <c r="I1659" t="s">
        <v>138</v>
      </c>
    </row>
    <row r="1660" customHeight="1" ht="14.0">
      <c r="A1660" t="s">
        <v>191</v>
      </c>
      <c r="B1660" s="153" t="s">
        <v>192</v>
      </c>
      <c r="C1660">
        <v>1.0</v>
      </c>
      <c r="D1660">
        <v>84.57</v>
      </c>
      <c r="E1660">
        <v>84.57</v>
      </c>
      <c r="F1660" t="s">
        <v>2942</v>
      </c>
      <c r="G1660" t="s">
        <v>2962</v>
      </c>
      <c r="H1660" t="s">
        <v>2963</v>
      </c>
      <c r="I1660" t="s">
        <v>138</v>
      </c>
    </row>
    <row r="1661" customHeight="1" ht="14.0">
      <c r="A1661" t="s">
        <v>4665</v>
      </c>
      <c r="B1661" s="153" t="s">
        <v>4666</v>
      </c>
      <c r="C1661">
        <v>15.0</v>
      </c>
      <c r="D1661">
        <v>260.1</v>
      </c>
      <c r="E1661">
        <v>17.34</v>
      </c>
      <c r="F1661" t="s">
        <v>2942</v>
      </c>
      <c r="G1661" t="s">
        <v>2962</v>
      </c>
      <c r="I1661" t="s">
        <v>197</v>
      </c>
    </row>
    <row r="1662" customHeight="1" ht="14.0">
      <c r="A1662" t="s">
        <v>1955</v>
      </c>
      <c r="B1662" s="153" t="s">
        <v>1956</v>
      </c>
      <c r="C1662">
        <v>109.0</v>
      </c>
      <c r="D1662">
        <v>468.48</v>
      </c>
      <c r="E1662">
        <v>4.298</v>
      </c>
      <c r="F1662" t="s">
        <v>2942</v>
      </c>
      <c r="G1662" t="s">
        <v>2962</v>
      </c>
      <c r="H1662" t="s">
        <v>3005</v>
      </c>
      <c r="I1662" t="s">
        <v>3134</v>
      </c>
    </row>
    <row r="1663" customHeight="1" ht="14.0">
      <c r="A1663" t="s">
        <v>2871</v>
      </c>
      <c r="B1663" s="153" t="s">
        <v>2872</v>
      </c>
      <c r="C1663">
        <v>0.0</v>
      </c>
      <c r="D1663">
        <v>0.0</v>
      </c>
      <c r="F1663" t="s">
        <v>2942</v>
      </c>
      <c r="G1663" t="s">
        <v>2962</v>
      </c>
      <c r="H1663" t="s">
        <v>2984</v>
      </c>
      <c r="I1663" t="s">
        <v>4667</v>
      </c>
    </row>
    <row r="1664" customHeight="1" ht="14.0">
      <c r="A1664" t="s">
        <v>4668</v>
      </c>
      <c r="B1664" s="153" t="s">
        <v>4669</v>
      </c>
      <c r="C1664">
        <v>117.0</v>
      </c>
      <c r="D1664">
        <v>226.01</v>
      </c>
      <c r="E1664">
        <v>1.9317</v>
      </c>
      <c r="F1664" t="s">
        <v>2942</v>
      </c>
      <c r="G1664" t="s">
        <v>2962</v>
      </c>
      <c r="H1664" t="s">
        <v>2984</v>
      </c>
      <c r="I1664" t="s">
        <v>4667</v>
      </c>
    </row>
    <row r="1665" customHeight="1" ht="14.0">
      <c r="A1665" t="s">
        <v>4670</v>
      </c>
      <c r="B1665" s="153" t="s">
        <v>4671</v>
      </c>
      <c r="C1665">
        <v>69.0</v>
      </c>
      <c r="D1665">
        <v>132.89</v>
      </c>
      <c r="E1665">
        <v>1.9259</v>
      </c>
      <c r="F1665" t="s">
        <v>2942</v>
      </c>
      <c r="G1665" t="s">
        <v>2962</v>
      </c>
      <c r="H1665" t="s">
        <v>2984</v>
      </c>
      <c r="I1665" t="s">
        <v>4667</v>
      </c>
    </row>
    <row r="1666" customHeight="1" ht="14.0">
      <c r="A1666" t="s">
        <v>4672</v>
      </c>
      <c r="B1666" s="153" t="s">
        <v>4673</v>
      </c>
      <c r="C1666">
        <v>57.0</v>
      </c>
      <c r="D1666">
        <v>109.61</v>
      </c>
      <c r="E1666">
        <v>1.923</v>
      </c>
      <c r="F1666" t="s">
        <v>2942</v>
      </c>
      <c r="G1666" t="s">
        <v>2962</v>
      </c>
      <c r="H1666" t="s">
        <v>2984</v>
      </c>
      <c r="I1666" t="s">
        <v>4667</v>
      </c>
    </row>
    <row r="1667" customHeight="1" ht="14.0">
      <c r="A1667" t="s">
        <v>4674</v>
      </c>
      <c r="B1667" s="153" t="s">
        <v>4675</v>
      </c>
      <c r="C1667">
        <v>118.0</v>
      </c>
      <c r="D1667">
        <v>227.95</v>
      </c>
      <c r="E1667">
        <v>1.9318</v>
      </c>
      <c r="F1667" t="s">
        <v>2942</v>
      </c>
      <c r="G1667" t="s">
        <v>2962</v>
      </c>
      <c r="H1667" t="s">
        <v>2984</v>
      </c>
      <c r="I1667" t="s">
        <v>4667</v>
      </c>
    </row>
    <row r="1668" customHeight="1" ht="14.0">
      <c r="A1668" t="s">
        <v>4676</v>
      </c>
      <c r="B1668" s="153" t="s">
        <v>4677</v>
      </c>
      <c r="C1668">
        <v>209.0</v>
      </c>
      <c r="D1668">
        <v>404.49</v>
      </c>
      <c r="E1668">
        <v>1.9354</v>
      </c>
      <c r="F1668" t="s">
        <v>2942</v>
      </c>
      <c r="G1668" t="s">
        <v>2962</v>
      </c>
      <c r="H1668" t="s">
        <v>2984</v>
      </c>
      <c r="I1668" t="s">
        <v>4667</v>
      </c>
    </row>
    <row r="1669" customHeight="1" ht="14.0">
      <c r="A1669" t="s">
        <v>4678</v>
      </c>
      <c r="B1669" s="153" t="s">
        <v>4679</v>
      </c>
      <c r="C1669">
        <v>0.0</v>
      </c>
      <c r="D1669">
        <v>0.0</v>
      </c>
      <c r="F1669" t="s">
        <v>2942</v>
      </c>
      <c r="G1669" t="s">
        <v>2943</v>
      </c>
      <c r="H1669" t="s">
        <v>2944</v>
      </c>
      <c r="I1669" t="s">
        <v>3179</v>
      </c>
    </row>
    <row r="1670" customHeight="1" ht="14.0">
      <c r="A1670" t="s">
        <v>4680</v>
      </c>
      <c r="B1670" s="153" t="s">
        <v>4681</v>
      </c>
      <c r="C1670">
        <v>0.0</v>
      </c>
      <c r="D1670">
        <v>0.0</v>
      </c>
      <c r="F1670" t="s">
        <v>2942</v>
      </c>
      <c r="G1670" t="s">
        <v>2943</v>
      </c>
      <c r="H1670" t="s">
        <v>2944</v>
      </c>
      <c r="I1670" t="s">
        <v>3179</v>
      </c>
    </row>
    <row r="1671" customHeight="1" ht="14.0">
      <c r="A1671" t="s">
        <v>4682</v>
      </c>
      <c r="B1671" s="153" t="s">
        <v>4683</v>
      </c>
      <c r="C1671">
        <v>0.0</v>
      </c>
      <c r="D1671">
        <v>0.0</v>
      </c>
      <c r="F1671" t="s">
        <v>2942</v>
      </c>
      <c r="G1671" t="s">
        <v>2943</v>
      </c>
      <c r="H1671" t="s">
        <v>2944</v>
      </c>
      <c r="I1671" t="s">
        <v>228</v>
      </c>
    </row>
    <row r="1672" customHeight="1" ht="14.0">
      <c r="A1672" t="s">
        <v>4684</v>
      </c>
      <c r="B1672" s="153" t="s">
        <v>4685</v>
      </c>
      <c r="C1672">
        <v>0.0</v>
      </c>
      <c r="D1672">
        <v>0.0</v>
      </c>
      <c r="F1672" t="s">
        <v>2942</v>
      </c>
      <c r="G1672" t="s">
        <v>2943</v>
      </c>
      <c r="H1672" t="s">
        <v>2944</v>
      </c>
      <c r="I1672" t="s">
        <v>3179</v>
      </c>
    </row>
    <row r="1673" customHeight="1" ht="14.0">
      <c r="A1673" t="s">
        <v>4686</v>
      </c>
      <c r="B1673" s="153" t="s">
        <v>4687</v>
      </c>
      <c r="C1673">
        <v>0.0</v>
      </c>
      <c r="D1673">
        <v>0.0</v>
      </c>
      <c r="F1673" t="s">
        <v>2942</v>
      </c>
      <c r="G1673" t="s">
        <v>2943</v>
      </c>
      <c r="H1673" t="s">
        <v>2944</v>
      </c>
      <c r="I1673" t="s">
        <v>3179</v>
      </c>
    </row>
    <row r="1674" customHeight="1" ht="14.0">
      <c r="A1674" t="s">
        <v>4688</v>
      </c>
      <c r="B1674" s="153" t="s">
        <v>4689</v>
      </c>
      <c r="C1674">
        <v>0.0</v>
      </c>
      <c r="D1674">
        <v>0.0</v>
      </c>
      <c r="F1674" t="s">
        <v>2942</v>
      </c>
      <c r="G1674" t="s">
        <v>2943</v>
      </c>
      <c r="H1674" t="s">
        <v>2944</v>
      </c>
      <c r="I1674" t="s">
        <v>3179</v>
      </c>
    </row>
    <row r="1675" customHeight="1" ht="14.0">
      <c r="A1675" t="s">
        <v>4690</v>
      </c>
      <c r="B1675" s="153" t="s">
        <v>4691</v>
      </c>
      <c r="C1675">
        <v>0.0</v>
      </c>
      <c r="D1675">
        <v>0.0</v>
      </c>
      <c r="F1675" t="s">
        <v>2942</v>
      </c>
      <c r="G1675" t="s">
        <v>2943</v>
      </c>
      <c r="H1675" t="s">
        <v>2944</v>
      </c>
      <c r="I1675" t="s">
        <v>3179</v>
      </c>
    </row>
    <row r="1676" customHeight="1" ht="14.0">
      <c r="A1676" t="s">
        <v>4692</v>
      </c>
      <c r="B1676" s="153" t="s">
        <v>4693</v>
      </c>
      <c r="C1676">
        <v>0.0</v>
      </c>
      <c r="D1676">
        <v>0.0</v>
      </c>
      <c r="F1676" t="s">
        <v>2942</v>
      </c>
      <c r="G1676" t="s">
        <v>2943</v>
      </c>
      <c r="H1676" t="s">
        <v>2944</v>
      </c>
      <c r="I1676" t="s">
        <v>3179</v>
      </c>
    </row>
    <row r="1677" customHeight="1" ht="14.0">
      <c r="A1677" t="s">
        <v>4694</v>
      </c>
      <c r="B1677" s="153" t="s">
        <v>4695</v>
      </c>
      <c r="C1677">
        <v>0.0</v>
      </c>
      <c r="D1677">
        <v>0.0</v>
      </c>
      <c r="F1677" t="s">
        <v>2942</v>
      </c>
      <c r="G1677" t="s">
        <v>2943</v>
      </c>
      <c r="H1677" t="s">
        <v>2944</v>
      </c>
      <c r="I1677" t="s">
        <v>3021</v>
      </c>
    </row>
    <row r="1678" customHeight="1" ht="14.0">
      <c r="A1678" t="s">
        <v>2774</v>
      </c>
      <c r="B1678" s="153" t="s">
        <v>2775</v>
      </c>
      <c r="C1678">
        <v>9.0</v>
      </c>
      <c r="D1678">
        <v>38.81</v>
      </c>
      <c r="E1678">
        <v>4.3122</v>
      </c>
      <c r="F1678" t="s">
        <v>2942</v>
      </c>
      <c r="G1678" t="s">
        <v>2962</v>
      </c>
      <c r="H1678" t="s">
        <v>2984</v>
      </c>
      <c r="I1678" t="s">
        <v>453</v>
      </c>
    </row>
    <row r="1679" customHeight="1" ht="14.0">
      <c r="A1679" t="s">
        <v>478</v>
      </c>
      <c r="B1679" s="153" t="s">
        <v>479</v>
      </c>
      <c r="C1679">
        <v>333.0</v>
      </c>
      <c r="D1679">
        <v>1391.3</v>
      </c>
      <c r="E1679">
        <v>4.1781</v>
      </c>
      <c r="F1679" t="s">
        <v>2942</v>
      </c>
      <c r="G1679" t="s">
        <v>2962</v>
      </c>
      <c r="H1679" t="s">
        <v>30</v>
      </c>
      <c r="I1679" t="s">
        <v>453</v>
      </c>
    </row>
    <row r="1680" customHeight="1" ht="14.0">
      <c r="A1680" t="s">
        <v>482</v>
      </c>
      <c r="B1680" s="153" t="s">
        <v>483</v>
      </c>
      <c r="C1680">
        <v>375.0</v>
      </c>
      <c r="D1680">
        <v>1566.74</v>
      </c>
      <c r="E1680">
        <v>4.178</v>
      </c>
      <c r="F1680" t="s">
        <v>2942</v>
      </c>
      <c r="G1680" t="s">
        <v>2962</v>
      </c>
      <c r="H1680" t="s">
        <v>30</v>
      </c>
      <c r="I1680" t="s">
        <v>453</v>
      </c>
    </row>
    <row r="1681" customHeight="1" ht="14.0">
      <c r="A1681" t="s">
        <v>4696</v>
      </c>
      <c r="B1681" s="153" t="s">
        <v>4697</v>
      </c>
      <c r="C1681">
        <v>273.0</v>
      </c>
      <c r="D1681">
        <v>1407.35</v>
      </c>
      <c r="E1681">
        <v>5.1551</v>
      </c>
      <c r="F1681" t="s">
        <v>2942</v>
      </c>
      <c r="G1681" t="s">
        <v>2962</v>
      </c>
      <c r="H1681" t="s">
        <v>2984</v>
      </c>
      <c r="I1681" t="s">
        <v>453</v>
      </c>
    </row>
    <row r="1682" customHeight="1" ht="14.0">
      <c r="A1682" t="s">
        <v>4698</v>
      </c>
      <c r="B1682" s="153" t="s">
        <v>4699</v>
      </c>
      <c r="C1682">
        <v>140.0</v>
      </c>
      <c r="D1682">
        <v>721.68</v>
      </c>
      <c r="E1682">
        <v>5.1549</v>
      </c>
      <c r="F1682" t="s">
        <v>2942</v>
      </c>
      <c r="G1682" t="s">
        <v>2962</v>
      </c>
      <c r="H1682" t="s">
        <v>2984</v>
      </c>
      <c r="I1682" t="s">
        <v>453</v>
      </c>
    </row>
    <row r="1683" customHeight="1" ht="14.0">
      <c r="A1683" t="s">
        <v>484</v>
      </c>
      <c r="B1683" s="153" t="s">
        <v>485</v>
      </c>
      <c r="C1683">
        <v>241.0</v>
      </c>
      <c r="D1683">
        <v>1007.0</v>
      </c>
      <c r="E1683">
        <v>4.1784</v>
      </c>
      <c r="F1683" t="s">
        <v>2942</v>
      </c>
      <c r="G1683" t="s">
        <v>2962</v>
      </c>
      <c r="H1683" t="s">
        <v>30</v>
      </c>
      <c r="I1683" t="s">
        <v>453</v>
      </c>
    </row>
    <row r="1684" customHeight="1" ht="14.0">
      <c r="A1684" t="s">
        <v>1957</v>
      </c>
      <c r="B1684" s="153" t="s">
        <v>1958</v>
      </c>
      <c r="C1684">
        <v>0.0</v>
      </c>
      <c r="D1684">
        <v>0.0</v>
      </c>
      <c r="F1684" t="s">
        <v>2942</v>
      </c>
      <c r="G1684" t="s">
        <v>2962</v>
      </c>
      <c r="H1684" t="s">
        <v>2963</v>
      </c>
      <c r="I1684" t="s">
        <v>453</v>
      </c>
    </row>
    <row r="1685" customHeight="1" ht="14.0">
      <c r="A1685" t="s">
        <v>460</v>
      </c>
      <c r="B1685" s="153" t="s">
        <v>461</v>
      </c>
      <c r="C1685">
        <v>4.0</v>
      </c>
      <c r="D1685">
        <v>15.62</v>
      </c>
      <c r="E1685">
        <v>3.905</v>
      </c>
      <c r="F1685" t="s">
        <v>2942</v>
      </c>
      <c r="G1685" t="s">
        <v>2962</v>
      </c>
      <c r="H1685" t="s">
        <v>2963</v>
      </c>
      <c r="I1685" t="s">
        <v>453</v>
      </c>
    </row>
    <row r="1686" customHeight="1" ht="14.0">
      <c r="A1686" t="s">
        <v>2776</v>
      </c>
      <c r="B1686" s="153" t="s">
        <v>2777</v>
      </c>
      <c r="C1686">
        <v>183.0</v>
      </c>
      <c r="D1686">
        <v>797.98</v>
      </c>
      <c r="E1686">
        <v>4.3605</v>
      </c>
      <c r="F1686" t="s">
        <v>2942</v>
      </c>
      <c r="G1686" t="s">
        <v>2962</v>
      </c>
      <c r="H1686" t="s">
        <v>2984</v>
      </c>
      <c r="I1686" t="s">
        <v>453</v>
      </c>
    </row>
    <row r="1687" customHeight="1" ht="14.0">
      <c r="A1687" t="s">
        <v>470</v>
      </c>
      <c r="B1687" s="153" t="s">
        <v>471</v>
      </c>
      <c r="C1687">
        <v>391.0</v>
      </c>
      <c r="D1687">
        <v>1527.05</v>
      </c>
      <c r="E1687">
        <v>3.9055</v>
      </c>
      <c r="F1687" t="s">
        <v>2942</v>
      </c>
      <c r="G1687" t="s">
        <v>2962</v>
      </c>
      <c r="H1687" t="s">
        <v>30</v>
      </c>
      <c r="I1687" t="s">
        <v>453</v>
      </c>
    </row>
    <row r="1688" customHeight="1" ht="14.0">
      <c r="A1688" t="s">
        <v>4700</v>
      </c>
      <c r="B1688" s="153" t="s">
        <v>4701</v>
      </c>
      <c r="C1688">
        <v>187.0</v>
      </c>
      <c r="D1688">
        <v>963.96</v>
      </c>
      <c r="E1688">
        <v>5.1549</v>
      </c>
      <c r="F1688" t="s">
        <v>2942</v>
      </c>
      <c r="G1688" t="s">
        <v>2962</v>
      </c>
      <c r="H1688" t="s">
        <v>2984</v>
      </c>
      <c r="I1688" t="s">
        <v>453</v>
      </c>
    </row>
    <row r="1689" customHeight="1" ht="14.0">
      <c r="A1689" t="s">
        <v>4702</v>
      </c>
      <c r="B1689" s="153" t="s">
        <v>4703</v>
      </c>
      <c r="C1689">
        <v>223.0</v>
      </c>
      <c r="D1689">
        <v>1149.58</v>
      </c>
      <c r="E1689">
        <v>5.1551</v>
      </c>
      <c r="F1689" t="s">
        <v>2942</v>
      </c>
      <c r="G1689" t="s">
        <v>2962</v>
      </c>
      <c r="H1689" t="s">
        <v>2984</v>
      </c>
      <c r="I1689" t="s">
        <v>453</v>
      </c>
    </row>
    <row r="1690" customHeight="1" ht="14.0">
      <c r="A1690" t="s">
        <v>1959</v>
      </c>
      <c r="B1690" s="153" t="s">
        <v>1960</v>
      </c>
      <c r="C1690">
        <v>79.0</v>
      </c>
      <c r="D1690">
        <v>309.16</v>
      </c>
      <c r="E1690">
        <v>3.9134</v>
      </c>
      <c r="F1690" t="s">
        <v>2942</v>
      </c>
      <c r="G1690" t="s">
        <v>2962</v>
      </c>
      <c r="H1690" t="s">
        <v>2963</v>
      </c>
      <c r="I1690" t="s">
        <v>453</v>
      </c>
    </row>
    <row r="1691" customHeight="1" ht="14.0">
      <c r="A1691" t="s">
        <v>466</v>
      </c>
      <c r="B1691" s="153" t="s">
        <v>467</v>
      </c>
      <c r="C1691">
        <v>474.0</v>
      </c>
      <c r="D1691">
        <v>2279.57</v>
      </c>
      <c r="E1691">
        <v>4.8092</v>
      </c>
      <c r="F1691" t="s">
        <v>2942</v>
      </c>
      <c r="G1691" t="s">
        <v>2962</v>
      </c>
      <c r="H1691" t="s">
        <v>30</v>
      </c>
      <c r="I1691" t="s">
        <v>453</v>
      </c>
    </row>
    <row r="1692" customHeight="1" ht="14.0">
      <c r="A1692" t="s">
        <v>1961</v>
      </c>
      <c r="B1692" s="153" t="s">
        <v>1962</v>
      </c>
      <c r="C1692">
        <v>1.0</v>
      </c>
      <c r="D1692">
        <v>3.91</v>
      </c>
      <c r="E1692">
        <v>3.91</v>
      </c>
      <c r="F1692" t="s">
        <v>2942</v>
      </c>
      <c r="G1692" t="s">
        <v>2943</v>
      </c>
      <c r="H1692" t="s">
        <v>2963</v>
      </c>
      <c r="I1692" t="s">
        <v>453</v>
      </c>
    </row>
    <row r="1693" customHeight="1" ht="14.0">
      <c r="A1693" t="s">
        <v>468</v>
      </c>
      <c r="B1693" s="153" t="s">
        <v>469</v>
      </c>
      <c r="C1693">
        <v>356.0</v>
      </c>
      <c r="D1693">
        <v>1390.35</v>
      </c>
      <c r="E1693">
        <v>3.9055</v>
      </c>
      <c r="F1693" t="s">
        <v>2942</v>
      </c>
      <c r="G1693" t="s">
        <v>2962</v>
      </c>
      <c r="H1693" t="s">
        <v>30</v>
      </c>
      <c r="I1693" t="s">
        <v>453</v>
      </c>
    </row>
    <row r="1694" customHeight="1" ht="14.0">
      <c r="A1694" t="s">
        <v>480</v>
      </c>
      <c r="B1694" s="153" t="s">
        <v>481</v>
      </c>
      <c r="C1694">
        <v>250.0</v>
      </c>
      <c r="D1694">
        <v>1044.58</v>
      </c>
      <c r="E1694">
        <v>4.1783</v>
      </c>
      <c r="F1694" t="s">
        <v>2942</v>
      </c>
      <c r="G1694" t="s">
        <v>2962</v>
      </c>
      <c r="H1694" t="s">
        <v>30</v>
      </c>
      <c r="I1694" t="s">
        <v>453</v>
      </c>
    </row>
    <row r="1695" customHeight="1" ht="14.0">
      <c r="A1695" t="s">
        <v>4704</v>
      </c>
      <c r="B1695" s="153" t="s">
        <v>4705</v>
      </c>
      <c r="C1695">
        <v>178.0</v>
      </c>
      <c r="D1695">
        <v>917.55</v>
      </c>
      <c r="E1695">
        <v>5.1548</v>
      </c>
      <c r="F1695" t="s">
        <v>2942</v>
      </c>
      <c r="G1695" t="s">
        <v>2962</v>
      </c>
      <c r="H1695" t="s">
        <v>2984</v>
      </c>
      <c r="I1695" t="s">
        <v>453</v>
      </c>
    </row>
    <row r="1696" customHeight="1" ht="14.0">
      <c r="A1696" t="s">
        <v>1963</v>
      </c>
      <c r="B1696" s="153" t="s">
        <v>1964</v>
      </c>
      <c r="C1696">
        <v>178.0</v>
      </c>
      <c r="D1696">
        <v>695.53</v>
      </c>
      <c r="E1696">
        <v>3.9075</v>
      </c>
      <c r="F1696" t="s">
        <v>2942</v>
      </c>
      <c r="G1696" t="s">
        <v>2962</v>
      </c>
      <c r="H1696" t="s">
        <v>2963</v>
      </c>
      <c r="I1696" t="s">
        <v>453</v>
      </c>
    </row>
    <row r="1697" customHeight="1" ht="14.0">
      <c r="A1697" t="s">
        <v>464</v>
      </c>
      <c r="B1697" s="153" t="s">
        <v>465</v>
      </c>
      <c r="C1697">
        <v>361.0</v>
      </c>
      <c r="D1697">
        <v>1544.39</v>
      </c>
      <c r="E1697">
        <v>4.2781</v>
      </c>
      <c r="F1697" t="s">
        <v>2942</v>
      </c>
      <c r="G1697" t="s">
        <v>2962</v>
      </c>
      <c r="H1697" t="s">
        <v>30</v>
      </c>
      <c r="I1697" t="s">
        <v>453</v>
      </c>
    </row>
    <row r="1698" customHeight="1" ht="14.0">
      <c r="A1698" t="s">
        <v>4706</v>
      </c>
      <c r="B1698" s="153" t="s">
        <v>4707</v>
      </c>
      <c r="C1698">
        <v>234.0</v>
      </c>
      <c r="D1698">
        <v>1206.31</v>
      </c>
      <c r="E1698">
        <v>5.1552</v>
      </c>
      <c r="F1698" t="s">
        <v>2942</v>
      </c>
      <c r="G1698" t="s">
        <v>2962</v>
      </c>
      <c r="H1698" t="s">
        <v>2984</v>
      </c>
      <c r="I1698" t="s">
        <v>453</v>
      </c>
    </row>
    <row r="1699" customHeight="1" ht="14.0">
      <c r="A1699" t="s">
        <v>4708</v>
      </c>
      <c r="B1699" s="153" t="s">
        <v>4709</v>
      </c>
      <c r="C1699">
        <v>252.0</v>
      </c>
      <c r="D1699">
        <v>1299.14</v>
      </c>
      <c r="E1699">
        <v>5.1553</v>
      </c>
      <c r="F1699" t="s">
        <v>2942</v>
      </c>
      <c r="G1699" t="s">
        <v>2962</v>
      </c>
      <c r="H1699" t="s">
        <v>2984</v>
      </c>
      <c r="I1699" t="s">
        <v>453</v>
      </c>
    </row>
    <row r="1700" customHeight="1" ht="14.0">
      <c r="A1700" t="s">
        <v>1965</v>
      </c>
      <c r="B1700" s="153" t="s">
        <v>1966</v>
      </c>
      <c r="C1700">
        <v>180.0</v>
      </c>
      <c r="D1700">
        <v>789.39</v>
      </c>
      <c r="E1700">
        <v>4.3855</v>
      </c>
      <c r="F1700" t="s">
        <v>2942</v>
      </c>
      <c r="G1700" t="s">
        <v>2962</v>
      </c>
      <c r="H1700" t="s">
        <v>2963</v>
      </c>
      <c r="I1700" t="s">
        <v>453</v>
      </c>
    </row>
    <row r="1701" customHeight="1" ht="14.0">
      <c r="A1701" t="s">
        <v>458</v>
      </c>
      <c r="B1701" s="153" t="s">
        <v>459</v>
      </c>
      <c r="C1701">
        <v>0.0</v>
      </c>
      <c r="D1701">
        <v>0.0</v>
      </c>
      <c r="F1701" t="s">
        <v>2942</v>
      </c>
      <c r="G1701" t="s">
        <v>2962</v>
      </c>
      <c r="H1701" t="s">
        <v>30</v>
      </c>
      <c r="I1701" t="s">
        <v>453</v>
      </c>
    </row>
    <row r="1702" customHeight="1" ht="14.0">
      <c r="A1702" t="s">
        <v>472</v>
      </c>
      <c r="B1702" s="153" t="s">
        <v>473</v>
      </c>
      <c r="C1702">
        <v>301.0</v>
      </c>
      <c r="D1702">
        <v>1320.17</v>
      </c>
      <c r="E1702">
        <v>4.3859</v>
      </c>
      <c r="F1702" t="s">
        <v>2942</v>
      </c>
      <c r="G1702" t="s">
        <v>2962</v>
      </c>
      <c r="H1702" t="s">
        <v>2963</v>
      </c>
      <c r="I1702" t="s">
        <v>453</v>
      </c>
    </row>
    <row r="1703" customHeight="1" ht="14.0">
      <c r="A1703" t="s">
        <v>474</v>
      </c>
      <c r="B1703" s="153" t="s">
        <v>475</v>
      </c>
      <c r="C1703">
        <v>5.0</v>
      </c>
      <c r="D1703">
        <v>24.05</v>
      </c>
      <c r="E1703">
        <v>4.81</v>
      </c>
      <c r="F1703" t="s">
        <v>2942</v>
      </c>
      <c r="G1703" t="s">
        <v>2962</v>
      </c>
      <c r="H1703" t="s">
        <v>2963</v>
      </c>
      <c r="I1703" t="s">
        <v>453</v>
      </c>
    </row>
    <row r="1704" customHeight="1" ht="14.0">
      <c r="A1704" t="s">
        <v>4710</v>
      </c>
      <c r="B1704" s="153" t="s">
        <v>4711</v>
      </c>
      <c r="C1704">
        <v>342.0</v>
      </c>
      <c r="D1704">
        <v>1491.69</v>
      </c>
      <c r="E1704">
        <v>4.3617</v>
      </c>
      <c r="F1704" t="s">
        <v>2942</v>
      </c>
      <c r="G1704" t="s">
        <v>2962</v>
      </c>
      <c r="H1704" t="s">
        <v>2984</v>
      </c>
      <c r="I1704" t="s">
        <v>453</v>
      </c>
    </row>
    <row r="1705" customHeight="1" ht="14.0">
      <c r="A1705" t="s">
        <v>476</v>
      </c>
      <c r="B1705" s="153" t="s">
        <v>477</v>
      </c>
      <c r="C1705">
        <v>104.0</v>
      </c>
      <c r="D1705">
        <v>444.43</v>
      </c>
      <c r="E1705">
        <v>4.2734</v>
      </c>
      <c r="F1705" t="s">
        <v>2942</v>
      </c>
      <c r="G1705" t="s">
        <v>2962</v>
      </c>
      <c r="H1705" t="s">
        <v>30</v>
      </c>
      <c r="I1705" t="s">
        <v>453</v>
      </c>
    </row>
    <row r="1706" customHeight="1" ht="14.0">
      <c r="A1706" t="s">
        <v>462</v>
      </c>
      <c r="B1706" s="153" t="s">
        <v>463</v>
      </c>
      <c r="C1706">
        <v>113.0</v>
      </c>
      <c r="D1706">
        <v>441.46</v>
      </c>
      <c r="E1706">
        <v>3.9067</v>
      </c>
      <c r="F1706" t="s">
        <v>2942</v>
      </c>
      <c r="G1706" t="s">
        <v>2962</v>
      </c>
      <c r="H1706" t="s">
        <v>2963</v>
      </c>
      <c r="I1706" t="s">
        <v>453</v>
      </c>
    </row>
    <row r="1707" customHeight="1" ht="14.0">
      <c r="A1707" t="s">
        <v>4712</v>
      </c>
      <c r="B1707" s="153" t="s">
        <v>4713</v>
      </c>
      <c r="C1707">
        <v>452.0</v>
      </c>
      <c r="D1707">
        <v>1232.61</v>
      </c>
      <c r="E1707">
        <v>2.727</v>
      </c>
      <c r="F1707" t="s">
        <v>2942</v>
      </c>
      <c r="G1707" t="s">
        <v>2962</v>
      </c>
      <c r="H1707" t="s">
        <v>2984</v>
      </c>
      <c r="I1707" t="s">
        <v>453</v>
      </c>
    </row>
    <row r="1708" customHeight="1" ht="14.0">
      <c r="A1708" t="s">
        <v>490</v>
      </c>
      <c r="B1708" s="153" t="s">
        <v>491</v>
      </c>
      <c r="C1708">
        <v>267.0</v>
      </c>
      <c r="D1708">
        <v>788.94</v>
      </c>
      <c r="E1708">
        <v>2.9548</v>
      </c>
      <c r="F1708" t="s">
        <v>2942</v>
      </c>
      <c r="G1708" t="s">
        <v>2962</v>
      </c>
      <c r="H1708" t="s">
        <v>2963</v>
      </c>
      <c r="I1708" t="s">
        <v>453</v>
      </c>
    </row>
    <row r="1709" customHeight="1" ht="14.0">
      <c r="A1709" t="s">
        <v>4714</v>
      </c>
      <c r="B1709" s="153" t="s">
        <v>4715</v>
      </c>
      <c r="C1709">
        <v>530.0</v>
      </c>
      <c r="D1709">
        <v>1445.62</v>
      </c>
      <c r="E1709">
        <v>2.7276</v>
      </c>
      <c r="F1709" t="s">
        <v>2942</v>
      </c>
      <c r="G1709" t="s">
        <v>2962</v>
      </c>
      <c r="H1709" t="s">
        <v>2984</v>
      </c>
      <c r="I1709" t="s">
        <v>453</v>
      </c>
    </row>
    <row r="1710" customHeight="1" ht="14.0">
      <c r="A1710" t="s">
        <v>494</v>
      </c>
      <c r="B1710" s="153" t="s">
        <v>495</v>
      </c>
      <c r="C1710">
        <v>462.0</v>
      </c>
      <c r="D1710">
        <v>1364.92</v>
      </c>
      <c r="E1710">
        <v>2.9544</v>
      </c>
      <c r="F1710" t="s">
        <v>2942</v>
      </c>
      <c r="G1710" t="s">
        <v>2962</v>
      </c>
      <c r="H1710" t="s">
        <v>2963</v>
      </c>
      <c r="I1710" t="s">
        <v>453</v>
      </c>
    </row>
    <row r="1711" customHeight="1" ht="14.0">
      <c r="A1711" t="s">
        <v>492</v>
      </c>
      <c r="B1711" s="153" t="s">
        <v>493</v>
      </c>
      <c r="C1711">
        <v>218.0</v>
      </c>
      <c r="D1711">
        <v>644.24</v>
      </c>
      <c r="E1711">
        <v>2.9552</v>
      </c>
      <c r="F1711" t="s">
        <v>2942</v>
      </c>
      <c r="G1711" t="s">
        <v>2962</v>
      </c>
      <c r="H1711" t="s">
        <v>2963</v>
      </c>
      <c r="I1711" t="s">
        <v>453</v>
      </c>
    </row>
    <row r="1712" customHeight="1" ht="14.0">
      <c r="A1712" t="s">
        <v>488</v>
      </c>
      <c r="B1712" s="153" t="s">
        <v>489</v>
      </c>
      <c r="C1712">
        <v>0.0</v>
      </c>
      <c r="D1712">
        <v>0.0</v>
      </c>
      <c r="F1712" t="s">
        <v>2942</v>
      </c>
      <c r="G1712" t="s">
        <v>2962</v>
      </c>
      <c r="H1712" t="s">
        <v>30</v>
      </c>
      <c r="I1712" t="s">
        <v>453</v>
      </c>
    </row>
    <row r="1713" customHeight="1" ht="14.0">
      <c r="A1713" t="s">
        <v>500</v>
      </c>
      <c r="B1713" s="153" t="s">
        <v>501</v>
      </c>
      <c r="C1713">
        <v>281.0</v>
      </c>
      <c r="D1713">
        <v>830.28</v>
      </c>
      <c r="E1713">
        <v>2.9547</v>
      </c>
      <c r="F1713" t="s">
        <v>2942</v>
      </c>
      <c r="G1713" t="s">
        <v>2962</v>
      </c>
      <c r="H1713" t="s">
        <v>2963</v>
      </c>
      <c r="I1713" t="s">
        <v>453</v>
      </c>
    </row>
    <row r="1714" customHeight="1" ht="14.0">
      <c r="A1714" t="s">
        <v>496</v>
      </c>
      <c r="B1714" s="153" t="s">
        <v>497</v>
      </c>
      <c r="C1714">
        <v>304.0</v>
      </c>
      <c r="D1714">
        <v>898.44</v>
      </c>
      <c r="E1714">
        <v>2.9554</v>
      </c>
      <c r="F1714" t="s">
        <v>2942</v>
      </c>
      <c r="G1714" t="s">
        <v>2962</v>
      </c>
      <c r="H1714" t="s">
        <v>2963</v>
      </c>
      <c r="I1714" t="s">
        <v>453</v>
      </c>
    </row>
    <row r="1715" customHeight="1" ht="14.0">
      <c r="A1715" t="s">
        <v>4716</v>
      </c>
      <c r="B1715" s="153" t="s">
        <v>4717</v>
      </c>
      <c r="C1715">
        <v>271.0</v>
      </c>
      <c r="D1715">
        <v>739.05</v>
      </c>
      <c r="E1715">
        <v>2.7271</v>
      </c>
      <c r="F1715" t="s">
        <v>2942</v>
      </c>
      <c r="G1715" t="s">
        <v>2962</v>
      </c>
      <c r="H1715" t="s">
        <v>2984</v>
      </c>
      <c r="I1715" t="s">
        <v>453</v>
      </c>
    </row>
    <row r="1716" customHeight="1" ht="14.0">
      <c r="A1716" t="s">
        <v>498</v>
      </c>
      <c r="B1716" s="153" t="s">
        <v>499</v>
      </c>
      <c r="C1716">
        <v>30.0</v>
      </c>
      <c r="D1716">
        <v>88.94</v>
      </c>
      <c r="E1716">
        <v>2.9647</v>
      </c>
      <c r="F1716" t="s">
        <v>2942</v>
      </c>
      <c r="G1716" t="s">
        <v>2962</v>
      </c>
      <c r="H1716" t="s">
        <v>2963</v>
      </c>
      <c r="I1716" t="s">
        <v>453</v>
      </c>
    </row>
    <row r="1717" customHeight="1" ht="14.0">
      <c r="A1717" t="s">
        <v>2788</v>
      </c>
      <c r="B1717" s="153" t="s">
        <v>2789</v>
      </c>
      <c r="C1717">
        <v>0.0</v>
      </c>
      <c r="D1717">
        <v>0.0</v>
      </c>
      <c r="F1717" t="s">
        <v>2942</v>
      </c>
      <c r="G1717" t="s">
        <v>2962</v>
      </c>
      <c r="H1717" t="s">
        <v>2984</v>
      </c>
      <c r="I1717" t="s">
        <v>453</v>
      </c>
    </row>
    <row r="1718" customHeight="1" ht="14.0">
      <c r="A1718" t="s">
        <v>2790</v>
      </c>
      <c r="B1718" s="153" t="s">
        <v>2791</v>
      </c>
      <c r="C1718">
        <v>0.0</v>
      </c>
      <c r="D1718">
        <v>0.0</v>
      </c>
      <c r="F1718" t="s">
        <v>2942</v>
      </c>
      <c r="G1718" t="s">
        <v>2962</v>
      </c>
      <c r="H1718" t="s">
        <v>2984</v>
      </c>
      <c r="I1718" t="s">
        <v>453</v>
      </c>
    </row>
    <row r="1719" customHeight="1" ht="14.0">
      <c r="A1719" t="s">
        <v>2786</v>
      </c>
      <c r="B1719" s="153" t="s">
        <v>2787</v>
      </c>
      <c r="C1719">
        <v>0.0</v>
      </c>
      <c r="D1719">
        <v>0.0</v>
      </c>
      <c r="F1719" t="s">
        <v>2942</v>
      </c>
      <c r="G1719" t="s">
        <v>2962</v>
      </c>
      <c r="H1719" t="s">
        <v>2984</v>
      </c>
      <c r="I1719" t="s">
        <v>453</v>
      </c>
    </row>
    <row r="1720" customHeight="1" ht="14.0">
      <c r="A1720" t="s">
        <v>4718</v>
      </c>
      <c r="B1720" s="153" t="s">
        <v>4719</v>
      </c>
      <c r="C1720">
        <v>33.0</v>
      </c>
      <c r="D1720">
        <v>78.59</v>
      </c>
      <c r="E1720">
        <v>2.3815</v>
      </c>
      <c r="F1720" t="s">
        <v>2942</v>
      </c>
      <c r="G1720" t="s">
        <v>2962</v>
      </c>
      <c r="H1720" t="s">
        <v>2963</v>
      </c>
      <c r="I1720" t="s">
        <v>453</v>
      </c>
    </row>
    <row r="1721" customHeight="1" ht="14.0">
      <c r="A1721" t="s">
        <v>4720</v>
      </c>
      <c r="B1721" s="153" t="s">
        <v>4721</v>
      </c>
      <c r="C1721">
        <v>0.0</v>
      </c>
      <c r="D1721">
        <v>0.0</v>
      </c>
      <c r="F1721" t="s">
        <v>2942</v>
      </c>
      <c r="G1721" t="s">
        <v>2962</v>
      </c>
      <c r="H1721" t="s">
        <v>2984</v>
      </c>
      <c r="I1721" t="s">
        <v>453</v>
      </c>
    </row>
    <row r="1722" customHeight="1" ht="14.0">
      <c r="A1722" t="s">
        <v>4722</v>
      </c>
      <c r="B1722" s="153" t="s">
        <v>4723</v>
      </c>
      <c r="C1722">
        <v>3.0</v>
      </c>
      <c r="D1722">
        <v>7.19</v>
      </c>
      <c r="E1722">
        <v>2.3967</v>
      </c>
      <c r="F1722" t="s">
        <v>2942</v>
      </c>
      <c r="G1722" t="s">
        <v>2962</v>
      </c>
      <c r="H1722" t="s">
        <v>2984</v>
      </c>
      <c r="I1722" t="s">
        <v>453</v>
      </c>
    </row>
    <row r="1723" customHeight="1" ht="14.0">
      <c r="A1723" t="s">
        <v>4724</v>
      </c>
      <c r="B1723" s="153" t="s">
        <v>4725</v>
      </c>
      <c r="C1723">
        <v>0.0</v>
      </c>
      <c r="D1723">
        <v>0.0</v>
      </c>
      <c r="F1723" t="s">
        <v>2942</v>
      </c>
      <c r="G1723" t="s">
        <v>2943</v>
      </c>
      <c r="H1723" t="s">
        <v>2944</v>
      </c>
      <c r="I1723" t="s">
        <v>3450</v>
      </c>
    </row>
    <row r="1724" customHeight="1" ht="14.0">
      <c r="A1724" t="s">
        <v>4726</v>
      </c>
      <c r="B1724" s="153" t="s">
        <v>4727</v>
      </c>
      <c r="C1724">
        <v>0.0</v>
      </c>
      <c r="D1724">
        <v>0.0</v>
      </c>
      <c r="F1724" t="s">
        <v>2942</v>
      </c>
      <c r="G1724" t="s">
        <v>2943</v>
      </c>
      <c r="H1724" t="s">
        <v>2944</v>
      </c>
      <c r="I1724" t="s">
        <v>3450</v>
      </c>
    </row>
    <row r="1725" customHeight="1" ht="14.0">
      <c r="A1725" t="s">
        <v>1967</v>
      </c>
      <c r="B1725" s="153">
        <v>71501.0</v>
      </c>
      <c r="C1725">
        <v>214.0</v>
      </c>
      <c r="D1725">
        <v>2054.91</v>
      </c>
      <c r="E1725">
        <v>9.6024</v>
      </c>
      <c r="F1725" t="s">
        <v>2942</v>
      </c>
      <c r="G1725" t="s">
        <v>2962</v>
      </c>
      <c r="H1725" t="s">
        <v>3741</v>
      </c>
      <c r="I1725" t="s">
        <v>3134</v>
      </c>
    </row>
    <row r="1726" customHeight="1" ht="14.0">
      <c r="A1726" t="s">
        <v>1968</v>
      </c>
      <c r="B1726" s="153">
        <v>71201.0</v>
      </c>
      <c r="C1726">
        <v>258.0</v>
      </c>
      <c r="D1726">
        <v>1859.42</v>
      </c>
      <c r="E1726">
        <v>7.2071</v>
      </c>
      <c r="F1726" t="s">
        <v>2942</v>
      </c>
      <c r="G1726" t="s">
        <v>2962</v>
      </c>
      <c r="H1726" t="s">
        <v>3741</v>
      </c>
      <c r="I1726" t="s">
        <v>3134</v>
      </c>
    </row>
    <row r="1727" customHeight="1" ht="14.0">
      <c r="A1727" t="s">
        <v>4728</v>
      </c>
      <c r="B1727" s="153">
        <v>71301.0</v>
      </c>
      <c r="C1727">
        <v>65.0</v>
      </c>
      <c r="D1727">
        <v>572.66</v>
      </c>
      <c r="E1727">
        <v>8.8102</v>
      </c>
      <c r="F1727" t="s">
        <v>2942</v>
      </c>
      <c r="G1727" t="s">
        <v>2962</v>
      </c>
      <c r="H1727" t="s">
        <v>3741</v>
      </c>
      <c r="I1727" t="s">
        <v>3134</v>
      </c>
    </row>
    <row r="1728" customHeight="1" ht="14.0">
      <c r="A1728" t="s">
        <v>4729</v>
      </c>
      <c r="B1728" s="153">
        <v>71101.0</v>
      </c>
      <c r="C1728">
        <v>127.0</v>
      </c>
      <c r="D1728">
        <v>1104.73</v>
      </c>
      <c r="E1728">
        <v>8.6987</v>
      </c>
      <c r="F1728" t="s">
        <v>2942</v>
      </c>
      <c r="G1728" t="s">
        <v>2962</v>
      </c>
      <c r="H1728" t="s">
        <v>3741</v>
      </c>
      <c r="I1728" t="s">
        <v>3134</v>
      </c>
    </row>
    <row r="1729" customHeight="1" ht="14.0">
      <c r="A1729" t="s">
        <v>4730</v>
      </c>
      <c r="B1729" s="153">
        <v>71401.0</v>
      </c>
      <c r="C1729">
        <v>94.0</v>
      </c>
      <c r="D1729">
        <v>859.68</v>
      </c>
      <c r="E1729">
        <v>9.1455</v>
      </c>
      <c r="F1729" t="s">
        <v>2942</v>
      </c>
      <c r="G1729" t="s">
        <v>2962</v>
      </c>
      <c r="H1729" t="s">
        <v>3741</v>
      </c>
      <c r="I1729" t="s">
        <v>3134</v>
      </c>
    </row>
    <row r="1730" customHeight="1" ht="14.0">
      <c r="A1730" t="s">
        <v>4731</v>
      </c>
      <c r="B1730" s="153" t="s">
        <v>4732</v>
      </c>
      <c r="C1730">
        <v>105.0</v>
      </c>
      <c r="D1730">
        <v>100.88</v>
      </c>
      <c r="E1730">
        <v>0.9608</v>
      </c>
      <c r="F1730" t="s">
        <v>2942</v>
      </c>
      <c r="G1730" t="s">
        <v>2962</v>
      </c>
      <c r="H1730" t="s">
        <v>3741</v>
      </c>
    </row>
    <row r="1731" customHeight="1" ht="14.0">
      <c r="A1731" t="s">
        <v>4733</v>
      </c>
      <c r="B1731" s="153" t="s">
        <v>4734</v>
      </c>
      <c r="C1731">
        <v>3.0</v>
      </c>
      <c r="D1731">
        <v>403.62</v>
      </c>
      <c r="E1731">
        <v>134.54</v>
      </c>
      <c r="F1731" t="s">
        <v>2994</v>
      </c>
      <c r="G1731" t="s">
        <v>2962</v>
      </c>
      <c r="H1731" t="s">
        <v>3741</v>
      </c>
      <c r="I1731" t="s">
        <v>3134</v>
      </c>
    </row>
    <row r="1732" customHeight="1" ht="14.0">
      <c r="A1732" t="s">
        <v>4735</v>
      </c>
      <c r="B1732" s="153" t="s">
        <v>4736</v>
      </c>
      <c r="C1732">
        <v>72.0</v>
      </c>
      <c r="D1732">
        <v>39.6</v>
      </c>
      <c r="E1732">
        <v>0.55</v>
      </c>
      <c r="F1732" t="s">
        <v>2942</v>
      </c>
      <c r="G1732" t="s">
        <v>2962</v>
      </c>
      <c r="H1732" t="s">
        <v>3161</v>
      </c>
      <c r="I1732" t="s">
        <v>3167</v>
      </c>
    </row>
    <row r="1733" customHeight="1" ht="14.0">
      <c r="A1733" t="s">
        <v>4737</v>
      </c>
      <c r="B1733" s="153" t="s">
        <v>4738</v>
      </c>
      <c r="C1733">
        <v>362.0</v>
      </c>
      <c r="D1733">
        <v>181.0</v>
      </c>
      <c r="E1733">
        <v>0.5</v>
      </c>
      <c r="F1733" t="s">
        <v>2942</v>
      </c>
      <c r="G1733" t="s">
        <v>2962</v>
      </c>
      <c r="H1733" t="s">
        <v>3161</v>
      </c>
      <c r="I1733" t="s">
        <v>3447</v>
      </c>
    </row>
    <row r="1734" customHeight="1" ht="14.0">
      <c r="A1734" t="s">
        <v>4739</v>
      </c>
      <c r="B1734" s="153" t="s">
        <v>4740</v>
      </c>
      <c r="C1734">
        <v>18.0</v>
      </c>
      <c r="D1734">
        <v>8.64</v>
      </c>
      <c r="E1734">
        <v>0.48</v>
      </c>
      <c r="F1734" t="s">
        <v>2942</v>
      </c>
      <c r="G1734" t="s">
        <v>2962</v>
      </c>
      <c r="H1734" t="s">
        <v>3161</v>
      </c>
      <c r="I1734" t="s">
        <v>3366</v>
      </c>
    </row>
    <row r="1735" customHeight="1" ht="14.0">
      <c r="A1735" t="s">
        <v>4741</v>
      </c>
      <c r="B1735" s="153" t="s">
        <v>4742</v>
      </c>
      <c r="C1735">
        <v>288.0</v>
      </c>
      <c r="D1735">
        <v>138.24</v>
      </c>
      <c r="E1735">
        <v>0.48</v>
      </c>
      <c r="F1735" t="s">
        <v>2942</v>
      </c>
      <c r="G1735" t="s">
        <v>2962</v>
      </c>
      <c r="H1735" t="s">
        <v>3161</v>
      </c>
      <c r="I1735" t="s">
        <v>3366</v>
      </c>
    </row>
    <row r="1736" customHeight="1" ht="14.0">
      <c r="A1736" t="s">
        <v>4743</v>
      </c>
      <c r="B1736" s="153" t="s">
        <v>4744</v>
      </c>
      <c r="C1736">
        <v>732.0</v>
      </c>
      <c r="D1736">
        <v>402.6</v>
      </c>
      <c r="E1736">
        <v>0.55</v>
      </c>
      <c r="F1736" t="s">
        <v>2942</v>
      </c>
      <c r="G1736" t="s">
        <v>2962</v>
      </c>
      <c r="H1736" t="s">
        <v>3161</v>
      </c>
      <c r="I1736" t="s">
        <v>3167</v>
      </c>
    </row>
    <row r="1737" customHeight="1" ht="14.0">
      <c r="A1737" t="s">
        <v>4745</v>
      </c>
      <c r="B1737" s="153" t="s">
        <v>4746</v>
      </c>
      <c r="C1737">
        <v>462.0</v>
      </c>
      <c r="D1737">
        <v>231.0</v>
      </c>
      <c r="E1737">
        <v>0.5</v>
      </c>
      <c r="F1737" t="s">
        <v>2942</v>
      </c>
      <c r="G1737" t="s">
        <v>2962</v>
      </c>
      <c r="H1737" t="s">
        <v>3161</v>
      </c>
      <c r="I1737" t="s">
        <v>3447</v>
      </c>
    </row>
    <row r="1738" customHeight="1" ht="14.0">
      <c r="A1738" t="s">
        <v>4747</v>
      </c>
      <c r="B1738" s="153" t="s">
        <v>4748</v>
      </c>
      <c r="C1738">
        <v>5.0</v>
      </c>
      <c r="D1738">
        <v>16.85</v>
      </c>
      <c r="E1738">
        <v>3.37</v>
      </c>
      <c r="F1738" t="s">
        <v>2942</v>
      </c>
      <c r="G1738" t="s">
        <v>2962</v>
      </c>
      <c r="I1738" t="s">
        <v>197</v>
      </c>
    </row>
    <row r="1739" customHeight="1" ht="14.0">
      <c r="A1739" t="s">
        <v>4749</v>
      </c>
      <c r="B1739" s="153" t="s">
        <v>4750</v>
      </c>
      <c r="C1739">
        <v>16440.0</v>
      </c>
      <c r="D1739">
        <v>3608.59</v>
      </c>
      <c r="E1739">
        <v>0.2195</v>
      </c>
      <c r="F1739" t="s">
        <v>3197</v>
      </c>
      <c r="G1739" t="s">
        <v>2962</v>
      </c>
      <c r="H1739" t="s">
        <v>3455</v>
      </c>
    </row>
    <row r="1740" customHeight="1" ht="14.0">
      <c r="A1740" t="s">
        <v>1969</v>
      </c>
      <c r="B1740" s="153" t="s">
        <v>1970</v>
      </c>
      <c r="C1740">
        <v>0.0</v>
      </c>
      <c r="D1740">
        <v>0.0</v>
      </c>
      <c r="F1740" t="s">
        <v>2942</v>
      </c>
      <c r="G1740" t="s">
        <v>2943</v>
      </c>
      <c r="H1740" t="s">
        <v>2944</v>
      </c>
      <c r="I1740" t="s">
        <v>3088</v>
      </c>
    </row>
    <row r="1741" customHeight="1" ht="14.0">
      <c r="A1741" t="s">
        <v>4751</v>
      </c>
      <c r="B1741" s="153" t="s">
        <v>4752</v>
      </c>
      <c r="C1741">
        <v>0.0</v>
      </c>
      <c r="D1741">
        <v>0.0</v>
      </c>
      <c r="F1741" t="s">
        <v>2942</v>
      </c>
      <c r="G1741" t="s">
        <v>2943</v>
      </c>
      <c r="H1741" t="s">
        <v>2944</v>
      </c>
      <c r="I1741" t="s">
        <v>3724</v>
      </c>
    </row>
    <row r="1742" customHeight="1" ht="14.0">
      <c r="A1742" t="s">
        <v>4753</v>
      </c>
      <c r="B1742" s="153" t="s">
        <v>4754</v>
      </c>
      <c r="C1742">
        <v>0.0</v>
      </c>
      <c r="D1742">
        <v>0.0</v>
      </c>
      <c r="F1742" t="s">
        <v>2942</v>
      </c>
      <c r="G1742" t="s">
        <v>2943</v>
      </c>
      <c r="H1742" t="s">
        <v>4425</v>
      </c>
      <c r="I1742" t="s">
        <v>3724</v>
      </c>
    </row>
    <row r="1743" customHeight="1" ht="14.0">
      <c r="A1743" t="s">
        <v>4755</v>
      </c>
      <c r="B1743" s="153" t="s">
        <v>4756</v>
      </c>
      <c r="C1743">
        <v>0.0</v>
      </c>
      <c r="D1743">
        <v>0.0</v>
      </c>
      <c r="F1743" t="s">
        <v>2942</v>
      </c>
      <c r="G1743" t="s">
        <v>2943</v>
      </c>
      <c r="H1743" t="s">
        <v>2944</v>
      </c>
      <c r="I1743" t="s">
        <v>3724</v>
      </c>
    </row>
    <row r="1744" customHeight="1" ht="14.0">
      <c r="A1744" t="s">
        <v>4757</v>
      </c>
      <c r="B1744" s="153" t="s">
        <v>4758</v>
      </c>
      <c r="C1744">
        <v>18.0</v>
      </c>
      <c r="D1744">
        <v>9.72</v>
      </c>
      <c r="E1744">
        <v>0.54</v>
      </c>
      <c r="F1744" t="s">
        <v>2942</v>
      </c>
      <c r="G1744" t="s">
        <v>2962</v>
      </c>
      <c r="H1744" t="s">
        <v>3161</v>
      </c>
      <c r="I1744" t="s">
        <v>3366</v>
      </c>
    </row>
    <row r="1745" customHeight="1" ht="14.0">
      <c r="A1745" t="s">
        <v>4759</v>
      </c>
      <c r="B1745" s="153" t="s">
        <v>4760</v>
      </c>
      <c r="C1745">
        <v>204.0</v>
      </c>
      <c r="D1745">
        <v>112.2</v>
      </c>
      <c r="E1745">
        <v>0.55</v>
      </c>
      <c r="F1745" t="s">
        <v>2942</v>
      </c>
      <c r="G1745" t="s">
        <v>2962</v>
      </c>
      <c r="H1745" t="s">
        <v>3161</v>
      </c>
      <c r="I1745" t="s">
        <v>3167</v>
      </c>
    </row>
    <row r="1746" customHeight="1" ht="14.0">
      <c r="A1746" t="s">
        <v>4761</v>
      </c>
      <c r="B1746" s="153" t="s">
        <v>4762</v>
      </c>
      <c r="C1746">
        <v>245.0</v>
      </c>
      <c r="D1746">
        <v>122.5</v>
      </c>
      <c r="E1746">
        <v>0.5</v>
      </c>
      <c r="F1746" t="s">
        <v>2942</v>
      </c>
      <c r="G1746" t="s">
        <v>2962</v>
      </c>
      <c r="H1746" t="s">
        <v>3161</v>
      </c>
      <c r="I1746" t="s">
        <v>3447</v>
      </c>
    </row>
    <row r="1747" customHeight="1" ht="14.0">
      <c r="A1747" t="s">
        <v>4763</v>
      </c>
      <c r="B1747" s="153" t="s">
        <v>4764</v>
      </c>
      <c r="C1747">
        <v>239.0</v>
      </c>
      <c r="D1747">
        <v>129.06</v>
      </c>
      <c r="E1747">
        <v>0.54</v>
      </c>
      <c r="F1747" t="s">
        <v>2942</v>
      </c>
      <c r="G1747" t="s">
        <v>2962</v>
      </c>
      <c r="H1747" t="s">
        <v>3161</v>
      </c>
      <c r="I1747" t="s">
        <v>3366</v>
      </c>
    </row>
    <row r="1748" customHeight="1" ht="14.0">
      <c r="A1748" t="s">
        <v>4765</v>
      </c>
      <c r="B1748" s="153" t="s">
        <v>4766</v>
      </c>
      <c r="C1748">
        <v>6.0</v>
      </c>
      <c r="D1748">
        <v>3.24</v>
      </c>
      <c r="E1748">
        <v>0.54</v>
      </c>
      <c r="F1748" t="s">
        <v>2942</v>
      </c>
      <c r="G1748" t="s">
        <v>2962</v>
      </c>
      <c r="H1748" t="s">
        <v>3161</v>
      </c>
      <c r="I1748" t="s">
        <v>3366</v>
      </c>
    </row>
    <row r="1749" customHeight="1" ht="14.0">
      <c r="A1749" t="s">
        <v>4767</v>
      </c>
      <c r="B1749" s="153" t="s">
        <v>4768</v>
      </c>
      <c r="C1749">
        <v>528.0</v>
      </c>
      <c r="D1749">
        <v>290.4</v>
      </c>
      <c r="E1749">
        <v>0.55</v>
      </c>
      <c r="F1749" t="s">
        <v>2942</v>
      </c>
      <c r="G1749" t="s">
        <v>2962</v>
      </c>
      <c r="H1749" t="s">
        <v>3161</v>
      </c>
      <c r="I1749" t="s">
        <v>3167</v>
      </c>
    </row>
    <row r="1750" customHeight="1" ht="14.0">
      <c r="A1750" t="s">
        <v>4769</v>
      </c>
      <c r="B1750" s="153" t="s">
        <v>4770</v>
      </c>
      <c r="C1750">
        <v>0.0</v>
      </c>
      <c r="D1750">
        <v>0.0</v>
      </c>
      <c r="F1750" t="s">
        <v>2942</v>
      </c>
      <c r="G1750" t="s">
        <v>2943</v>
      </c>
      <c r="H1750" t="s">
        <v>3161</v>
      </c>
      <c r="I1750" t="s">
        <v>3447</v>
      </c>
    </row>
    <row r="1751" customHeight="1" ht="14.0">
      <c r="A1751" t="s">
        <v>4771</v>
      </c>
      <c r="B1751" s="153" t="s">
        <v>4772</v>
      </c>
      <c r="C1751">
        <v>12.0</v>
      </c>
      <c r="D1751">
        <v>6.48</v>
      </c>
      <c r="E1751">
        <v>0.54</v>
      </c>
      <c r="F1751" t="s">
        <v>2942</v>
      </c>
      <c r="G1751" t="s">
        <v>2962</v>
      </c>
      <c r="H1751" t="s">
        <v>3161</v>
      </c>
      <c r="I1751" t="s">
        <v>3366</v>
      </c>
    </row>
    <row r="1752" customHeight="1" ht="14.0">
      <c r="A1752" t="s">
        <v>4773</v>
      </c>
      <c r="B1752" s="153" t="s">
        <v>4774</v>
      </c>
      <c r="C1752">
        <v>435.0</v>
      </c>
      <c r="D1752">
        <v>217.5</v>
      </c>
      <c r="E1752">
        <v>0.5</v>
      </c>
      <c r="F1752" t="s">
        <v>2942</v>
      </c>
      <c r="G1752" t="s">
        <v>2962</v>
      </c>
      <c r="H1752" t="s">
        <v>3161</v>
      </c>
      <c r="I1752" t="s">
        <v>3447</v>
      </c>
    </row>
    <row r="1753" customHeight="1" ht="14.0">
      <c r="A1753" t="s">
        <v>414</v>
      </c>
      <c r="B1753" s="153" t="s">
        <v>415</v>
      </c>
      <c r="C1753">
        <v>0.0</v>
      </c>
      <c r="D1753">
        <v>0.0</v>
      </c>
      <c r="F1753" t="s">
        <v>2942</v>
      </c>
      <c r="G1753" t="s">
        <v>2962</v>
      </c>
      <c r="H1753" t="s">
        <v>2963</v>
      </c>
      <c r="I1753" t="s">
        <v>401</v>
      </c>
    </row>
    <row r="1754" customHeight="1" ht="14.0">
      <c r="A1754" t="s">
        <v>408</v>
      </c>
      <c r="B1754" s="153" t="s">
        <v>409</v>
      </c>
      <c r="C1754">
        <v>0.0</v>
      </c>
      <c r="D1754">
        <v>0.0</v>
      </c>
      <c r="F1754" t="s">
        <v>2942</v>
      </c>
      <c r="G1754" t="s">
        <v>2962</v>
      </c>
      <c r="H1754" t="s">
        <v>2963</v>
      </c>
      <c r="I1754" t="s">
        <v>401</v>
      </c>
    </row>
    <row r="1755" customHeight="1" ht="14.0">
      <c r="A1755" t="s">
        <v>402</v>
      </c>
      <c r="B1755" s="153" t="s">
        <v>403</v>
      </c>
      <c r="C1755">
        <v>161.0</v>
      </c>
      <c r="D1755">
        <v>350.11</v>
      </c>
      <c r="E1755">
        <v>2.1746</v>
      </c>
      <c r="F1755" t="s">
        <v>2942</v>
      </c>
      <c r="G1755" t="s">
        <v>2962</v>
      </c>
      <c r="H1755" t="s">
        <v>30</v>
      </c>
      <c r="I1755" t="s">
        <v>401</v>
      </c>
    </row>
    <row r="1756" customHeight="1" ht="14.0">
      <c r="A1756" t="s">
        <v>422</v>
      </c>
      <c r="B1756" s="153" t="s">
        <v>423</v>
      </c>
      <c r="C1756">
        <v>351.0</v>
      </c>
      <c r="D1756">
        <v>880.67</v>
      </c>
      <c r="E1756">
        <v>2.509</v>
      </c>
      <c r="F1756" t="s">
        <v>2942</v>
      </c>
      <c r="G1756" t="s">
        <v>2962</v>
      </c>
      <c r="H1756" t="s">
        <v>30</v>
      </c>
      <c r="I1756" t="s">
        <v>401</v>
      </c>
    </row>
    <row r="1757" customHeight="1" ht="14.0">
      <c r="A1757" t="s">
        <v>424</v>
      </c>
      <c r="B1757" s="153" t="s">
        <v>425</v>
      </c>
      <c r="C1757">
        <v>384.0</v>
      </c>
      <c r="D1757">
        <v>963.5</v>
      </c>
      <c r="E1757">
        <v>2.5091</v>
      </c>
      <c r="F1757" t="s">
        <v>2942</v>
      </c>
      <c r="G1757" t="s">
        <v>2962</v>
      </c>
      <c r="H1757" t="s">
        <v>30</v>
      </c>
      <c r="I1757" t="s">
        <v>401</v>
      </c>
    </row>
    <row r="1758" customHeight="1" ht="14.0">
      <c r="A1758" t="s">
        <v>426</v>
      </c>
      <c r="B1758" s="153" t="s">
        <v>427</v>
      </c>
      <c r="C1758">
        <v>364.0</v>
      </c>
      <c r="D1758">
        <v>913.3</v>
      </c>
      <c r="E1758">
        <v>2.5091</v>
      </c>
      <c r="F1758" t="s">
        <v>2942</v>
      </c>
      <c r="G1758" t="s">
        <v>2962</v>
      </c>
      <c r="H1758" t="s">
        <v>30</v>
      </c>
      <c r="I1758" t="s">
        <v>401</v>
      </c>
    </row>
    <row r="1759" customHeight="1" ht="14.0">
      <c r="A1759" t="s">
        <v>410</v>
      </c>
      <c r="B1759" s="153" t="s">
        <v>411</v>
      </c>
      <c r="C1759">
        <v>339.0</v>
      </c>
      <c r="D1759">
        <v>368.57</v>
      </c>
      <c r="E1759">
        <v>1.0872</v>
      </c>
      <c r="F1759" t="s">
        <v>2942</v>
      </c>
      <c r="G1759" t="s">
        <v>2962</v>
      </c>
      <c r="H1759" t="s">
        <v>30</v>
      </c>
      <c r="I1759" t="s">
        <v>401</v>
      </c>
    </row>
    <row r="1760" customHeight="1" ht="14.0">
      <c r="A1760" t="s">
        <v>416</v>
      </c>
      <c r="B1760" s="153" t="s">
        <v>417</v>
      </c>
      <c r="C1760">
        <v>225.0</v>
      </c>
      <c r="D1760">
        <v>594.81</v>
      </c>
      <c r="E1760">
        <v>2.6436</v>
      </c>
      <c r="F1760" t="s">
        <v>2942</v>
      </c>
      <c r="G1760" t="s">
        <v>2962</v>
      </c>
      <c r="H1760" t="s">
        <v>30</v>
      </c>
      <c r="I1760" t="s">
        <v>401</v>
      </c>
    </row>
    <row r="1761" customHeight="1" ht="14.0">
      <c r="A1761" t="s">
        <v>418</v>
      </c>
      <c r="B1761" s="153" t="s">
        <v>419</v>
      </c>
      <c r="C1761">
        <v>280.0</v>
      </c>
      <c r="D1761">
        <v>740.19</v>
      </c>
      <c r="E1761">
        <v>2.6435</v>
      </c>
      <c r="F1761" t="s">
        <v>2942</v>
      </c>
      <c r="G1761" t="s">
        <v>2962</v>
      </c>
      <c r="H1761" t="s">
        <v>30</v>
      </c>
      <c r="I1761" t="s">
        <v>401</v>
      </c>
    </row>
    <row r="1762" customHeight="1" ht="14.0">
      <c r="A1762" t="s">
        <v>420</v>
      </c>
      <c r="B1762" s="153" t="s">
        <v>421</v>
      </c>
      <c r="C1762">
        <v>249.0</v>
      </c>
      <c r="D1762">
        <v>658.25</v>
      </c>
      <c r="E1762">
        <v>2.6436</v>
      </c>
      <c r="F1762" t="s">
        <v>2942</v>
      </c>
      <c r="G1762" t="s">
        <v>2962</v>
      </c>
      <c r="H1762" t="s">
        <v>30</v>
      </c>
      <c r="I1762" t="s">
        <v>401</v>
      </c>
    </row>
    <row r="1763" customHeight="1" ht="14.0">
      <c r="A1763" t="s">
        <v>436</v>
      </c>
      <c r="B1763" s="153" t="s">
        <v>437</v>
      </c>
      <c r="C1763">
        <v>134.0</v>
      </c>
      <c r="D1763">
        <v>643.21</v>
      </c>
      <c r="E1763">
        <v>4.8001</v>
      </c>
      <c r="F1763" t="s">
        <v>2942</v>
      </c>
      <c r="G1763" t="s">
        <v>2962</v>
      </c>
      <c r="H1763" t="s">
        <v>30</v>
      </c>
      <c r="I1763" t="s">
        <v>401</v>
      </c>
    </row>
    <row r="1764" customHeight="1" ht="14.0">
      <c r="A1764" t="s">
        <v>442</v>
      </c>
      <c r="B1764" s="153" t="s">
        <v>443</v>
      </c>
      <c r="C1764">
        <v>313.0</v>
      </c>
      <c r="D1764">
        <v>1780.85</v>
      </c>
      <c r="E1764">
        <v>5.6896</v>
      </c>
      <c r="F1764" t="s">
        <v>2942</v>
      </c>
      <c r="G1764" t="s">
        <v>2962</v>
      </c>
      <c r="H1764" t="s">
        <v>30</v>
      </c>
      <c r="I1764" t="s">
        <v>401</v>
      </c>
    </row>
    <row r="1765" customHeight="1" ht="14.0">
      <c r="A1765" t="s">
        <v>406</v>
      </c>
      <c r="B1765" s="153" t="s">
        <v>407</v>
      </c>
      <c r="C1765">
        <v>0.0</v>
      </c>
      <c r="D1765">
        <v>0.0</v>
      </c>
      <c r="F1765" t="s">
        <v>2942</v>
      </c>
      <c r="G1765" t="s">
        <v>2962</v>
      </c>
      <c r="H1765" t="s">
        <v>2963</v>
      </c>
      <c r="I1765" t="s">
        <v>401</v>
      </c>
    </row>
    <row r="1766" customHeight="1" ht="14.0">
      <c r="A1766" t="s">
        <v>412</v>
      </c>
      <c r="B1766" s="153" t="s">
        <v>413</v>
      </c>
      <c r="C1766">
        <v>34.0</v>
      </c>
      <c r="D1766">
        <v>127.78</v>
      </c>
      <c r="E1766">
        <v>3.7582</v>
      </c>
      <c r="F1766" t="s">
        <v>2942</v>
      </c>
      <c r="G1766" t="s">
        <v>2962</v>
      </c>
      <c r="H1766" t="s">
        <v>30</v>
      </c>
      <c r="I1766" t="s">
        <v>401</v>
      </c>
    </row>
    <row r="1767" customHeight="1" ht="14.0">
      <c r="A1767" t="s">
        <v>404</v>
      </c>
      <c r="B1767" s="153" t="s">
        <v>405</v>
      </c>
      <c r="C1767">
        <v>424.0</v>
      </c>
      <c r="D1767">
        <v>2624.06</v>
      </c>
      <c r="E1767">
        <v>6.1888</v>
      </c>
      <c r="F1767" t="s">
        <v>2942</v>
      </c>
      <c r="G1767" t="s">
        <v>2962</v>
      </c>
      <c r="H1767" t="s">
        <v>30</v>
      </c>
      <c r="I1767" t="s">
        <v>401</v>
      </c>
    </row>
    <row r="1768" customHeight="1" ht="14.0">
      <c r="A1768" t="s">
        <v>4775</v>
      </c>
      <c r="B1768" s="153" t="s">
        <v>4776</v>
      </c>
      <c r="C1768">
        <v>0.0</v>
      </c>
      <c r="D1768">
        <v>0.0</v>
      </c>
      <c r="F1768" t="s">
        <v>2942</v>
      </c>
      <c r="G1768" t="s">
        <v>2962</v>
      </c>
      <c r="H1768" t="s">
        <v>3161</v>
      </c>
    </row>
    <row r="1769" customHeight="1" ht="14.0">
      <c r="A1769" t="s">
        <v>444</v>
      </c>
      <c r="B1769" s="153" t="s">
        <v>445</v>
      </c>
      <c r="C1769">
        <v>0.0</v>
      </c>
      <c r="D1769">
        <v>0.0</v>
      </c>
      <c r="F1769" t="s">
        <v>2942</v>
      </c>
      <c r="G1769" t="s">
        <v>2943</v>
      </c>
      <c r="H1769" t="s">
        <v>30</v>
      </c>
      <c r="I1769" t="s">
        <v>401</v>
      </c>
    </row>
    <row r="1770" customHeight="1" ht="14.0">
      <c r="A1770" t="s">
        <v>4777</v>
      </c>
      <c r="B1770" s="153" t="s">
        <v>4778</v>
      </c>
      <c r="C1770">
        <v>10140.0</v>
      </c>
      <c r="D1770">
        <v>594.19</v>
      </c>
      <c r="E1770">
        <v>0.0586</v>
      </c>
      <c r="F1770" t="s">
        <v>3197</v>
      </c>
      <c r="G1770" t="s">
        <v>2962</v>
      </c>
      <c r="H1770" t="s">
        <v>3201</v>
      </c>
    </row>
    <row r="1771" customHeight="1" ht="14.0">
      <c r="A1771" t="s">
        <v>4779</v>
      </c>
      <c r="B1771" s="153" t="s">
        <v>4780</v>
      </c>
      <c r="C1771">
        <v>1.0</v>
      </c>
      <c r="D1771">
        <v>5.75</v>
      </c>
      <c r="E1771">
        <v>5.75</v>
      </c>
      <c r="F1771" t="s">
        <v>3197</v>
      </c>
      <c r="G1771" t="s">
        <v>2962</v>
      </c>
      <c r="H1771" t="s">
        <v>3201</v>
      </c>
    </row>
    <row r="1772" customHeight="1" ht="14.0">
      <c r="A1772" t="s">
        <v>4781</v>
      </c>
      <c r="B1772" s="153" t="s">
        <v>4782</v>
      </c>
      <c r="C1772">
        <v>0.0</v>
      </c>
      <c r="D1772">
        <v>0.0</v>
      </c>
      <c r="F1772" t="s">
        <v>3197</v>
      </c>
      <c r="G1772" t="s">
        <v>2962</v>
      </c>
      <c r="H1772" t="s">
        <v>3201</v>
      </c>
    </row>
    <row r="1773" customHeight="1" ht="14.0">
      <c r="A1773" t="s">
        <v>714</v>
      </c>
      <c r="B1773" s="153" t="s">
        <v>715</v>
      </c>
      <c r="C1773">
        <v>133.0</v>
      </c>
      <c r="D1773">
        <v>4650.79</v>
      </c>
      <c r="E1773">
        <v>34.9683</v>
      </c>
      <c r="F1773" t="s">
        <v>2942</v>
      </c>
      <c r="G1773" t="s">
        <v>2962</v>
      </c>
      <c r="H1773" t="s">
        <v>30</v>
      </c>
      <c r="I1773" t="s">
        <v>197</v>
      </c>
    </row>
    <row r="1774" customHeight="1" ht="14.0">
      <c r="A1774" t="s">
        <v>4783</v>
      </c>
      <c r="B1774" s="153" t="s">
        <v>4784</v>
      </c>
      <c r="C1774">
        <v>2.0</v>
      </c>
      <c r="D1774">
        <v>404.8</v>
      </c>
      <c r="E1774">
        <v>202.4</v>
      </c>
      <c r="F1774" t="s">
        <v>2994</v>
      </c>
      <c r="G1774" t="s">
        <v>2962</v>
      </c>
      <c r="H1774" t="s">
        <v>3161</v>
      </c>
      <c r="I1774" t="s">
        <v>83</v>
      </c>
    </row>
    <row r="1775" customHeight="1" ht="14.0">
      <c r="A1775" t="s">
        <v>4785</v>
      </c>
      <c r="B1775" s="153" t="s">
        <v>4786</v>
      </c>
      <c r="C1775">
        <v>1233.0</v>
      </c>
      <c r="D1775">
        <v>2101.33</v>
      </c>
      <c r="E1775">
        <v>1.7042</v>
      </c>
      <c r="F1775" t="s">
        <v>2942</v>
      </c>
      <c r="G1775" t="s">
        <v>2962</v>
      </c>
      <c r="H1775" t="s">
        <v>2984</v>
      </c>
      <c r="I1775" t="s">
        <v>138</v>
      </c>
    </row>
    <row r="1776" customHeight="1" ht="14.0">
      <c r="A1776" t="s">
        <v>165</v>
      </c>
      <c r="B1776" s="153" t="s">
        <v>166</v>
      </c>
      <c r="C1776">
        <v>433.0</v>
      </c>
      <c r="D1776">
        <v>737.84</v>
      </c>
      <c r="E1776">
        <v>1.704</v>
      </c>
      <c r="F1776" t="s">
        <v>2942</v>
      </c>
      <c r="G1776" t="s">
        <v>2962</v>
      </c>
      <c r="H1776" t="s">
        <v>30</v>
      </c>
      <c r="I1776" t="s">
        <v>138</v>
      </c>
    </row>
    <row r="1777" customHeight="1" ht="14.0">
      <c r="A1777" t="s">
        <v>4787</v>
      </c>
      <c r="B1777" s="153" t="s">
        <v>4788</v>
      </c>
      <c r="C1777">
        <v>1453.0</v>
      </c>
      <c r="D1777">
        <v>2476.38</v>
      </c>
      <c r="E1777">
        <v>1.7043</v>
      </c>
      <c r="F1777" t="s">
        <v>2942</v>
      </c>
      <c r="G1777" t="s">
        <v>2962</v>
      </c>
      <c r="H1777" t="s">
        <v>2984</v>
      </c>
      <c r="I1777" t="s">
        <v>138</v>
      </c>
    </row>
    <row r="1778" customHeight="1" ht="14.0">
      <c r="A1778" t="s">
        <v>169</v>
      </c>
      <c r="B1778" s="153" t="s">
        <v>170</v>
      </c>
      <c r="C1778">
        <v>413.0</v>
      </c>
      <c r="D1778">
        <v>756.65</v>
      </c>
      <c r="E1778">
        <v>1.8321</v>
      </c>
      <c r="F1778" t="s">
        <v>2942</v>
      </c>
      <c r="G1778" t="s">
        <v>2962</v>
      </c>
      <c r="H1778" t="s">
        <v>30</v>
      </c>
      <c r="I1778" t="s">
        <v>138</v>
      </c>
    </row>
    <row r="1779" customHeight="1" ht="14.0">
      <c r="A1779" t="s">
        <v>163</v>
      </c>
      <c r="B1779" s="153" t="s">
        <v>164</v>
      </c>
      <c r="C1779">
        <v>806.0</v>
      </c>
      <c r="D1779">
        <v>1373.7</v>
      </c>
      <c r="E1779">
        <v>1.7043</v>
      </c>
      <c r="F1779" t="s">
        <v>2942</v>
      </c>
      <c r="G1779" t="s">
        <v>2962</v>
      </c>
      <c r="H1779" t="s">
        <v>30</v>
      </c>
      <c r="I1779" t="s">
        <v>138</v>
      </c>
    </row>
    <row r="1780" customHeight="1" ht="14.0">
      <c r="A1780" t="s">
        <v>4789</v>
      </c>
      <c r="B1780" s="153" t="s">
        <v>4790</v>
      </c>
      <c r="C1780">
        <v>1537.0</v>
      </c>
      <c r="D1780">
        <v>2619.58</v>
      </c>
      <c r="E1780">
        <v>1.7043</v>
      </c>
      <c r="F1780" t="s">
        <v>2942</v>
      </c>
      <c r="G1780" t="s">
        <v>2962</v>
      </c>
      <c r="H1780" t="s">
        <v>2984</v>
      </c>
      <c r="I1780" t="s">
        <v>138</v>
      </c>
    </row>
    <row r="1781" customHeight="1" ht="14.0">
      <c r="A1781" t="s">
        <v>167</v>
      </c>
      <c r="B1781" s="153" t="s">
        <v>168</v>
      </c>
      <c r="C1781">
        <v>327.0</v>
      </c>
      <c r="D1781">
        <v>599.05</v>
      </c>
      <c r="E1781">
        <v>1.832</v>
      </c>
      <c r="F1781" t="s">
        <v>2942</v>
      </c>
      <c r="G1781" t="s">
        <v>2962</v>
      </c>
      <c r="H1781" t="s">
        <v>2963</v>
      </c>
      <c r="I1781" t="s">
        <v>138</v>
      </c>
    </row>
    <row r="1782" customHeight="1" ht="14.0">
      <c r="A1782" t="s">
        <v>4791</v>
      </c>
      <c r="B1782" s="153" t="s">
        <v>4792</v>
      </c>
      <c r="C1782">
        <v>4.0</v>
      </c>
      <c r="D1782">
        <v>19.44</v>
      </c>
      <c r="E1782">
        <v>4.86</v>
      </c>
      <c r="F1782" t="s">
        <v>2942</v>
      </c>
      <c r="G1782" t="s">
        <v>2962</v>
      </c>
      <c r="I1782" t="s">
        <v>197</v>
      </c>
    </row>
    <row r="1783" customHeight="1" ht="14.0">
      <c r="A1783" t="s">
        <v>195</v>
      </c>
      <c r="B1783" s="153" t="s">
        <v>196</v>
      </c>
      <c r="C1783">
        <v>5.0</v>
      </c>
      <c r="D1783">
        <v>201.11</v>
      </c>
      <c r="E1783">
        <v>40.222</v>
      </c>
      <c r="F1783" t="s">
        <v>2942</v>
      </c>
      <c r="G1783" t="s">
        <v>2962</v>
      </c>
      <c r="H1783" t="s">
        <v>30</v>
      </c>
      <c r="I1783" t="s">
        <v>138</v>
      </c>
    </row>
    <row r="1784" customHeight="1" ht="14.0">
      <c r="A1784" t="s">
        <v>4793</v>
      </c>
      <c r="B1784" s="153" t="s">
        <v>4794</v>
      </c>
      <c r="C1784">
        <v>267.0</v>
      </c>
      <c r="D1784">
        <v>1350.38</v>
      </c>
      <c r="E1784">
        <v>5.0576</v>
      </c>
      <c r="F1784" t="s">
        <v>2942</v>
      </c>
      <c r="G1784" t="s">
        <v>2962</v>
      </c>
      <c r="H1784" t="s">
        <v>2963</v>
      </c>
      <c r="I1784" t="s">
        <v>3742</v>
      </c>
    </row>
    <row r="1785" customHeight="1" ht="14.0">
      <c r="A1785" t="s">
        <v>4795</v>
      </c>
      <c r="B1785" s="153" t="s">
        <v>4796</v>
      </c>
      <c r="C1785">
        <v>336.0</v>
      </c>
      <c r="D1785">
        <v>1699.28</v>
      </c>
      <c r="E1785">
        <v>5.0574</v>
      </c>
      <c r="F1785" t="s">
        <v>2942</v>
      </c>
      <c r="G1785" t="s">
        <v>2962</v>
      </c>
      <c r="H1785" t="s">
        <v>2963</v>
      </c>
      <c r="I1785" t="s">
        <v>3742</v>
      </c>
    </row>
    <row r="1786" customHeight="1" ht="14.0">
      <c r="A1786" t="s">
        <v>4797</v>
      </c>
      <c r="B1786" s="153" t="s">
        <v>4798</v>
      </c>
      <c r="C1786">
        <v>232.0</v>
      </c>
      <c r="D1786">
        <v>1173.4</v>
      </c>
      <c r="E1786">
        <v>5.0578</v>
      </c>
      <c r="F1786" t="s">
        <v>2942</v>
      </c>
      <c r="G1786" t="s">
        <v>2962</v>
      </c>
      <c r="H1786" t="s">
        <v>2963</v>
      </c>
      <c r="I1786" t="s">
        <v>3742</v>
      </c>
    </row>
    <row r="1787" customHeight="1" ht="14.0">
      <c r="A1787" t="s">
        <v>4799</v>
      </c>
      <c r="B1787" s="153" t="s">
        <v>4800</v>
      </c>
      <c r="C1787">
        <v>0.0</v>
      </c>
      <c r="D1787">
        <v>0.0</v>
      </c>
      <c r="F1787" t="s">
        <v>2942</v>
      </c>
      <c r="G1787" t="s">
        <v>2943</v>
      </c>
      <c r="H1787" t="s">
        <v>2963</v>
      </c>
      <c r="I1787" t="s">
        <v>3742</v>
      </c>
    </row>
    <row r="1788" customHeight="1" ht="14.0">
      <c r="A1788" t="s">
        <v>4801</v>
      </c>
      <c r="B1788" s="153" t="s">
        <v>4802</v>
      </c>
      <c r="C1788">
        <v>82.0</v>
      </c>
      <c r="D1788">
        <v>414.89</v>
      </c>
      <c r="E1788">
        <v>5.0596</v>
      </c>
      <c r="F1788" t="s">
        <v>2942</v>
      </c>
      <c r="G1788" t="s">
        <v>2962</v>
      </c>
      <c r="H1788" t="s">
        <v>2963</v>
      </c>
      <c r="I1788" t="s">
        <v>3742</v>
      </c>
    </row>
    <row r="1789" customHeight="1" ht="14.0">
      <c r="A1789" t="s">
        <v>4803</v>
      </c>
      <c r="B1789" s="153" t="s">
        <v>4804</v>
      </c>
      <c r="C1789">
        <v>145.0</v>
      </c>
      <c r="D1789">
        <v>733.47</v>
      </c>
      <c r="E1789">
        <v>5.0584</v>
      </c>
      <c r="F1789" t="s">
        <v>2942</v>
      </c>
      <c r="G1789" t="s">
        <v>2962</v>
      </c>
      <c r="H1789" t="s">
        <v>2963</v>
      </c>
      <c r="I1789" t="s">
        <v>3742</v>
      </c>
    </row>
    <row r="1790" customHeight="1" ht="14.0">
      <c r="A1790" t="s">
        <v>4805</v>
      </c>
      <c r="B1790" s="153" t="s">
        <v>4806</v>
      </c>
      <c r="C1790">
        <v>0.0</v>
      </c>
      <c r="D1790">
        <v>0.0</v>
      </c>
      <c r="F1790" t="s">
        <v>2942</v>
      </c>
      <c r="G1790" t="s">
        <v>2943</v>
      </c>
      <c r="H1790" t="s">
        <v>2944</v>
      </c>
      <c r="I1790" t="s">
        <v>453</v>
      </c>
    </row>
    <row r="1791" customHeight="1" ht="14.0">
      <c r="A1791" t="s">
        <v>1971</v>
      </c>
      <c r="B1791" s="153" t="s">
        <v>1972</v>
      </c>
      <c r="C1791">
        <v>0.0</v>
      </c>
      <c r="D1791">
        <v>0.0</v>
      </c>
      <c r="F1791" t="s">
        <v>2942</v>
      </c>
      <c r="G1791" t="s">
        <v>2943</v>
      </c>
      <c r="H1791" t="s">
        <v>2944</v>
      </c>
      <c r="I1791" t="s">
        <v>453</v>
      </c>
    </row>
    <row r="1792" customHeight="1" ht="14.0">
      <c r="A1792" t="s">
        <v>1973</v>
      </c>
      <c r="B1792" s="153" t="s">
        <v>1974</v>
      </c>
      <c r="C1792">
        <v>0.0</v>
      </c>
      <c r="D1792">
        <v>0.0</v>
      </c>
      <c r="F1792" t="s">
        <v>2942</v>
      </c>
      <c r="G1792" t="s">
        <v>2943</v>
      </c>
      <c r="H1792" t="s">
        <v>2944</v>
      </c>
      <c r="I1792" t="s">
        <v>453</v>
      </c>
    </row>
    <row r="1793" customHeight="1" ht="14.0">
      <c r="A1793" t="s">
        <v>4807</v>
      </c>
      <c r="B1793" s="153" t="s">
        <v>4808</v>
      </c>
      <c r="C1793">
        <v>0.0</v>
      </c>
      <c r="D1793">
        <v>0.0</v>
      </c>
      <c r="F1793" t="s">
        <v>2942</v>
      </c>
      <c r="G1793" t="s">
        <v>2943</v>
      </c>
      <c r="H1793" t="s">
        <v>2944</v>
      </c>
      <c r="I1793" t="s">
        <v>453</v>
      </c>
    </row>
    <row r="1794" customHeight="1" ht="14.0">
      <c r="A1794" t="s">
        <v>4809</v>
      </c>
      <c r="B1794" s="153" t="s">
        <v>4810</v>
      </c>
      <c r="C1794">
        <v>0.0</v>
      </c>
      <c r="D1794">
        <v>0.0</v>
      </c>
      <c r="F1794" t="s">
        <v>2942</v>
      </c>
      <c r="G1794" t="s">
        <v>2943</v>
      </c>
      <c r="H1794" t="s">
        <v>2944</v>
      </c>
      <c r="I1794" t="s">
        <v>453</v>
      </c>
    </row>
    <row r="1795" customHeight="1" ht="14.0">
      <c r="A1795" t="s">
        <v>1975</v>
      </c>
      <c r="B1795" s="153" t="s">
        <v>1976</v>
      </c>
      <c r="C1795">
        <v>0.0</v>
      </c>
      <c r="D1795">
        <v>0.0</v>
      </c>
      <c r="F1795" t="s">
        <v>2942</v>
      </c>
      <c r="G1795" t="s">
        <v>2943</v>
      </c>
      <c r="H1795" t="s">
        <v>2944</v>
      </c>
      <c r="I1795" t="s">
        <v>453</v>
      </c>
    </row>
    <row r="1796" customHeight="1" ht="14.0">
      <c r="A1796" t="s">
        <v>4811</v>
      </c>
      <c r="B1796" s="153" t="s">
        <v>4812</v>
      </c>
      <c r="C1796">
        <v>0.0</v>
      </c>
      <c r="D1796">
        <v>0.0</v>
      </c>
      <c r="F1796" t="s">
        <v>2994</v>
      </c>
      <c r="G1796" t="s">
        <v>2943</v>
      </c>
      <c r="H1796" t="s">
        <v>2944</v>
      </c>
      <c r="I1796" t="s">
        <v>453</v>
      </c>
    </row>
    <row r="1797" customHeight="1" ht="14.0">
      <c r="A1797" t="s">
        <v>4813</v>
      </c>
      <c r="B1797" s="153" t="s">
        <v>4814</v>
      </c>
      <c r="C1797">
        <v>202.0</v>
      </c>
      <c r="D1797">
        <v>1814.06</v>
      </c>
      <c r="E1797">
        <v>8.9805</v>
      </c>
      <c r="F1797" t="s">
        <v>2942</v>
      </c>
      <c r="G1797" t="s">
        <v>2962</v>
      </c>
      <c r="H1797" t="s">
        <v>2984</v>
      </c>
      <c r="I1797" t="s">
        <v>4815</v>
      </c>
    </row>
    <row r="1798" customHeight="1" ht="14.0">
      <c r="A1798" t="s">
        <v>4816</v>
      </c>
      <c r="B1798" s="153" t="s">
        <v>4817</v>
      </c>
      <c r="C1798">
        <v>344.0</v>
      </c>
      <c r="D1798">
        <v>3088.12</v>
      </c>
      <c r="E1798">
        <v>8.9771</v>
      </c>
      <c r="F1798" t="s">
        <v>2942</v>
      </c>
      <c r="G1798" t="s">
        <v>2962</v>
      </c>
      <c r="H1798" t="s">
        <v>2984</v>
      </c>
      <c r="I1798" t="s">
        <v>4815</v>
      </c>
    </row>
    <row r="1799" customHeight="1" ht="14.0">
      <c r="A1799" t="s">
        <v>4818</v>
      </c>
      <c r="B1799" s="153" t="s">
        <v>4819</v>
      </c>
      <c r="C1799">
        <v>441.0</v>
      </c>
      <c r="D1799">
        <v>3959.5</v>
      </c>
      <c r="E1799">
        <v>8.9785</v>
      </c>
      <c r="F1799" t="s">
        <v>2942</v>
      </c>
      <c r="G1799" t="s">
        <v>2962</v>
      </c>
      <c r="H1799" t="s">
        <v>2984</v>
      </c>
      <c r="I1799" t="s">
        <v>4815</v>
      </c>
    </row>
    <row r="1800" customHeight="1" ht="14.0">
      <c r="A1800" t="s">
        <v>4820</v>
      </c>
      <c r="B1800" s="153" t="s">
        <v>4821</v>
      </c>
      <c r="C1800">
        <v>370.0</v>
      </c>
      <c r="D1800">
        <v>3322.14</v>
      </c>
      <c r="E1800">
        <v>8.9788</v>
      </c>
      <c r="F1800" t="s">
        <v>2942</v>
      </c>
      <c r="G1800" t="s">
        <v>2962</v>
      </c>
      <c r="H1800" t="s">
        <v>2984</v>
      </c>
      <c r="I1800" t="s">
        <v>4815</v>
      </c>
    </row>
    <row r="1801" customHeight="1" ht="14.0">
      <c r="A1801" t="s">
        <v>4822</v>
      </c>
      <c r="B1801" s="153" t="s">
        <v>4823</v>
      </c>
      <c r="C1801">
        <v>421.0</v>
      </c>
      <c r="D1801">
        <v>3779.96</v>
      </c>
      <c r="E1801">
        <v>8.9785</v>
      </c>
      <c r="F1801" t="s">
        <v>2942</v>
      </c>
      <c r="G1801" t="s">
        <v>2962</v>
      </c>
      <c r="H1801" t="s">
        <v>2963</v>
      </c>
      <c r="I1801" t="s">
        <v>4815</v>
      </c>
    </row>
    <row r="1802" customHeight="1" ht="14.0">
      <c r="A1802" t="s">
        <v>226</v>
      </c>
      <c r="B1802" s="153" t="s">
        <v>227</v>
      </c>
      <c r="C1802">
        <v>228.0</v>
      </c>
      <c r="D1802">
        <v>687.22</v>
      </c>
      <c r="E1802">
        <v>3.0141</v>
      </c>
      <c r="F1802" t="s">
        <v>2942</v>
      </c>
      <c r="G1802" t="s">
        <v>2962</v>
      </c>
      <c r="H1802" t="s">
        <v>2963</v>
      </c>
      <c r="I1802" t="s">
        <v>207</v>
      </c>
    </row>
    <row r="1803" customHeight="1" ht="14.0">
      <c r="A1803" t="s">
        <v>208</v>
      </c>
      <c r="B1803" s="153" t="s">
        <v>209</v>
      </c>
      <c r="C1803">
        <v>420.0</v>
      </c>
      <c r="D1803">
        <v>1255.22</v>
      </c>
      <c r="E1803">
        <v>2.9886</v>
      </c>
      <c r="F1803" t="s">
        <v>2942</v>
      </c>
      <c r="G1803" t="s">
        <v>2962</v>
      </c>
      <c r="H1803" t="s">
        <v>2963</v>
      </c>
      <c r="I1803" t="s">
        <v>207</v>
      </c>
    </row>
    <row r="1804" customHeight="1" ht="14.0">
      <c r="A1804" t="s">
        <v>210</v>
      </c>
      <c r="B1804" s="153" t="s">
        <v>211</v>
      </c>
      <c r="C1804">
        <v>172.0</v>
      </c>
      <c r="D1804">
        <v>514.3</v>
      </c>
      <c r="E1804">
        <v>2.9901</v>
      </c>
      <c r="F1804" t="s">
        <v>2942</v>
      </c>
      <c r="G1804" t="s">
        <v>2962</v>
      </c>
      <c r="H1804" t="s">
        <v>2963</v>
      </c>
      <c r="I1804" t="s">
        <v>207</v>
      </c>
    </row>
    <row r="1805" customHeight="1" ht="14.0">
      <c r="A1805" t="s">
        <v>224</v>
      </c>
      <c r="B1805" s="153" t="s">
        <v>225</v>
      </c>
      <c r="C1805">
        <v>264.0</v>
      </c>
      <c r="D1805">
        <v>795.6</v>
      </c>
      <c r="E1805">
        <v>3.0136</v>
      </c>
      <c r="F1805" t="s">
        <v>2942</v>
      </c>
      <c r="G1805" t="s">
        <v>2962</v>
      </c>
      <c r="H1805" t="s">
        <v>2963</v>
      </c>
      <c r="I1805" t="s">
        <v>207</v>
      </c>
    </row>
    <row r="1806" customHeight="1" ht="14.0">
      <c r="A1806" t="s">
        <v>222</v>
      </c>
      <c r="B1806" s="153" t="s">
        <v>223</v>
      </c>
      <c r="C1806">
        <v>76.0</v>
      </c>
      <c r="D1806">
        <v>229.34</v>
      </c>
      <c r="E1806">
        <v>3.0176</v>
      </c>
      <c r="F1806" t="s">
        <v>2942</v>
      </c>
      <c r="G1806" t="s">
        <v>2962</v>
      </c>
      <c r="H1806" t="s">
        <v>2963</v>
      </c>
      <c r="I1806" t="s">
        <v>207</v>
      </c>
    </row>
    <row r="1807" customHeight="1" ht="14.0">
      <c r="A1807" t="s">
        <v>220</v>
      </c>
      <c r="B1807" s="153" t="s">
        <v>221</v>
      </c>
      <c r="C1807">
        <v>80.0</v>
      </c>
      <c r="D1807">
        <v>241.38</v>
      </c>
      <c r="E1807">
        <v>3.0173</v>
      </c>
      <c r="F1807" t="s">
        <v>2942</v>
      </c>
      <c r="G1807" t="s">
        <v>2962</v>
      </c>
      <c r="H1807" t="s">
        <v>2963</v>
      </c>
      <c r="I1807" t="s">
        <v>207</v>
      </c>
    </row>
    <row r="1808" customHeight="1" ht="14.0">
      <c r="A1808" t="s">
        <v>212</v>
      </c>
      <c r="B1808" s="153" t="s">
        <v>213</v>
      </c>
      <c r="C1808">
        <v>392.0</v>
      </c>
      <c r="D1808">
        <v>1181.27</v>
      </c>
      <c r="E1808">
        <v>3.0134</v>
      </c>
      <c r="F1808" t="s">
        <v>2942</v>
      </c>
      <c r="G1808" t="s">
        <v>2962</v>
      </c>
      <c r="H1808" t="s">
        <v>2963</v>
      </c>
      <c r="I1808" t="s">
        <v>207</v>
      </c>
    </row>
    <row r="1809" customHeight="1" ht="14.0">
      <c r="A1809" t="s">
        <v>214</v>
      </c>
      <c r="B1809" s="153" t="s">
        <v>215</v>
      </c>
      <c r="C1809">
        <v>182.0</v>
      </c>
      <c r="D1809">
        <v>548.81</v>
      </c>
      <c r="E1809">
        <v>3.0154</v>
      </c>
      <c r="F1809" t="s">
        <v>2942</v>
      </c>
      <c r="G1809" t="s">
        <v>2962</v>
      </c>
      <c r="H1809" t="s">
        <v>2963</v>
      </c>
      <c r="I1809" t="s">
        <v>207</v>
      </c>
    </row>
    <row r="1810" customHeight="1" ht="14.0">
      <c r="A1810" t="s">
        <v>218</v>
      </c>
      <c r="B1810" s="153" t="s">
        <v>219</v>
      </c>
      <c r="C1810">
        <v>183.0</v>
      </c>
      <c r="D1810">
        <v>547.14</v>
      </c>
      <c r="E1810">
        <v>2.9898</v>
      </c>
      <c r="F1810" t="s">
        <v>2942</v>
      </c>
      <c r="G1810" t="s">
        <v>2962</v>
      </c>
      <c r="H1810" t="s">
        <v>2963</v>
      </c>
      <c r="I1810" t="s">
        <v>207</v>
      </c>
    </row>
    <row r="1811" customHeight="1" ht="14.0">
      <c r="A1811" t="s">
        <v>216</v>
      </c>
      <c r="B1811" s="153" t="s">
        <v>217</v>
      </c>
      <c r="C1811">
        <v>235.0</v>
      </c>
      <c r="D1811">
        <v>708.31</v>
      </c>
      <c r="E1811">
        <v>3.0141</v>
      </c>
      <c r="F1811" t="s">
        <v>2942</v>
      </c>
      <c r="G1811" t="s">
        <v>2962</v>
      </c>
      <c r="H1811" t="s">
        <v>2963</v>
      </c>
      <c r="I1811" t="s">
        <v>207</v>
      </c>
    </row>
    <row r="1812" customHeight="1" ht="14.0">
      <c r="A1812" t="s">
        <v>4824</v>
      </c>
      <c r="B1812" s="153" t="s">
        <v>4825</v>
      </c>
      <c r="C1812">
        <v>0.0</v>
      </c>
      <c r="D1812">
        <v>0.0</v>
      </c>
      <c r="F1812" t="s">
        <v>2942</v>
      </c>
      <c r="G1812" t="s">
        <v>2962</v>
      </c>
      <c r="H1812" t="s">
        <v>3161</v>
      </c>
    </row>
    <row r="1813" customHeight="1" ht="14.0">
      <c r="A1813" t="s">
        <v>4826</v>
      </c>
      <c r="B1813" s="153">
        <v>41501.0</v>
      </c>
      <c r="C1813">
        <v>0.0</v>
      </c>
      <c r="D1813">
        <v>0.0</v>
      </c>
      <c r="F1813" t="s">
        <v>2942</v>
      </c>
      <c r="G1813" t="s">
        <v>2943</v>
      </c>
      <c r="H1813" t="s">
        <v>2944</v>
      </c>
      <c r="I1813" t="s">
        <v>3708</v>
      </c>
    </row>
    <row r="1814" customHeight="1" ht="14.0">
      <c r="A1814" t="s">
        <v>4827</v>
      </c>
      <c r="B1814" s="153">
        <v>41502.0</v>
      </c>
      <c r="C1814">
        <v>0.0</v>
      </c>
      <c r="D1814">
        <v>0.0</v>
      </c>
      <c r="F1814" t="s">
        <v>2942</v>
      </c>
      <c r="G1814" t="s">
        <v>2943</v>
      </c>
      <c r="H1814" t="s">
        <v>2944</v>
      </c>
      <c r="I1814" t="s">
        <v>3708</v>
      </c>
    </row>
    <row r="1815" customHeight="1" ht="14.0">
      <c r="A1815" t="s">
        <v>4828</v>
      </c>
      <c r="B1815" s="153">
        <v>41503.0</v>
      </c>
      <c r="C1815">
        <v>0.0</v>
      </c>
      <c r="D1815">
        <v>0.0</v>
      </c>
      <c r="F1815" t="s">
        <v>2942</v>
      </c>
      <c r="G1815" t="s">
        <v>2943</v>
      </c>
      <c r="H1815" t="s">
        <v>2944</v>
      </c>
      <c r="I1815" t="s">
        <v>3708</v>
      </c>
    </row>
    <row r="1816" customHeight="1" ht="14.0">
      <c r="A1816" t="s">
        <v>4829</v>
      </c>
      <c r="B1816" s="153">
        <v>41504.0</v>
      </c>
      <c r="C1816">
        <v>0.0</v>
      </c>
      <c r="D1816">
        <v>0.0</v>
      </c>
      <c r="F1816" t="s">
        <v>2942</v>
      </c>
      <c r="G1816" t="s">
        <v>2943</v>
      </c>
      <c r="H1816" t="s">
        <v>2944</v>
      </c>
      <c r="I1816" t="s">
        <v>3708</v>
      </c>
    </row>
    <row r="1817" customHeight="1" ht="14.0">
      <c r="A1817" t="s">
        <v>4830</v>
      </c>
      <c r="B1817" s="153">
        <v>41505.0</v>
      </c>
      <c r="C1817">
        <v>0.0</v>
      </c>
      <c r="D1817">
        <v>0.0</v>
      </c>
      <c r="F1817" t="s">
        <v>2942</v>
      </c>
      <c r="G1817" t="s">
        <v>2943</v>
      </c>
      <c r="H1817" t="s">
        <v>2944</v>
      </c>
      <c r="I1817" t="s">
        <v>3708</v>
      </c>
    </row>
    <row r="1818" customHeight="1" ht="14.0">
      <c r="A1818" t="s">
        <v>4831</v>
      </c>
      <c r="B1818" s="153">
        <v>41508.0</v>
      </c>
      <c r="C1818">
        <v>0.0</v>
      </c>
      <c r="D1818">
        <v>0.0</v>
      </c>
      <c r="F1818" t="s">
        <v>2942</v>
      </c>
      <c r="G1818" t="s">
        <v>2943</v>
      </c>
      <c r="H1818" t="s">
        <v>2944</v>
      </c>
      <c r="I1818" t="s">
        <v>3708</v>
      </c>
    </row>
    <row r="1819" customHeight="1" ht="14.0">
      <c r="A1819" t="s">
        <v>4832</v>
      </c>
      <c r="B1819" s="153">
        <v>41510.0</v>
      </c>
      <c r="C1819">
        <v>0.0</v>
      </c>
      <c r="D1819">
        <v>0.0</v>
      </c>
      <c r="F1819" t="s">
        <v>2942</v>
      </c>
      <c r="G1819" t="s">
        <v>2943</v>
      </c>
      <c r="H1819" t="s">
        <v>2944</v>
      </c>
      <c r="I1819" t="s">
        <v>3708</v>
      </c>
    </row>
    <row r="1820" customHeight="1" ht="14.0">
      <c r="A1820" t="s">
        <v>4833</v>
      </c>
      <c r="B1820" s="153">
        <v>41511.0</v>
      </c>
      <c r="C1820">
        <v>0.0</v>
      </c>
      <c r="D1820">
        <v>0.0</v>
      </c>
      <c r="F1820" t="s">
        <v>2942</v>
      </c>
      <c r="G1820" t="s">
        <v>2943</v>
      </c>
      <c r="H1820" t="s">
        <v>2944</v>
      </c>
      <c r="I1820" t="s">
        <v>3708</v>
      </c>
    </row>
    <row r="1821" customHeight="1" ht="14.0">
      <c r="A1821" t="s">
        <v>4834</v>
      </c>
      <c r="B1821" s="153">
        <v>41512.0</v>
      </c>
      <c r="C1821">
        <v>0.0</v>
      </c>
      <c r="D1821">
        <v>0.0</v>
      </c>
      <c r="F1821" t="s">
        <v>2942</v>
      </c>
      <c r="G1821" t="s">
        <v>2943</v>
      </c>
      <c r="H1821" t="s">
        <v>2944</v>
      </c>
      <c r="I1821" t="s">
        <v>3708</v>
      </c>
    </row>
    <row r="1822" customHeight="1" ht="14.0">
      <c r="A1822" t="s">
        <v>4835</v>
      </c>
      <c r="B1822" s="153">
        <v>41513.0</v>
      </c>
      <c r="C1822">
        <v>0.0</v>
      </c>
      <c r="D1822">
        <v>0.0</v>
      </c>
      <c r="F1822" t="s">
        <v>2942</v>
      </c>
      <c r="G1822" t="s">
        <v>2943</v>
      </c>
      <c r="H1822" t="s">
        <v>2944</v>
      </c>
      <c r="I1822" t="s">
        <v>3708</v>
      </c>
    </row>
    <row r="1823" customHeight="1" ht="14.0">
      <c r="A1823" t="s">
        <v>4836</v>
      </c>
      <c r="B1823" s="153">
        <v>41518.0</v>
      </c>
      <c r="C1823">
        <v>0.0</v>
      </c>
      <c r="D1823">
        <v>0.0</v>
      </c>
      <c r="F1823" t="s">
        <v>2942</v>
      </c>
      <c r="G1823" t="s">
        <v>2943</v>
      </c>
      <c r="H1823" t="s">
        <v>2944</v>
      </c>
      <c r="I1823" t="s">
        <v>3708</v>
      </c>
    </row>
    <row r="1824" customHeight="1" ht="14.0">
      <c r="A1824" t="s">
        <v>4837</v>
      </c>
      <c r="B1824" s="153">
        <v>41519.0</v>
      </c>
      <c r="C1824">
        <v>0.0</v>
      </c>
      <c r="D1824">
        <v>0.0</v>
      </c>
      <c r="F1824" t="s">
        <v>2942</v>
      </c>
      <c r="G1824" t="s">
        <v>2943</v>
      </c>
      <c r="H1824" t="s">
        <v>2944</v>
      </c>
      <c r="I1824" t="s">
        <v>3708</v>
      </c>
    </row>
    <row r="1825" customHeight="1" ht="14.0">
      <c r="A1825" t="s">
        <v>4838</v>
      </c>
      <c r="B1825" s="153" t="s">
        <v>4839</v>
      </c>
      <c r="C1825">
        <v>0.0</v>
      </c>
      <c r="D1825">
        <v>0.0</v>
      </c>
      <c r="F1825" t="s">
        <v>2942</v>
      </c>
      <c r="G1825" t="s">
        <v>2943</v>
      </c>
      <c r="H1825" t="s">
        <v>2944</v>
      </c>
      <c r="I1825" t="s">
        <v>3708</v>
      </c>
    </row>
    <row r="1826" customHeight="1" ht="14.0">
      <c r="A1826" t="s">
        <v>4840</v>
      </c>
      <c r="B1826" s="153" t="s">
        <v>4841</v>
      </c>
      <c r="C1826">
        <v>0.0</v>
      </c>
      <c r="D1826">
        <v>0.0</v>
      </c>
      <c r="F1826" t="s">
        <v>2994</v>
      </c>
      <c r="G1826" t="s">
        <v>2943</v>
      </c>
      <c r="H1826" t="s">
        <v>2944</v>
      </c>
      <c r="I1826" t="s">
        <v>3708</v>
      </c>
    </row>
    <row r="1827" customHeight="1" ht="14.0">
      <c r="A1827" t="s">
        <v>4842</v>
      </c>
      <c r="B1827" s="153">
        <v>7006.0</v>
      </c>
      <c r="C1827">
        <v>0.0</v>
      </c>
      <c r="D1827">
        <v>0.0</v>
      </c>
      <c r="F1827" t="s">
        <v>2942</v>
      </c>
      <c r="G1827" t="s">
        <v>2943</v>
      </c>
      <c r="H1827" t="s">
        <v>2944</v>
      </c>
      <c r="I1827" t="s">
        <v>3442</v>
      </c>
    </row>
    <row r="1828" customHeight="1" ht="14.0">
      <c r="A1828" t="s">
        <v>4843</v>
      </c>
      <c r="B1828" s="153">
        <v>7009.0</v>
      </c>
      <c r="C1828">
        <v>0.0</v>
      </c>
      <c r="D1828">
        <v>0.0</v>
      </c>
      <c r="F1828" t="s">
        <v>2942</v>
      </c>
      <c r="G1828" t="s">
        <v>2943</v>
      </c>
      <c r="H1828" t="s">
        <v>2944</v>
      </c>
      <c r="I1828" t="s">
        <v>3442</v>
      </c>
    </row>
    <row r="1829" customHeight="1" ht="14.0">
      <c r="A1829" t="s">
        <v>4844</v>
      </c>
      <c r="B1829" s="153">
        <v>7008.0</v>
      </c>
      <c r="C1829">
        <v>0.0</v>
      </c>
      <c r="D1829">
        <v>0.0</v>
      </c>
      <c r="F1829" t="s">
        <v>2942</v>
      </c>
      <c r="G1829" t="s">
        <v>2943</v>
      </c>
      <c r="H1829" t="s">
        <v>2944</v>
      </c>
      <c r="I1829" t="s">
        <v>3442</v>
      </c>
    </row>
    <row r="1830" customHeight="1" ht="14.0">
      <c r="A1830" t="s">
        <v>4845</v>
      </c>
      <c r="B1830" s="153">
        <v>7007.0</v>
      </c>
      <c r="C1830">
        <v>0.0</v>
      </c>
      <c r="D1830">
        <v>0.0</v>
      </c>
      <c r="F1830" t="s">
        <v>2942</v>
      </c>
      <c r="G1830" t="s">
        <v>2943</v>
      </c>
      <c r="H1830" t="s">
        <v>2944</v>
      </c>
      <c r="I1830" t="s">
        <v>3442</v>
      </c>
    </row>
    <row r="1831" customHeight="1" ht="14.0">
      <c r="A1831" t="s">
        <v>4846</v>
      </c>
      <c r="B1831" s="153">
        <v>7003.0</v>
      </c>
      <c r="C1831">
        <v>0.0</v>
      </c>
      <c r="D1831">
        <v>0.0</v>
      </c>
      <c r="F1831" t="s">
        <v>2942</v>
      </c>
      <c r="G1831" t="s">
        <v>2943</v>
      </c>
      <c r="H1831" t="s">
        <v>2944</v>
      </c>
      <c r="I1831" t="s">
        <v>3442</v>
      </c>
    </row>
    <row r="1832" customHeight="1" ht="14.0">
      <c r="A1832" t="s">
        <v>4847</v>
      </c>
      <c r="B1832" s="153" t="s">
        <v>4848</v>
      </c>
      <c r="C1832">
        <v>0.0</v>
      </c>
      <c r="D1832">
        <v>0.0</v>
      </c>
      <c r="F1832" t="s">
        <v>2994</v>
      </c>
      <c r="G1832" t="s">
        <v>2943</v>
      </c>
      <c r="H1832" t="s">
        <v>2944</v>
      </c>
      <c r="I1832" t="s">
        <v>3442</v>
      </c>
    </row>
    <row r="1833" customHeight="1" ht="14.0">
      <c r="A1833" t="s">
        <v>4849</v>
      </c>
      <c r="B1833" s="153" t="s">
        <v>4850</v>
      </c>
      <c r="C1833">
        <v>0.0</v>
      </c>
      <c r="D1833">
        <v>0.0</v>
      </c>
      <c r="F1833" t="s">
        <v>2942</v>
      </c>
      <c r="G1833" t="s">
        <v>2943</v>
      </c>
      <c r="H1833" t="s">
        <v>2944</v>
      </c>
      <c r="I1833" t="s">
        <v>3708</v>
      </c>
    </row>
    <row r="1834" customHeight="1" ht="14.0">
      <c r="A1834" t="s">
        <v>4851</v>
      </c>
      <c r="B1834" s="153" t="s">
        <v>4852</v>
      </c>
      <c r="C1834">
        <v>0.0</v>
      </c>
      <c r="D1834">
        <v>0.0</v>
      </c>
      <c r="F1834" t="s">
        <v>2942</v>
      </c>
      <c r="G1834" t="s">
        <v>2943</v>
      </c>
      <c r="H1834" t="s">
        <v>2944</v>
      </c>
      <c r="I1834" t="s">
        <v>3724</v>
      </c>
    </row>
    <row r="1835" customHeight="1" ht="14.0">
      <c r="A1835" t="s">
        <v>320</v>
      </c>
      <c r="B1835" s="153" t="s">
        <v>321</v>
      </c>
      <c r="C1835">
        <v>394.0</v>
      </c>
      <c r="D1835">
        <v>732.11</v>
      </c>
      <c r="E1835">
        <v>1.8581</v>
      </c>
      <c r="F1835" t="s">
        <v>2942</v>
      </c>
      <c r="G1835" t="s">
        <v>2962</v>
      </c>
      <c r="H1835" t="s">
        <v>30</v>
      </c>
      <c r="I1835" t="s">
        <v>289</v>
      </c>
    </row>
    <row r="1836" customHeight="1" ht="14.0">
      <c r="A1836" t="s">
        <v>316</v>
      </c>
      <c r="B1836" s="153" t="s">
        <v>317</v>
      </c>
      <c r="C1836">
        <v>254.0</v>
      </c>
      <c r="D1836">
        <v>353.45</v>
      </c>
      <c r="E1836">
        <v>1.3915</v>
      </c>
      <c r="F1836" t="s">
        <v>2942</v>
      </c>
      <c r="G1836" t="s">
        <v>2962</v>
      </c>
      <c r="H1836" t="s">
        <v>30</v>
      </c>
      <c r="I1836" t="s">
        <v>289</v>
      </c>
    </row>
    <row r="1837" customHeight="1" ht="14.0">
      <c r="A1837" t="s">
        <v>1977</v>
      </c>
      <c r="B1837" s="153" t="s">
        <v>1978</v>
      </c>
      <c r="C1837">
        <v>0.0</v>
      </c>
      <c r="D1837">
        <v>0.0</v>
      </c>
      <c r="F1837" t="s">
        <v>2942</v>
      </c>
      <c r="G1837" t="s">
        <v>2962</v>
      </c>
      <c r="H1837" t="s">
        <v>2963</v>
      </c>
      <c r="I1837" t="s">
        <v>289</v>
      </c>
    </row>
    <row r="1838" customHeight="1" ht="14.0">
      <c r="A1838" t="s">
        <v>290</v>
      </c>
      <c r="B1838" s="153" t="s">
        <v>291</v>
      </c>
      <c r="C1838">
        <v>5.0</v>
      </c>
      <c r="D1838">
        <v>9.15</v>
      </c>
      <c r="E1838">
        <v>1.83</v>
      </c>
      <c r="F1838" t="s">
        <v>2942</v>
      </c>
      <c r="G1838" t="s">
        <v>2962</v>
      </c>
      <c r="H1838" t="s">
        <v>2963</v>
      </c>
      <c r="I1838" t="s">
        <v>289</v>
      </c>
    </row>
    <row r="1839" customHeight="1" ht="14.0">
      <c r="A1839" t="s">
        <v>310</v>
      </c>
      <c r="B1839" s="153" t="s">
        <v>311</v>
      </c>
      <c r="C1839">
        <v>425.0</v>
      </c>
      <c r="D1839">
        <v>789.72</v>
      </c>
      <c r="E1839">
        <v>1.8582</v>
      </c>
      <c r="F1839" t="s">
        <v>2942</v>
      </c>
      <c r="G1839" t="s">
        <v>2962</v>
      </c>
      <c r="H1839" t="s">
        <v>30</v>
      </c>
      <c r="I1839" t="s">
        <v>289</v>
      </c>
    </row>
    <row r="1840" customHeight="1" ht="14.0">
      <c r="A1840" t="s">
        <v>292</v>
      </c>
      <c r="B1840" s="153" t="s">
        <v>293</v>
      </c>
      <c r="C1840">
        <v>536.0</v>
      </c>
      <c r="D1840">
        <v>981.67</v>
      </c>
      <c r="E1840">
        <v>1.8315</v>
      </c>
      <c r="F1840" t="s">
        <v>2942</v>
      </c>
      <c r="G1840" t="s">
        <v>2962</v>
      </c>
      <c r="H1840" t="s">
        <v>30</v>
      </c>
      <c r="I1840" t="s">
        <v>289</v>
      </c>
    </row>
    <row r="1841" customHeight="1" ht="14.0">
      <c r="A1841" t="s">
        <v>294</v>
      </c>
      <c r="B1841" s="153" t="s">
        <v>295</v>
      </c>
      <c r="C1841">
        <v>740.0</v>
      </c>
      <c r="D1841">
        <v>1566.15</v>
      </c>
      <c r="E1841">
        <v>2.1164</v>
      </c>
      <c r="F1841" t="s">
        <v>2942</v>
      </c>
      <c r="G1841" t="s">
        <v>2962</v>
      </c>
      <c r="H1841" t="s">
        <v>30</v>
      </c>
      <c r="I1841" t="s">
        <v>289</v>
      </c>
    </row>
    <row r="1842" customHeight="1" ht="14.0">
      <c r="A1842" t="s">
        <v>819</v>
      </c>
      <c r="B1842" s="153" t="s">
        <v>820</v>
      </c>
      <c r="C1842">
        <v>939.0</v>
      </c>
      <c r="D1842">
        <v>1987.34</v>
      </c>
      <c r="E1842">
        <v>2.1164</v>
      </c>
      <c r="F1842" t="s">
        <v>2942</v>
      </c>
      <c r="G1842" t="s">
        <v>2962</v>
      </c>
      <c r="H1842" t="s">
        <v>30</v>
      </c>
      <c r="I1842" t="s">
        <v>289</v>
      </c>
    </row>
    <row r="1843" customHeight="1" ht="14.0">
      <c r="A1843" t="s">
        <v>817</v>
      </c>
      <c r="B1843" s="153" t="s">
        <v>818</v>
      </c>
      <c r="C1843">
        <v>990.0</v>
      </c>
      <c r="D1843">
        <v>2095.29</v>
      </c>
      <c r="E1843">
        <v>2.1165</v>
      </c>
      <c r="F1843" t="s">
        <v>2942</v>
      </c>
      <c r="G1843" t="s">
        <v>2962</v>
      </c>
      <c r="H1843" t="s">
        <v>30</v>
      </c>
      <c r="I1843" t="s">
        <v>289</v>
      </c>
    </row>
    <row r="1844" customHeight="1" ht="14.0">
      <c r="A1844" t="s">
        <v>815</v>
      </c>
      <c r="B1844" s="153" t="s">
        <v>816</v>
      </c>
      <c r="C1844">
        <v>912.0</v>
      </c>
      <c r="D1844">
        <v>1930.19</v>
      </c>
      <c r="E1844">
        <v>2.1164</v>
      </c>
      <c r="F1844" t="s">
        <v>2942</v>
      </c>
      <c r="G1844" t="s">
        <v>2962</v>
      </c>
      <c r="H1844" t="s">
        <v>30</v>
      </c>
      <c r="I1844" t="s">
        <v>289</v>
      </c>
    </row>
    <row r="1845" customHeight="1" ht="14.0">
      <c r="A1845" t="s">
        <v>813</v>
      </c>
      <c r="B1845" s="153" t="s">
        <v>814</v>
      </c>
      <c r="C1845">
        <v>903.0</v>
      </c>
      <c r="D1845">
        <v>1911.14</v>
      </c>
      <c r="E1845">
        <v>2.1164</v>
      </c>
      <c r="F1845" t="s">
        <v>2942</v>
      </c>
      <c r="G1845" t="s">
        <v>2962</v>
      </c>
      <c r="H1845" t="s">
        <v>30</v>
      </c>
      <c r="I1845" t="s">
        <v>289</v>
      </c>
    </row>
    <row r="1846" customHeight="1" ht="14.0">
      <c r="A1846" t="s">
        <v>811</v>
      </c>
      <c r="B1846" s="153" t="s">
        <v>812</v>
      </c>
      <c r="C1846">
        <v>891.0</v>
      </c>
      <c r="D1846">
        <v>1885.74</v>
      </c>
      <c r="E1846">
        <v>2.1164</v>
      </c>
      <c r="F1846" t="s">
        <v>2942</v>
      </c>
      <c r="G1846" t="s">
        <v>2962</v>
      </c>
      <c r="H1846" t="s">
        <v>30</v>
      </c>
      <c r="I1846" t="s">
        <v>289</v>
      </c>
    </row>
    <row r="1847" customHeight="1" ht="14.0">
      <c r="A1847" t="s">
        <v>809</v>
      </c>
      <c r="B1847" s="153" t="s">
        <v>810</v>
      </c>
      <c r="C1847">
        <v>903.0</v>
      </c>
      <c r="D1847">
        <v>1911.14</v>
      </c>
      <c r="E1847">
        <v>2.1164</v>
      </c>
      <c r="F1847" t="s">
        <v>2942</v>
      </c>
      <c r="G1847" t="s">
        <v>2962</v>
      </c>
      <c r="H1847" t="s">
        <v>30</v>
      </c>
      <c r="I1847" t="s">
        <v>289</v>
      </c>
    </row>
    <row r="1848" customHeight="1" ht="14.0">
      <c r="A1848" t="s">
        <v>807</v>
      </c>
      <c r="B1848" s="153" t="s">
        <v>808</v>
      </c>
      <c r="C1848">
        <v>906.0</v>
      </c>
      <c r="D1848">
        <v>1917.48</v>
      </c>
      <c r="E1848">
        <v>2.1164</v>
      </c>
      <c r="F1848" t="s">
        <v>2942</v>
      </c>
      <c r="G1848" t="s">
        <v>2962</v>
      </c>
      <c r="H1848" t="s">
        <v>30</v>
      </c>
      <c r="I1848" t="s">
        <v>289</v>
      </c>
    </row>
    <row r="1849" customHeight="1" ht="14.0">
      <c r="A1849" t="s">
        <v>805</v>
      </c>
      <c r="B1849" s="153" t="s">
        <v>806</v>
      </c>
      <c r="C1849">
        <v>930.0</v>
      </c>
      <c r="D1849">
        <v>1968.3</v>
      </c>
      <c r="E1849">
        <v>2.1165</v>
      </c>
      <c r="F1849" t="s">
        <v>2942</v>
      </c>
      <c r="G1849" t="s">
        <v>2962</v>
      </c>
      <c r="H1849" t="s">
        <v>30</v>
      </c>
      <c r="I1849" t="s">
        <v>289</v>
      </c>
    </row>
    <row r="1850" customHeight="1" ht="14.0">
      <c r="A1850" t="s">
        <v>334</v>
      </c>
      <c r="B1850" s="153" t="s">
        <v>335</v>
      </c>
      <c r="C1850">
        <v>535.0</v>
      </c>
      <c r="D1850">
        <v>993.95</v>
      </c>
      <c r="E1850">
        <v>1.8579</v>
      </c>
      <c r="F1850" t="s">
        <v>2942</v>
      </c>
      <c r="G1850" t="s">
        <v>2962</v>
      </c>
      <c r="H1850" t="s">
        <v>30</v>
      </c>
      <c r="I1850" t="s">
        <v>289</v>
      </c>
    </row>
    <row r="1851" customHeight="1" ht="14.0">
      <c r="A1851" t="s">
        <v>296</v>
      </c>
      <c r="B1851" s="153" t="s">
        <v>297</v>
      </c>
      <c r="C1851">
        <v>499.0</v>
      </c>
      <c r="D1851">
        <v>913.74</v>
      </c>
      <c r="E1851">
        <v>1.8311</v>
      </c>
      <c r="F1851" t="s">
        <v>2942</v>
      </c>
      <c r="G1851" t="s">
        <v>2962</v>
      </c>
      <c r="H1851" t="s">
        <v>30</v>
      </c>
      <c r="I1851" t="s">
        <v>289</v>
      </c>
    </row>
    <row r="1852" customHeight="1" ht="14.0">
      <c r="A1852" t="s">
        <v>338</v>
      </c>
      <c r="B1852" s="153" t="s">
        <v>339</v>
      </c>
      <c r="C1852">
        <v>519.0</v>
      </c>
      <c r="D1852">
        <v>964.19</v>
      </c>
      <c r="E1852">
        <v>1.8578</v>
      </c>
      <c r="F1852" t="s">
        <v>2942</v>
      </c>
      <c r="G1852" t="s">
        <v>2962</v>
      </c>
      <c r="H1852" t="s">
        <v>30</v>
      </c>
      <c r="I1852" t="s">
        <v>289</v>
      </c>
    </row>
    <row r="1853" customHeight="1" ht="14.0">
      <c r="A1853" t="s">
        <v>314</v>
      </c>
      <c r="B1853" s="153" t="s">
        <v>315</v>
      </c>
      <c r="C1853">
        <v>144.0</v>
      </c>
      <c r="D1853">
        <v>267.75</v>
      </c>
      <c r="E1853">
        <v>1.8594</v>
      </c>
      <c r="F1853" t="s">
        <v>2942</v>
      </c>
      <c r="G1853" t="s">
        <v>2962</v>
      </c>
      <c r="H1853" t="s">
        <v>30</v>
      </c>
      <c r="I1853" t="s">
        <v>289</v>
      </c>
    </row>
    <row r="1854" customHeight="1" ht="14.0">
      <c r="A1854" t="s">
        <v>1979</v>
      </c>
      <c r="B1854" s="153" t="s">
        <v>1980</v>
      </c>
      <c r="C1854">
        <v>0.0</v>
      </c>
      <c r="D1854">
        <v>0.0</v>
      </c>
      <c r="F1854" t="s">
        <v>2942</v>
      </c>
      <c r="G1854" t="s">
        <v>2962</v>
      </c>
      <c r="H1854" t="s">
        <v>2963</v>
      </c>
      <c r="I1854" t="s">
        <v>289</v>
      </c>
    </row>
    <row r="1855" customHeight="1" ht="14.0">
      <c r="A1855" t="s">
        <v>326</v>
      </c>
      <c r="B1855" s="153" t="s">
        <v>327</v>
      </c>
      <c r="C1855">
        <v>696.0</v>
      </c>
      <c r="D1855">
        <v>1292.94</v>
      </c>
      <c r="E1855">
        <v>1.8577</v>
      </c>
      <c r="F1855" t="s">
        <v>2942</v>
      </c>
      <c r="G1855" t="s">
        <v>2962</v>
      </c>
      <c r="H1855" t="s">
        <v>30</v>
      </c>
      <c r="I1855" t="s">
        <v>289</v>
      </c>
    </row>
    <row r="1856" customHeight="1" ht="14.0">
      <c r="A1856" t="s">
        <v>1981</v>
      </c>
      <c r="B1856" s="153" t="s">
        <v>1982</v>
      </c>
      <c r="C1856">
        <v>0.0</v>
      </c>
      <c r="D1856">
        <v>0.0</v>
      </c>
      <c r="F1856" t="s">
        <v>2942</v>
      </c>
      <c r="G1856" t="s">
        <v>2962</v>
      </c>
      <c r="H1856" t="s">
        <v>2963</v>
      </c>
      <c r="I1856" t="s">
        <v>289</v>
      </c>
    </row>
    <row r="1857" customHeight="1" ht="14.0">
      <c r="A1857" t="s">
        <v>1983</v>
      </c>
      <c r="B1857" s="153" t="s">
        <v>1984</v>
      </c>
      <c r="C1857">
        <v>0.0</v>
      </c>
      <c r="D1857">
        <v>0.0</v>
      </c>
      <c r="F1857" t="s">
        <v>2942</v>
      </c>
      <c r="G1857" t="s">
        <v>2962</v>
      </c>
      <c r="H1857" t="s">
        <v>2963</v>
      </c>
      <c r="I1857" t="s">
        <v>289</v>
      </c>
    </row>
    <row r="1858" customHeight="1" ht="14.0">
      <c r="A1858" t="s">
        <v>4853</v>
      </c>
      <c r="B1858" s="153" t="s">
        <v>4854</v>
      </c>
      <c r="C1858">
        <v>0.0</v>
      </c>
      <c r="D1858">
        <v>0.0</v>
      </c>
      <c r="F1858" t="s">
        <v>2942</v>
      </c>
      <c r="G1858" t="s">
        <v>2943</v>
      </c>
      <c r="H1858" t="s">
        <v>2944</v>
      </c>
      <c r="I1858" t="s">
        <v>4855</v>
      </c>
    </row>
    <row r="1859" customHeight="1" ht="14.0">
      <c r="A1859" t="s">
        <v>1985</v>
      </c>
      <c r="B1859" s="153" t="s">
        <v>1986</v>
      </c>
      <c r="C1859">
        <v>0.0</v>
      </c>
      <c r="D1859">
        <v>0.0</v>
      </c>
      <c r="F1859" t="s">
        <v>2942</v>
      </c>
      <c r="G1859" t="s">
        <v>2962</v>
      </c>
      <c r="H1859" t="s">
        <v>2963</v>
      </c>
      <c r="I1859" t="s">
        <v>289</v>
      </c>
    </row>
    <row r="1860" customHeight="1" ht="14.0">
      <c r="A1860" t="s">
        <v>332</v>
      </c>
      <c r="B1860" s="153" t="s">
        <v>333</v>
      </c>
      <c r="C1860">
        <v>559.0</v>
      </c>
      <c r="D1860">
        <v>1038.56</v>
      </c>
      <c r="E1860">
        <v>1.8579</v>
      </c>
      <c r="F1860" t="s">
        <v>2942</v>
      </c>
      <c r="G1860" t="s">
        <v>2962</v>
      </c>
      <c r="H1860" t="s">
        <v>30</v>
      </c>
      <c r="I1860" t="s">
        <v>289</v>
      </c>
    </row>
    <row r="1861" customHeight="1" ht="14.0">
      <c r="A1861" t="s">
        <v>328</v>
      </c>
      <c r="B1861" s="153" t="s">
        <v>329</v>
      </c>
      <c r="C1861">
        <v>483.0</v>
      </c>
      <c r="D1861">
        <v>897.41</v>
      </c>
      <c r="E1861">
        <v>1.858</v>
      </c>
      <c r="F1861" t="s">
        <v>2942</v>
      </c>
      <c r="G1861" t="s">
        <v>2962</v>
      </c>
      <c r="H1861" t="s">
        <v>30</v>
      </c>
      <c r="I1861" t="s">
        <v>289</v>
      </c>
    </row>
    <row r="1862" customHeight="1" ht="14.0">
      <c r="A1862" t="s">
        <v>330</v>
      </c>
      <c r="B1862" s="153" t="s">
        <v>331</v>
      </c>
      <c r="C1862">
        <v>186.0</v>
      </c>
      <c r="D1862">
        <v>340.33</v>
      </c>
      <c r="E1862">
        <v>1.8297</v>
      </c>
      <c r="F1862" t="s">
        <v>2942</v>
      </c>
      <c r="G1862" t="s">
        <v>2962</v>
      </c>
      <c r="H1862" t="s">
        <v>30</v>
      </c>
      <c r="I1862" t="s">
        <v>289</v>
      </c>
    </row>
    <row r="1863" customHeight="1" ht="14.0">
      <c r="A1863" t="s">
        <v>1987</v>
      </c>
      <c r="B1863" s="153" t="s">
        <v>1988</v>
      </c>
      <c r="C1863">
        <v>0.0</v>
      </c>
      <c r="D1863">
        <v>0.0</v>
      </c>
      <c r="F1863" t="s">
        <v>2942</v>
      </c>
      <c r="G1863" t="s">
        <v>2962</v>
      </c>
      <c r="H1863" t="s">
        <v>2963</v>
      </c>
      <c r="I1863" t="s">
        <v>289</v>
      </c>
    </row>
    <row r="1864" customHeight="1" ht="14.0">
      <c r="A1864" t="s">
        <v>300</v>
      </c>
      <c r="B1864" s="153" t="s">
        <v>301</v>
      </c>
      <c r="C1864">
        <v>460.0</v>
      </c>
      <c r="D1864">
        <v>854.71</v>
      </c>
      <c r="E1864">
        <v>1.8581</v>
      </c>
      <c r="F1864" t="s">
        <v>2942</v>
      </c>
      <c r="G1864" t="s">
        <v>2962</v>
      </c>
      <c r="H1864" t="s">
        <v>30</v>
      </c>
      <c r="I1864" t="s">
        <v>289</v>
      </c>
    </row>
    <row r="1865" customHeight="1" ht="14.0">
      <c r="A1865" t="s">
        <v>1989</v>
      </c>
      <c r="B1865" s="153" t="s">
        <v>1990</v>
      </c>
      <c r="C1865">
        <v>0.0</v>
      </c>
      <c r="D1865">
        <v>0.0</v>
      </c>
      <c r="F1865" t="s">
        <v>2942</v>
      </c>
      <c r="G1865" t="s">
        <v>2962</v>
      </c>
      <c r="H1865" t="s">
        <v>2963</v>
      </c>
      <c r="I1865" t="s">
        <v>289</v>
      </c>
    </row>
    <row r="1866" customHeight="1" ht="14.0">
      <c r="A1866" t="s">
        <v>1991</v>
      </c>
      <c r="B1866" s="153" t="s">
        <v>1992</v>
      </c>
      <c r="C1866">
        <v>4.0</v>
      </c>
      <c r="D1866">
        <v>6.11</v>
      </c>
      <c r="E1866">
        <v>1.5275</v>
      </c>
      <c r="F1866" t="s">
        <v>2942</v>
      </c>
      <c r="G1866" t="s">
        <v>2962</v>
      </c>
      <c r="H1866" t="s">
        <v>2963</v>
      </c>
      <c r="I1866" t="s">
        <v>289</v>
      </c>
    </row>
    <row r="1867" customHeight="1" ht="14.0">
      <c r="A1867" t="s">
        <v>1993</v>
      </c>
      <c r="B1867" s="153" t="s">
        <v>1994</v>
      </c>
      <c r="C1867">
        <v>0.0</v>
      </c>
      <c r="D1867">
        <v>0.0</v>
      </c>
      <c r="F1867" t="s">
        <v>2942</v>
      </c>
      <c r="G1867" t="s">
        <v>2962</v>
      </c>
      <c r="H1867" t="s">
        <v>2963</v>
      </c>
      <c r="I1867" t="s">
        <v>289</v>
      </c>
    </row>
    <row r="1868" customHeight="1" ht="14.0">
      <c r="A1868" t="s">
        <v>1995</v>
      </c>
      <c r="B1868" s="153" t="s">
        <v>1996</v>
      </c>
      <c r="C1868">
        <v>0.0</v>
      </c>
      <c r="D1868">
        <v>0.0</v>
      </c>
      <c r="F1868" t="s">
        <v>2942</v>
      </c>
      <c r="G1868" t="s">
        <v>2962</v>
      </c>
      <c r="H1868" t="s">
        <v>2944</v>
      </c>
      <c r="I1868" t="s">
        <v>4855</v>
      </c>
    </row>
    <row r="1869" customHeight="1" ht="14.0">
      <c r="A1869" t="s">
        <v>302</v>
      </c>
      <c r="B1869" s="153" t="s">
        <v>303</v>
      </c>
      <c r="C1869">
        <v>1.0</v>
      </c>
      <c r="D1869">
        <v>1.81</v>
      </c>
      <c r="E1869">
        <v>1.81</v>
      </c>
      <c r="F1869" t="s">
        <v>2942</v>
      </c>
      <c r="G1869" t="s">
        <v>2962</v>
      </c>
      <c r="H1869" t="s">
        <v>2963</v>
      </c>
      <c r="I1869" t="s">
        <v>289</v>
      </c>
    </row>
    <row r="1870" customHeight="1" ht="14.0">
      <c r="A1870" t="s">
        <v>336</v>
      </c>
      <c r="B1870" s="153" t="s">
        <v>337</v>
      </c>
      <c r="C1870">
        <v>562.0</v>
      </c>
      <c r="D1870">
        <v>1044.08</v>
      </c>
      <c r="E1870">
        <v>1.8578</v>
      </c>
      <c r="F1870" t="s">
        <v>2942</v>
      </c>
      <c r="G1870" t="s">
        <v>2962</v>
      </c>
      <c r="H1870" t="s">
        <v>30</v>
      </c>
      <c r="I1870" t="s">
        <v>289</v>
      </c>
    </row>
    <row r="1871" customHeight="1" ht="14.0">
      <c r="A1871" t="s">
        <v>1997</v>
      </c>
      <c r="B1871" s="153" t="s">
        <v>1998</v>
      </c>
      <c r="C1871">
        <v>0.0</v>
      </c>
      <c r="D1871">
        <v>0.0</v>
      </c>
      <c r="F1871" t="s">
        <v>2942</v>
      </c>
      <c r="G1871" t="s">
        <v>2962</v>
      </c>
      <c r="H1871" t="s">
        <v>2963</v>
      </c>
      <c r="I1871" t="s">
        <v>289</v>
      </c>
    </row>
    <row r="1872" customHeight="1" ht="14.0">
      <c r="A1872" t="s">
        <v>322</v>
      </c>
      <c r="B1872" s="153" t="s">
        <v>323</v>
      </c>
      <c r="C1872">
        <v>153.0</v>
      </c>
      <c r="D1872">
        <v>274.69</v>
      </c>
      <c r="E1872">
        <v>1.7954</v>
      </c>
      <c r="F1872" t="s">
        <v>2942</v>
      </c>
      <c r="G1872" t="s">
        <v>2962</v>
      </c>
      <c r="H1872" t="s">
        <v>30</v>
      </c>
      <c r="I1872" t="s">
        <v>289</v>
      </c>
    </row>
    <row r="1873" customHeight="1" ht="14.0">
      <c r="A1873" t="s">
        <v>304</v>
      </c>
      <c r="B1873" s="153" t="s">
        <v>305</v>
      </c>
      <c r="C1873">
        <v>395.0</v>
      </c>
      <c r="D1873">
        <v>733.81</v>
      </c>
      <c r="E1873">
        <v>1.8577</v>
      </c>
      <c r="F1873" t="s">
        <v>2942</v>
      </c>
      <c r="G1873" t="s">
        <v>2962</v>
      </c>
      <c r="H1873" t="s">
        <v>30</v>
      </c>
      <c r="I1873" t="s">
        <v>289</v>
      </c>
    </row>
    <row r="1874" customHeight="1" ht="14.0">
      <c r="A1874" t="s">
        <v>298</v>
      </c>
      <c r="B1874" s="153" t="s">
        <v>299</v>
      </c>
      <c r="C1874">
        <v>489.0</v>
      </c>
      <c r="D1874">
        <v>895.54</v>
      </c>
      <c r="E1874">
        <v>1.8314</v>
      </c>
      <c r="F1874" t="s">
        <v>2942</v>
      </c>
      <c r="G1874" t="s">
        <v>2962</v>
      </c>
      <c r="H1874" t="s">
        <v>30</v>
      </c>
      <c r="I1874" t="s">
        <v>289</v>
      </c>
    </row>
    <row r="1875" customHeight="1" ht="14.0">
      <c r="A1875" t="s">
        <v>308</v>
      </c>
      <c r="B1875" s="153" t="s">
        <v>309</v>
      </c>
      <c r="C1875">
        <v>3.0</v>
      </c>
      <c r="D1875">
        <v>5.49</v>
      </c>
      <c r="E1875">
        <v>1.83</v>
      </c>
      <c r="F1875" t="s">
        <v>2942</v>
      </c>
      <c r="G1875" t="s">
        <v>2962</v>
      </c>
      <c r="H1875" t="s">
        <v>2963</v>
      </c>
      <c r="I1875" t="s">
        <v>289</v>
      </c>
    </row>
    <row r="1876" customHeight="1" ht="14.0">
      <c r="A1876" t="s">
        <v>312</v>
      </c>
      <c r="B1876" s="153" t="s">
        <v>313</v>
      </c>
      <c r="C1876">
        <v>40.0</v>
      </c>
      <c r="D1876">
        <v>73.23</v>
      </c>
      <c r="E1876">
        <v>1.8308</v>
      </c>
      <c r="F1876" t="s">
        <v>2942</v>
      </c>
      <c r="G1876" t="s">
        <v>2962</v>
      </c>
      <c r="H1876" t="s">
        <v>30</v>
      </c>
      <c r="I1876" t="s">
        <v>289</v>
      </c>
    </row>
    <row r="1877" customHeight="1" ht="14.0">
      <c r="A1877" t="s">
        <v>306</v>
      </c>
      <c r="B1877" s="153" t="s">
        <v>307</v>
      </c>
      <c r="C1877">
        <v>430.0</v>
      </c>
      <c r="D1877">
        <v>787.26</v>
      </c>
      <c r="E1877">
        <v>1.8308</v>
      </c>
      <c r="F1877" t="s">
        <v>2942</v>
      </c>
      <c r="G1877" t="s">
        <v>2962</v>
      </c>
      <c r="H1877" t="s">
        <v>30</v>
      </c>
      <c r="I1877" t="s">
        <v>289</v>
      </c>
    </row>
    <row r="1878" customHeight="1" ht="14.0">
      <c r="A1878" t="s">
        <v>318</v>
      </c>
      <c r="B1878" s="153" t="s">
        <v>319</v>
      </c>
      <c r="C1878">
        <v>3.0</v>
      </c>
      <c r="D1878">
        <v>5.44</v>
      </c>
      <c r="E1878">
        <v>1.8133</v>
      </c>
      <c r="F1878" t="s">
        <v>2942</v>
      </c>
      <c r="G1878" t="s">
        <v>2962</v>
      </c>
      <c r="H1878" t="s">
        <v>2963</v>
      </c>
      <c r="I1878" t="s">
        <v>289</v>
      </c>
    </row>
    <row r="1879" customHeight="1" ht="14.0">
      <c r="A1879" t="s">
        <v>324</v>
      </c>
      <c r="B1879" s="153" t="s">
        <v>325</v>
      </c>
      <c r="C1879">
        <v>713.0</v>
      </c>
      <c r="D1879">
        <v>1645.07</v>
      </c>
      <c r="E1879">
        <v>2.3073</v>
      </c>
      <c r="F1879" t="s">
        <v>2942</v>
      </c>
      <c r="G1879" t="s">
        <v>2962</v>
      </c>
      <c r="H1879" t="s">
        <v>30</v>
      </c>
      <c r="I1879" t="s">
        <v>289</v>
      </c>
    </row>
    <row r="1880" customHeight="1" ht="14.0">
      <c r="A1880" t="s">
        <v>340</v>
      </c>
      <c r="B1880" s="153" t="s">
        <v>341</v>
      </c>
      <c r="C1880">
        <v>1.0</v>
      </c>
      <c r="D1880">
        <v>309.05</v>
      </c>
      <c r="E1880">
        <v>309.05</v>
      </c>
      <c r="F1880" t="s">
        <v>2942</v>
      </c>
      <c r="G1880" t="s">
        <v>2962</v>
      </c>
      <c r="H1880" t="s">
        <v>30</v>
      </c>
      <c r="I1880" t="s">
        <v>289</v>
      </c>
    </row>
    <row r="1881" customHeight="1" ht="14.0">
      <c r="A1881" t="s">
        <v>342</v>
      </c>
      <c r="B1881" s="153" t="s">
        <v>343</v>
      </c>
      <c r="C1881">
        <v>60.0</v>
      </c>
      <c r="D1881">
        <v>5146.29</v>
      </c>
      <c r="E1881">
        <v>85.7715</v>
      </c>
      <c r="F1881" t="s">
        <v>2942</v>
      </c>
      <c r="G1881" t="s">
        <v>2962</v>
      </c>
      <c r="H1881" t="s">
        <v>30</v>
      </c>
      <c r="I1881" t="s">
        <v>197</v>
      </c>
    </row>
    <row r="1882" customHeight="1" ht="14.0">
      <c r="A1882" t="s">
        <v>4856</v>
      </c>
      <c r="B1882" s="153" t="s">
        <v>4857</v>
      </c>
      <c r="C1882">
        <v>0.0</v>
      </c>
      <c r="D1882">
        <v>0.0</v>
      </c>
      <c r="F1882" t="s">
        <v>2942</v>
      </c>
      <c r="G1882" t="s">
        <v>2943</v>
      </c>
      <c r="H1882" t="s">
        <v>2944</v>
      </c>
      <c r="I1882" t="s">
        <v>3134</v>
      </c>
    </row>
    <row r="1883" customHeight="1" ht="14.0">
      <c r="A1883" t="s">
        <v>4858</v>
      </c>
      <c r="B1883" s="153" t="s">
        <v>4859</v>
      </c>
      <c r="C1883">
        <v>0.0</v>
      </c>
      <c r="D1883">
        <v>0.0</v>
      </c>
      <c r="F1883" t="s">
        <v>2942</v>
      </c>
      <c r="G1883" t="s">
        <v>2943</v>
      </c>
      <c r="H1883" t="s">
        <v>2944</v>
      </c>
      <c r="I1883" t="s">
        <v>3442</v>
      </c>
    </row>
    <row r="1884" customHeight="1" ht="14.0">
      <c r="A1884" t="s">
        <v>4860</v>
      </c>
      <c r="B1884" s="153" t="s">
        <v>4861</v>
      </c>
      <c r="C1884">
        <v>416.0</v>
      </c>
      <c r="D1884">
        <v>1978.88</v>
      </c>
      <c r="E1884">
        <v>4.7569</v>
      </c>
      <c r="F1884" t="s">
        <v>2942</v>
      </c>
      <c r="G1884" t="s">
        <v>2962</v>
      </c>
      <c r="H1884" t="s">
        <v>2984</v>
      </c>
      <c r="I1884" t="s">
        <v>3698</v>
      </c>
    </row>
    <row r="1885" customHeight="1" ht="14.0">
      <c r="A1885" t="s">
        <v>1999</v>
      </c>
      <c r="B1885" s="153" t="s">
        <v>2000</v>
      </c>
      <c r="C1885">
        <v>0.0</v>
      </c>
      <c r="D1885">
        <v>0.0</v>
      </c>
      <c r="F1885" t="s">
        <v>2942</v>
      </c>
      <c r="G1885" t="s">
        <v>2943</v>
      </c>
      <c r="H1885" t="s">
        <v>2944</v>
      </c>
      <c r="I1885" t="s">
        <v>3698</v>
      </c>
    </row>
    <row r="1886" customHeight="1" ht="14.0">
      <c r="A1886" t="s">
        <v>4862</v>
      </c>
      <c r="B1886" s="153" t="s">
        <v>4863</v>
      </c>
      <c r="C1886">
        <v>595.0</v>
      </c>
      <c r="D1886">
        <v>2829.84</v>
      </c>
      <c r="E1886">
        <v>4.756</v>
      </c>
      <c r="F1886" t="s">
        <v>2942</v>
      </c>
      <c r="G1886" t="s">
        <v>2962</v>
      </c>
      <c r="H1886" t="s">
        <v>2984</v>
      </c>
      <c r="I1886" t="s">
        <v>3698</v>
      </c>
    </row>
    <row r="1887" customHeight="1" ht="14.0">
      <c r="A1887" t="s">
        <v>2001</v>
      </c>
      <c r="B1887" s="153" t="s">
        <v>2002</v>
      </c>
      <c r="C1887">
        <v>0.0</v>
      </c>
      <c r="D1887">
        <v>0.0</v>
      </c>
      <c r="F1887" t="s">
        <v>2942</v>
      </c>
      <c r="G1887" t="s">
        <v>2943</v>
      </c>
      <c r="H1887" t="s">
        <v>2944</v>
      </c>
      <c r="I1887" t="s">
        <v>3698</v>
      </c>
    </row>
    <row r="1888" customHeight="1" ht="14.0">
      <c r="A1888" t="s">
        <v>2003</v>
      </c>
      <c r="B1888" s="153" t="s">
        <v>2004</v>
      </c>
      <c r="C1888">
        <v>115.0</v>
      </c>
      <c r="D1888">
        <v>554.69</v>
      </c>
      <c r="E1888">
        <v>4.8234</v>
      </c>
      <c r="F1888" t="s">
        <v>2942</v>
      </c>
      <c r="G1888" t="s">
        <v>2962</v>
      </c>
      <c r="H1888" t="s">
        <v>2963</v>
      </c>
      <c r="I1888" t="s">
        <v>3698</v>
      </c>
    </row>
    <row r="1889" customHeight="1" ht="14.0">
      <c r="A1889" t="s">
        <v>4864</v>
      </c>
      <c r="B1889" s="153" t="s">
        <v>4865</v>
      </c>
      <c r="C1889">
        <v>346.0</v>
      </c>
      <c r="D1889">
        <v>1848.09</v>
      </c>
      <c r="E1889">
        <v>5.3413</v>
      </c>
      <c r="F1889" t="s">
        <v>2942</v>
      </c>
      <c r="G1889" t="s">
        <v>2962</v>
      </c>
      <c r="H1889" t="s">
        <v>2984</v>
      </c>
      <c r="I1889" t="s">
        <v>3698</v>
      </c>
    </row>
    <row r="1890" customHeight="1" ht="14.0">
      <c r="A1890" t="s">
        <v>2005</v>
      </c>
      <c r="B1890" s="153" t="s">
        <v>2006</v>
      </c>
      <c r="C1890">
        <v>0.0</v>
      </c>
      <c r="D1890">
        <v>0.0</v>
      </c>
      <c r="F1890" t="s">
        <v>2942</v>
      </c>
      <c r="G1890" t="s">
        <v>2943</v>
      </c>
      <c r="H1890" t="s">
        <v>2963</v>
      </c>
      <c r="I1890" t="s">
        <v>3698</v>
      </c>
    </row>
    <row r="1891" customHeight="1" ht="14.0">
      <c r="A1891" t="s">
        <v>2007</v>
      </c>
      <c r="B1891" s="153" t="s">
        <v>2008</v>
      </c>
      <c r="C1891">
        <v>0.0</v>
      </c>
      <c r="D1891">
        <v>0.0</v>
      </c>
      <c r="F1891" t="s">
        <v>2942</v>
      </c>
      <c r="G1891" t="s">
        <v>2943</v>
      </c>
      <c r="H1891" t="s">
        <v>2944</v>
      </c>
      <c r="I1891" t="s">
        <v>3698</v>
      </c>
    </row>
    <row r="1892" customHeight="1" ht="14.0">
      <c r="A1892" t="s">
        <v>4866</v>
      </c>
      <c r="B1892" s="153" t="s">
        <v>4867</v>
      </c>
      <c r="C1892">
        <v>253.0</v>
      </c>
      <c r="D1892">
        <v>1351.26</v>
      </c>
      <c r="E1892">
        <v>5.3409</v>
      </c>
      <c r="F1892" t="s">
        <v>2942</v>
      </c>
      <c r="G1892" t="s">
        <v>2962</v>
      </c>
      <c r="H1892" t="s">
        <v>2984</v>
      </c>
      <c r="I1892" t="s">
        <v>3698</v>
      </c>
    </row>
    <row r="1893" customHeight="1" ht="14.0">
      <c r="A1893" t="s">
        <v>4868</v>
      </c>
      <c r="B1893" s="153" t="s">
        <v>4869</v>
      </c>
      <c r="C1893">
        <v>325.0</v>
      </c>
      <c r="D1893">
        <v>1545.85</v>
      </c>
      <c r="E1893">
        <v>4.7565</v>
      </c>
      <c r="F1893" t="s">
        <v>2942</v>
      </c>
      <c r="G1893" t="s">
        <v>2962</v>
      </c>
      <c r="H1893" t="s">
        <v>2984</v>
      </c>
      <c r="I1893" t="s">
        <v>3698</v>
      </c>
    </row>
    <row r="1894" customHeight="1" ht="14.0">
      <c r="A1894" t="s">
        <v>4870</v>
      </c>
      <c r="B1894" s="153" t="s">
        <v>4871</v>
      </c>
      <c r="C1894">
        <v>392.0</v>
      </c>
      <c r="D1894">
        <v>2093.84</v>
      </c>
      <c r="E1894">
        <v>5.3414</v>
      </c>
      <c r="F1894" t="s">
        <v>2942</v>
      </c>
      <c r="G1894" t="s">
        <v>2962</v>
      </c>
      <c r="H1894" t="s">
        <v>2963</v>
      </c>
      <c r="I1894" t="s">
        <v>3698</v>
      </c>
    </row>
    <row r="1895" customHeight="1" ht="14.0">
      <c r="A1895" t="s">
        <v>2009</v>
      </c>
      <c r="B1895" s="153" t="s">
        <v>2010</v>
      </c>
      <c r="C1895">
        <v>55.0</v>
      </c>
      <c r="D1895">
        <v>265.5</v>
      </c>
      <c r="E1895">
        <v>4.8273</v>
      </c>
      <c r="F1895" t="s">
        <v>2942</v>
      </c>
      <c r="G1895" t="s">
        <v>2962</v>
      </c>
      <c r="H1895" t="s">
        <v>2963</v>
      </c>
      <c r="I1895" t="s">
        <v>3698</v>
      </c>
    </row>
    <row r="1896" customHeight="1" ht="14.0">
      <c r="A1896" t="s">
        <v>2011</v>
      </c>
      <c r="B1896" s="153" t="s">
        <v>2012</v>
      </c>
      <c r="C1896">
        <v>0.0</v>
      </c>
      <c r="D1896">
        <v>0.0</v>
      </c>
      <c r="F1896" t="s">
        <v>2942</v>
      </c>
      <c r="G1896" t="s">
        <v>2943</v>
      </c>
      <c r="H1896" t="s">
        <v>2944</v>
      </c>
      <c r="I1896" t="s">
        <v>3698</v>
      </c>
    </row>
    <row r="1897" customHeight="1" ht="14.0">
      <c r="A1897" t="s">
        <v>2013</v>
      </c>
      <c r="B1897" s="153" t="s">
        <v>2014</v>
      </c>
      <c r="C1897">
        <v>0.0</v>
      </c>
      <c r="D1897">
        <v>0.0</v>
      </c>
      <c r="F1897" t="s">
        <v>2942</v>
      </c>
      <c r="G1897" t="s">
        <v>2943</v>
      </c>
      <c r="H1897" t="s">
        <v>2944</v>
      </c>
      <c r="I1897" t="s">
        <v>3698</v>
      </c>
    </row>
    <row r="1898" customHeight="1" ht="14.0">
      <c r="A1898" t="s">
        <v>2015</v>
      </c>
      <c r="B1898" s="153" t="s">
        <v>2016</v>
      </c>
      <c r="C1898">
        <v>0.0</v>
      </c>
      <c r="D1898">
        <v>0.0</v>
      </c>
      <c r="F1898" t="s">
        <v>2942</v>
      </c>
      <c r="G1898" t="s">
        <v>2943</v>
      </c>
      <c r="H1898" t="s">
        <v>2944</v>
      </c>
      <c r="I1898" t="s">
        <v>3698</v>
      </c>
    </row>
    <row r="1899" customHeight="1" ht="14.0">
      <c r="A1899" t="s">
        <v>2017</v>
      </c>
      <c r="B1899" s="153" t="s">
        <v>2018</v>
      </c>
      <c r="C1899">
        <v>0.0</v>
      </c>
      <c r="D1899">
        <v>0.0</v>
      </c>
      <c r="F1899" t="s">
        <v>2942</v>
      </c>
      <c r="G1899" t="s">
        <v>2943</v>
      </c>
      <c r="H1899" t="s">
        <v>2963</v>
      </c>
      <c r="I1899" t="s">
        <v>3698</v>
      </c>
    </row>
    <row r="1900" customHeight="1" ht="14.0">
      <c r="A1900" t="s">
        <v>2019</v>
      </c>
      <c r="B1900" s="153" t="s">
        <v>2020</v>
      </c>
      <c r="C1900">
        <v>0.0</v>
      </c>
      <c r="D1900">
        <v>0.0</v>
      </c>
      <c r="F1900" t="s">
        <v>2942</v>
      </c>
      <c r="G1900" t="s">
        <v>2962</v>
      </c>
      <c r="H1900" t="s">
        <v>2963</v>
      </c>
      <c r="I1900" t="s">
        <v>3698</v>
      </c>
    </row>
    <row r="1901" customHeight="1" ht="14.0">
      <c r="A1901" t="s">
        <v>4872</v>
      </c>
      <c r="B1901" s="153" t="s">
        <v>4873</v>
      </c>
      <c r="C1901">
        <v>0.0</v>
      </c>
      <c r="D1901">
        <v>0.0</v>
      </c>
      <c r="F1901" t="s">
        <v>2942</v>
      </c>
      <c r="G1901" t="s">
        <v>2943</v>
      </c>
      <c r="H1901" t="s">
        <v>2944</v>
      </c>
      <c r="I1901" t="s">
        <v>228</v>
      </c>
    </row>
    <row r="1902" customHeight="1" ht="14.0">
      <c r="A1902" t="s">
        <v>4874</v>
      </c>
      <c r="B1902" s="153" t="s">
        <v>4875</v>
      </c>
      <c r="C1902">
        <v>0.0</v>
      </c>
      <c r="D1902">
        <v>0.0</v>
      </c>
      <c r="F1902" t="s">
        <v>2942</v>
      </c>
      <c r="G1902" t="s">
        <v>2943</v>
      </c>
      <c r="H1902" t="s">
        <v>2944</v>
      </c>
      <c r="I1902" t="s">
        <v>228</v>
      </c>
    </row>
    <row r="1903" customHeight="1" ht="14.0">
      <c r="A1903" t="s">
        <v>4876</v>
      </c>
      <c r="B1903" s="153" t="s">
        <v>4877</v>
      </c>
      <c r="C1903">
        <v>0.0</v>
      </c>
      <c r="D1903">
        <v>0.0</v>
      </c>
      <c r="F1903" t="s">
        <v>2942</v>
      </c>
      <c r="G1903" t="s">
        <v>2943</v>
      </c>
      <c r="H1903" t="s">
        <v>2944</v>
      </c>
      <c r="I1903" t="s">
        <v>228</v>
      </c>
    </row>
    <row r="1904" customHeight="1" ht="14.0">
      <c r="A1904" t="s">
        <v>4878</v>
      </c>
      <c r="B1904" s="153" t="s">
        <v>4879</v>
      </c>
      <c r="C1904">
        <v>0.0</v>
      </c>
      <c r="D1904">
        <v>0.0</v>
      </c>
      <c r="F1904" t="s">
        <v>2942</v>
      </c>
      <c r="G1904" t="s">
        <v>2943</v>
      </c>
      <c r="H1904" t="s">
        <v>2944</v>
      </c>
      <c r="I1904" t="s">
        <v>228</v>
      </c>
    </row>
    <row r="1905" customHeight="1" ht="14.0">
      <c r="A1905" t="s">
        <v>4880</v>
      </c>
      <c r="B1905" s="153" t="s">
        <v>4881</v>
      </c>
      <c r="C1905">
        <v>0.0</v>
      </c>
      <c r="D1905">
        <v>0.0</v>
      </c>
      <c r="F1905" t="s">
        <v>2942</v>
      </c>
      <c r="G1905" t="s">
        <v>2943</v>
      </c>
      <c r="H1905" t="s">
        <v>2944</v>
      </c>
      <c r="I1905" t="s">
        <v>228</v>
      </c>
    </row>
    <row r="1906" customHeight="1" ht="14.0">
      <c r="A1906" t="s">
        <v>4882</v>
      </c>
      <c r="B1906" s="153" t="s">
        <v>4883</v>
      </c>
      <c r="C1906">
        <v>0.0</v>
      </c>
      <c r="D1906">
        <v>0.0</v>
      </c>
      <c r="F1906" t="s">
        <v>2942</v>
      </c>
      <c r="G1906" t="s">
        <v>2943</v>
      </c>
      <c r="H1906" t="s">
        <v>2944</v>
      </c>
      <c r="I1906" t="s">
        <v>3167</v>
      </c>
    </row>
    <row r="1907" customHeight="1" ht="14.0">
      <c r="A1907" t="s">
        <v>4884</v>
      </c>
      <c r="B1907" s="153" t="s">
        <v>4885</v>
      </c>
      <c r="C1907">
        <v>0.0</v>
      </c>
      <c r="D1907">
        <v>0.0</v>
      </c>
      <c r="F1907" t="s">
        <v>2942</v>
      </c>
      <c r="G1907" t="s">
        <v>2943</v>
      </c>
      <c r="H1907" t="s">
        <v>2944</v>
      </c>
      <c r="I1907" t="s">
        <v>3167</v>
      </c>
    </row>
    <row r="1908" customHeight="1" ht="14.0">
      <c r="A1908" t="s">
        <v>4886</v>
      </c>
      <c r="B1908" s="153" t="s">
        <v>4887</v>
      </c>
      <c r="C1908">
        <v>0.0</v>
      </c>
      <c r="D1908">
        <v>0.0</v>
      </c>
      <c r="F1908" t="s">
        <v>2942</v>
      </c>
      <c r="G1908" t="s">
        <v>2943</v>
      </c>
      <c r="H1908" t="s">
        <v>2944</v>
      </c>
      <c r="I1908" t="s">
        <v>3167</v>
      </c>
    </row>
    <row r="1909" customHeight="1" ht="14.0">
      <c r="A1909" t="s">
        <v>4888</v>
      </c>
      <c r="B1909" s="153" t="s">
        <v>4889</v>
      </c>
      <c r="C1909">
        <v>0.0</v>
      </c>
      <c r="D1909">
        <v>0.0</v>
      </c>
      <c r="F1909" t="s">
        <v>2942</v>
      </c>
      <c r="G1909" t="s">
        <v>2943</v>
      </c>
      <c r="H1909" t="s">
        <v>2944</v>
      </c>
      <c r="I1909" t="s">
        <v>3167</v>
      </c>
    </row>
    <row r="1910" customHeight="1" ht="14.0">
      <c r="A1910" t="s">
        <v>4890</v>
      </c>
      <c r="B1910" s="153" t="s">
        <v>4891</v>
      </c>
      <c r="C1910">
        <v>0.0</v>
      </c>
      <c r="D1910">
        <v>0.0</v>
      </c>
      <c r="F1910" t="s">
        <v>2942</v>
      </c>
      <c r="G1910" t="s">
        <v>2943</v>
      </c>
      <c r="H1910" t="s">
        <v>2944</v>
      </c>
      <c r="I1910" t="s">
        <v>3167</v>
      </c>
    </row>
    <row r="1911" customHeight="1" ht="14.0">
      <c r="A1911" t="s">
        <v>4892</v>
      </c>
      <c r="B1911" s="153" t="s">
        <v>4893</v>
      </c>
      <c r="C1911">
        <v>0.0</v>
      </c>
      <c r="D1911">
        <v>0.0</v>
      </c>
      <c r="F1911" t="s">
        <v>2942</v>
      </c>
      <c r="G1911" t="s">
        <v>2943</v>
      </c>
      <c r="H1911" t="s">
        <v>2944</v>
      </c>
      <c r="I1911" t="s">
        <v>3167</v>
      </c>
    </row>
    <row r="1912" customHeight="1" ht="14.0">
      <c r="A1912" t="s">
        <v>4894</v>
      </c>
      <c r="B1912" s="153" t="s">
        <v>4895</v>
      </c>
      <c r="C1912">
        <v>0.0</v>
      </c>
      <c r="D1912">
        <v>0.0</v>
      </c>
      <c r="F1912" t="s">
        <v>2942</v>
      </c>
      <c r="G1912" t="s">
        <v>2943</v>
      </c>
      <c r="H1912" t="s">
        <v>2944</v>
      </c>
      <c r="I1912" t="s">
        <v>3167</v>
      </c>
    </row>
    <row r="1913" customHeight="1" ht="14.0">
      <c r="A1913" t="s">
        <v>4896</v>
      </c>
      <c r="B1913" s="153" t="s">
        <v>4897</v>
      </c>
      <c r="C1913">
        <v>0.0</v>
      </c>
      <c r="D1913">
        <v>0.0</v>
      </c>
      <c r="F1913" t="s">
        <v>2942</v>
      </c>
      <c r="G1913" t="s">
        <v>2943</v>
      </c>
      <c r="H1913" t="s">
        <v>2944</v>
      </c>
      <c r="I1913" t="s">
        <v>3167</v>
      </c>
    </row>
    <row r="1914" customHeight="1" ht="14.0">
      <c r="A1914" t="s">
        <v>4898</v>
      </c>
      <c r="B1914" s="153" t="s">
        <v>4899</v>
      </c>
      <c r="C1914">
        <v>0.0</v>
      </c>
      <c r="D1914">
        <v>0.0</v>
      </c>
      <c r="F1914" t="s">
        <v>2942</v>
      </c>
      <c r="G1914" t="s">
        <v>2943</v>
      </c>
      <c r="H1914" t="s">
        <v>2944</v>
      </c>
      <c r="I1914" t="s">
        <v>3167</v>
      </c>
    </row>
    <row r="1915" customHeight="1" ht="14.0">
      <c r="A1915" t="s">
        <v>4900</v>
      </c>
      <c r="B1915" s="153" t="s">
        <v>4901</v>
      </c>
      <c r="C1915">
        <v>0.0</v>
      </c>
      <c r="D1915">
        <v>0.0</v>
      </c>
      <c r="F1915" t="s">
        <v>2942</v>
      </c>
      <c r="G1915" t="s">
        <v>2943</v>
      </c>
      <c r="H1915" t="s">
        <v>2944</v>
      </c>
      <c r="I1915" t="s">
        <v>3167</v>
      </c>
    </row>
    <row r="1916" customHeight="1" ht="14.0">
      <c r="A1916" t="s">
        <v>4902</v>
      </c>
      <c r="B1916" s="153" t="s">
        <v>4903</v>
      </c>
      <c r="C1916">
        <v>0.0</v>
      </c>
      <c r="D1916">
        <v>0.0</v>
      </c>
      <c r="F1916" t="s">
        <v>2942</v>
      </c>
      <c r="G1916" t="s">
        <v>2943</v>
      </c>
      <c r="H1916" t="s">
        <v>2944</v>
      </c>
      <c r="I1916" t="s">
        <v>3167</v>
      </c>
    </row>
    <row r="1917" customHeight="1" ht="14.0">
      <c r="A1917" t="s">
        <v>4904</v>
      </c>
      <c r="B1917" s="153" t="s">
        <v>4905</v>
      </c>
      <c r="C1917">
        <v>0.0</v>
      </c>
      <c r="D1917">
        <v>0.0</v>
      </c>
      <c r="F1917" t="s">
        <v>2942</v>
      </c>
      <c r="G1917" t="s">
        <v>2943</v>
      </c>
      <c r="H1917" t="s">
        <v>2944</v>
      </c>
      <c r="I1917" t="s">
        <v>3167</v>
      </c>
    </row>
    <row r="1918" customHeight="1" ht="14.0">
      <c r="A1918" t="s">
        <v>4906</v>
      </c>
      <c r="B1918" s="153" t="s">
        <v>4907</v>
      </c>
      <c r="C1918">
        <v>0.0</v>
      </c>
      <c r="D1918">
        <v>0.0</v>
      </c>
      <c r="F1918" t="s">
        <v>2942</v>
      </c>
      <c r="G1918" t="s">
        <v>2943</v>
      </c>
      <c r="H1918" t="s">
        <v>2944</v>
      </c>
      <c r="I1918" t="s">
        <v>3167</v>
      </c>
    </row>
    <row r="1919" customHeight="1" ht="14.0">
      <c r="A1919" t="s">
        <v>4908</v>
      </c>
      <c r="B1919" s="153" t="s">
        <v>4909</v>
      </c>
      <c r="C1919">
        <v>0.0</v>
      </c>
      <c r="D1919">
        <v>0.0</v>
      </c>
      <c r="F1919" t="s">
        <v>2942</v>
      </c>
      <c r="G1919" t="s">
        <v>2943</v>
      </c>
      <c r="H1919" t="s">
        <v>2944</v>
      </c>
      <c r="I1919" t="s">
        <v>3167</v>
      </c>
    </row>
    <row r="1920" customHeight="1" ht="14.0">
      <c r="A1920" t="s">
        <v>4910</v>
      </c>
      <c r="B1920" s="153" t="s">
        <v>4911</v>
      </c>
      <c r="C1920">
        <v>0.0</v>
      </c>
      <c r="D1920">
        <v>0.0</v>
      </c>
      <c r="F1920" t="s">
        <v>2942</v>
      </c>
      <c r="G1920" t="s">
        <v>2943</v>
      </c>
      <c r="H1920" t="s">
        <v>2944</v>
      </c>
      <c r="I1920" t="s">
        <v>3167</v>
      </c>
    </row>
    <row r="1921" customHeight="1" ht="14.0">
      <c r="A1921" t="s">
        <v>4912</v>
      </c>
      <c r="B1921" s="153" t="s">
        <v>4913</v>
      </c>
      <c r="C1921">
        <v>0.0</v>
      </c>
      <c r="D1921">
        <v>0.0</v>
      </c>
      <c r="F1921" t="s">
        <v>2942</v>
      </c>
      <c r="G1921" t="s">
        <v>2943</v>
      </c>
      <c r="H1921" t="s">
        <v>2944</v>
      </c>
      <c r="I1921" t="s">
        <v>3167</v>
      </c>
    </row>
    <row r="1922" customHeight="1" ht="14.0">
      <c r="A1922" t="s">
        <v>4914</v>
      </c>
      <c r="B1922" s="153" t="s">
        <v>4915</v>
      </c>
      <c r="C1922">
        <v>0.0</v>
      </c>
      <c r="D1922">
        <v>0.0</v>
      </c>
      <c r="F1922" t="s">
        <v>2942</v>
      </c>
      <c r="G1922" t="s">
        <v>2943</v>
      </c>
      <c r="H1922" t="s">
        <v>2944</v>
      </c>
      <c r="I1922" t="s">
        <v>3167</v>
      </c>
    </row>
    <row r="1923" customHeight="1" ht="14.0">
      <c r="A1923" t="s">
        <v>4916</v>
      </c>
      <c r="B1923" s="153" t="s">
        <v>4917</v>
      </c>
      <c r="C1923">
        <v>0.0</v>
      </c>
      <c r="D1923">
        <v>0.0</v>
      </c>
      <c r="F1923" t="s">
        <v>2942</v>
      </c>
      <c r="G1923" t="s">
        <v>2943</v>
      </c>
      <c r="H1923" t="s">
        <v>2944</v>
      </c>
      <c r="I1923" t="s">
        <v>3167</v>
      </c>
    </row>
    <row r="1924" customHeight="1" ht="14.0">
      <c r="A1924" t="s">
        <v>4918</v>
      </c>
      <c r="B1924" s="153" t="s">
        <v>4919</v>
      </c>
      <c r="C1924">
        <v>0.0</v>
      </c>
      <c r="D1924">
        <v>0.0</v>
      </c>
      <c r="F1924" t="s">
        <v>2942</v>
      </c>
      <c r="G1924" t="s">
        <v>2943</v>
      </c>
      <c r="H1924" t="s">
        <v>2944</v>
      </c>
      <c r="I1924" t="s">
        <v>3167</v>
      </c>
    </row>
    <row r="1925" customHeight="1" ht="14.0">
      <c r="A1925" t="s">
        <v>4920</v>
      </c>
      <c r="B1925" s="153" t="s">
        <v>4921</v>
      </c>
      <c r="C1925">
        <v>0.0</v>
      </c>
      <c r="D1925">
        <v>0.0</v>
      </c>
      <c r="F1925" t="s">
        <v>2942</v>
      </c>
      <c r="G1925" t="s">
        <v>2943</v>
      </c>
      <c r="H1925" t="s">
        <v>2944</v>
      </c>
      <c r="I1925" t="s">
        <v>3167</v>
      </c>
    </row>
    <row r="1926" customHeight="1" ht="14.0">
      <c r="A1926" t="s">
        <v>4922</v>
      </c>
      <c r="B1926" s="153" t="s">
        <v>4923</v>
      </c>
      <c r="C1926">
        <v>0.0</v>
      </c>
      <c r="D1926">
        <v>0.0</v>
      </c>
      <c r="F1926" t="s">
        <v>2942</v>
      </c>
      <c r="G1926" t="s">
        <v>2943</v>
      </c>
      <c r="H1926" t="s">
        <v>2944</v>
      </c>
      <c r="I1926" t="s">
        <v>3167</v>
      </c>
    </row>
    <row r="1927" customHeight="1" ht="14.0">
      <c r="A1927" t="s">
        <v>4924</v>
      </c>
      <c r="B1927" s="153" t="s">
        <v>4925</v>
      </c>
      <c r="C1927">
        <v>0.0</v>
      </c>
      <c r="D1927">
        <v>0.0</v>
      </c>
      <c r="F1927" t="s">
        <v>2942</v>
      </c>
      <c r="G1927" t="s">
        <v>2943</v>
      </c>
      <c r="H1927" t="s">
        <v>2944</v>
      </c>
      <c r="I1927" t="s">
        <v>3167</v>
      </c>
    </row>
    <row r="1928" customHeight="1" ht="14.0">
      <c r="A1928" t="s">
        <v>4926</v>
      </c>
      <c r="B1928" s="153" t="s">
        <v>4927</v>
      </c>
      <c r="C1928">
        <v>0.0</v>
      </c>
      <c r="D1928">
        <v>0.0</v>
      </c>
      <c r="F1928" t="s">
        <v>2942</v>
      </c>
      <c r="G1928" t="s">
        <v>2943</v>
      </c>
      <c r="H1928" t="s">
        <v>2944</v>
      </c>
      <c r="I1928" t="s">
        <v>3167</v>
      </c>
    </row>
    <row r="1929" customHeight="1" ht="14.0">
      <c r="A1929" t="s">
        <v>4928</v>
      </c>
      <c r="B1929" s="153" t="s">
        <v>4929</v>
      </c>
      <c r="C1929">
        <v>0.0</v>
      </c>
      <c r="D1929">
        <v>0.0</v>
      </c>
      <c r="F1929" t="s">
        <v>2942</v>
      </c>
      <c r="G1929" t="s">
        <v>2943</v>
      </c>
      <c r="H1929" t="s">
        <v>2944</v>
      </c>
      <c r="I1929" t="s">
        <v>3167</v>
      </c>
    </row>
    <row r="1930" customHeight="1" ht="14.0">
      <c r="A1930" t="s">
        <v>4930</v>
      </c>
      <c r="B1930" s="153" t="s">
        <v>4931</v>
      </c>
      <c r="C1930">
        <v>0.0</v>
      </c>
      <c r="D1930">
        <v>0.0</v>
      </c>
      <c r="F1930" t="s">
        <v>2942</v>
      </c>
      <c r="G1930" t="s">
        <v>2943</v>
      </c>
      <c r="H1930" t="s">
        <v>2944</v>
      </c>
      <c r="I1930" t="s">
        <v>3167</v>
      </c>
    </row>
    <row r="1931" customHeight="1" ht="14.0">
      <c r="A1931" t="s">
        <v>4932</v>
      </c>
      <c r="B1931" s="153" t="s">
        <v>4933</v>
      </c>
      <c r="C1931">
        <v>0.0</v>
      </c>
      <c r="D1931">
        <v>0.0</v>
      </c>
      <c r="F1931" t="s">
        <v>2942</v>
      </c>
      <c r="G1931" t="s">
        <v>2943</v>
      </c>
      <c r="H1931" t="s">
        <v>2944</v>
      </c>
      <c r="I1931" t="s">
        <v>3167</v>
      </c>
    </row>
    <row r="1932" customHeight="1" ht="14.0">
      <c r="A1932" t="s">
        <v>4934</v>
      </c>
      <c r="B1932" s="153" t="s">
        <v>4935</v>
      </c>
      <c r="C1932">
        <v>20990.0</v>
      </c>
      <c r="D1932">
        <v>1890.03</v>
      </c>
      <c r="E1932">
        <v>0.09</v>
      </c>
      <c r="F1932" t="s">
        <v>3197</v>
      </c>
      <c r="G1932" t="s">
        <v>2962</v>
      </c>
      <c r="H1932" t="s">
        <v>3455</v>
      </c>
    </row>
    <row r="1933" customHeight="1" ht="14.0">
      <c r="A1933" t="s">
        <v>4936</v>
      </c>
      <c r="B1933" s="153" t="s">
        <v>4937</v>
      </c>
      <c r="C1933">
        <v>0.0</v>
      </c>
      <c r="D1933">
        <v>0.0</v>
      </c>
      <c r="F1933" t="s">
        <v>2942</v>
      </c>
      <c r="G1933" t="s">
        <v>2962</v>
      </c>
      <c r="H1933" t="s">
        <v>3161</v>
      </c>
      <c r="I1933" t="s">
        <v>4938</v>
      </c>
    </row>
    <row r="1934" customHeight="1" ht="14.0">
      <c r="A1934" t="s">
        <v>4939</v>
      </c>
      <c r="B1934" s="153" t="s">
        <v>4940</v>
      </c>
      <c r="C1934">
        <v>9.0</v>
      </c>
      <c r="D1934">
        <v>121.41</v>
      </c>
      <c r="E1934">
        <v>13.49</v>
      </c>
      <c r="F1934" t="s">
        <v>2942</v>
      </c>
      <c r="G1934" t="s">
        <v>2962</v>
      </c>
      <c r="I1934" t="s">
        <v>197</v>
      </c>
    </row>
    <row r="1935" customHeight="1" ht="14.0">
      <c r="A1935" t="s">
        <v>4941</v>
      </c>
      <c r="B1935" s="153" t="s">
        <v>4942</v>
      </c>
      <c r="C1935">
        <v>0.0</v>
      </c>
      <c r="D1935">
        <v>0.0</v>
      </c>
      <c r="F1935" t="s">
        <v>2942</v>
      </c>
      <c r="G1935" t="s">
        <v>2943</v>
      </c>
      <c r="H1935" t="s">
        <v>2944</v>
      </c>
      <c r="I1935" t="s">
        <v>3167</v>
      </c>
    </row>
    <row r="1936" customHeight="1" ht="14.0">
      <c r="A1936" t="s">
        <v>4943</v>
      </c>
      <c r="B1936" s="153" t="s">
        <v>4944</v>
      </c>
      <c r="C1936">
        <v>0.0</v>
      </c>
      <c r="D1936">
        <v>0.0</v>
      </c>
      <c r="F1936" t="s">
        <v>2942</v>
      </c>
      <c r="G1936" t="s">
        <v>2943</v>
      </c>
      <c r="H1936" t="s">
        <v>2944</v>
      </c>
      <c r="I1936" t="s">
        <v>3167</v>
      </c>
    </row>
    <row r="1937" customHeight="1" ht="14.0">
      <c r="A1937" t="s">
        <v>4945</v>
      </c>
      <c r="B1937" s="153" t="s">
        <v>4946</v>
      </c>
      <c r="C1937">
        <v>0.0</v>
      </c>
      <c r="D1937">
        <v>0.0</v>
      </c>
      <c r="F1937" t="s">
        <v>2942</v>
      </c>
      <c r="G1937" t="s">
        <v>2943</v>
      </c>
      <c r="H1937" t="s">
        <v>2944</v>
      </c>
      <c r="I1937" t="s">
        <v>3167</v>
      </c>
    </row>
    <row r="1938" customHeight="1" ht="14.0">
      <c r="A1938" t="s">
        <v>4947</v>
      </c>
      <c r="B1938" s="153" t="s">
        <v>4948</v>
      </c>
      <c r="C1938">
        <v>0.0</v>
      </c>
      <c r="D1938">
        <v>0.0</v>
      </c>
      <c r="F1938" t="s">
        <v>2942</v>
      </c>
      <c r="G1938" t="s">
        <v>2943</v>
      </c>
      <c r="H1938" t="s">
        <v>2944</v>
      </c>
      <c r="I1938" t="s">
        <v>3167</v>
      </c>
    </row>
    <row r="1939" customHeight="1" ht="14.0">
      <c r="A1939" t="s">
        <v>4949</v>
      </c>
      <c r="B1939" s="153" t="s">
        <v>4950</v>
      </c>
      <c r="C1939">
        <v>0.0</v>
      </c>
      <c r="D1939">
        <v>0.0</v>
      </c>
      <c r="F1939" t="s">
        <v>2942</v>
      </c>
      <c r="G1939" t="s">
        <v>2943</v>
      </c>
      <c r="H1939" t="s">
        <v>2944</v>
      </c>
      <c r="I1939" t="s">
        <v>3167</v>
      </c>
    </row>
    <row r="1940" customHeight="1" ht="14.0">
      <c r="A1940" t="s">
        <v>4951</v>
      </c>
      <c r="B1940" s="153" t="s">
        <v>4952</v>
      </c>
      <c r="C1940">
        <v>0.0</v>
      </c>
      <c r="D1940">
        <v>0.0</v>
      </c>
      <c r="F1940" t="s">
        <v>2942</v>
      </c>
      <c r="G1940" t="s">
        <v>2943</v>
      </c>
      <c r="H1940" t="s">
        <v>2944</v>
      </c>
      <c r="I1940" t="s">
        <v>228</v>
      </c>
    </row>
    <row r="1941" customHeight="1" ht="14.0">
      <c r="A1941" t="s">
        <v>4953</v>
      </c>
      <c r="B1941" s="153" t="s">
        <v>4954</v>
      </c>
      <c r="C1941">
        <v>0.0</v>
      </c>
      <c r="D1941">
        <v>0.0</v>
      </c>
      <c r="F1941" t="s">
        <v>2942</v>
      </c>
      <c r="G1941" t="s">
        <v>2943</v>
      </c>
      <c r="H1941" t="s">
        <v>2944</v>
      </c>
      <c r="I1941" t="s">
        <v>401</v>
      </c>
    </row>
    <row r="1942" customHeight="1" ht="14.0">
      <c r="A1942" t="s">
        <v>4955</v>
      </c>
      <c r="B1942" s="153" t="s">
        <v>4956</v>
      </c>
      <c r="C1942">
        <v>0.0</v>
      </c>
      <c r="D1942">
        <v>0.0</v>
      </c>
      <c r="F1942" t="s">
        <v>2942</v>
      </c>
      <c r="G1942" t="s">
        <v>2943</v>
      </c>
      <c r="H1942" t="s">
        <v>2944</v>
      </c>
      <c r="I1942" t="s">
        <v>3179</v>
      </c>
    </row>
    <row r="1943" customHeight="1" ht="14.0">
      <c r="A1943" t="s">
        <v>374</v>
      </c>
      <c r="B1943" s="153" t="s">
        <v>375</v>
      </c>
      <c r="C1943">
        <v>0.0</v>
      </c>
      <c r="D1943">
        <v>0.0</v>
      </c>
      <c r="F1943" t="s">
        <v>2942</v>
      </c>
      <c r="G1943" t="s">
        <v>2962</v>
      </c>
      <c r="H1943" t="s">
        <v>30</v>
      </c>
      <c r="I1943" t="s">
        <v>197</v>
      </c>
    </row>
    <row r="1944" customHeight="1" ht="14.0">
      <c r="A1944" t="s">
        <v>4957</v>
      </c>
      <c r="B1944" s="153" t="s">
        <v>4958</v>
      </c>
      <c r="C1944">
        <v>344.0</v>
      </c>
      <c r="D1944">
        <v>861.74</v>
      </c>
      <c r="E1944">
        <v>2.5051</v>
      </c>
      <c r="F1944" t="s">
        <v>2942</v>
      </c>
      <c r="G1944" t="s">
        <v>2962</v>
      </c>
      <c r="H1944" t="s">
        <v>2984</v>
      </c>
      <c r="I1944" t="s">
        <v>369</v>
      </c>
    </row>
    <row r="1945" customHeight="1" ht="14.0">
      <c r="A1945" t="s">
        <v>395</v>
      </c>
      <c r="B1945" s="153" t="s">
        <v>396</v>
      </c>
      <c r="C1945">
        <v>681.0</v>
      </c>
      <c r="D1945">
        <v>1215.15</v>
      </c>
      <c r="E1945">
        <v>1.7844</v>
      </c>
      <c r="F1945" t="s">
        <v>2942</v>
      </c>
      <c r="G1945" t="s">
        <v>2962</v>
      </c>
      <c r="H1945" t="s">
        <v>30</v>
      </c>
      <c r="I1945" t="s">
        <v>369</v>
      </c>
    </row>
    <row r="1946" customHeight="1" ht="14.0">
      <c r="A1946" t="s">
        <v>397</v>
      </c>
      <c r="B1946" s="153" t="s">
        <v>398</v>
      </c>
      <c r="C1946">
        <v>796.0</v>
      </c>
      <c r="D1946">
        <v>1420.31</v>
      </c>
      <c r="E1946">
        <v>1.7843</v>
      </c>
      <c r="F1946" t="s">
        <v>2942</v>
      </c>
      <c r="G1946" t="s">
        <v>2962</v>
      </c>
      <c r="H1946" t="s">
        <v>30</v>
      </c>
      <c r="I1946" t="s">
        <v>369</v>
      </c>
    </row>
    <row r="1947" customHeight="1" ht="14.0">
      <c r="A1947" t="s">
        <v>385</v>
      </c>
      <c r="B1947" s="153" t="s">
        <v>386</v>
      </c>
      <c r="C1947">
        <v>315.0</v>
      </c>
      <c r="D1947">
        <v>561.89</v>
      </c>
      <c r="E1947">
        <v>1.7838</v>
      </c>
      <c r="F1947" t="s">
        <v>2942</v>
      </c>
      <c r="G1947" t="s">
        <v>2962</v>
      </c>
      <c r="H1947" t="s">
        <v>30</v>
      </c>
      <c r="I1947" t="s">
        <v>369</v>
      </c>
    </row>
    <row r="1948" customHeight="1" ht="14.0">
      <c r="A1948" t="s">
        <v>4959</v>
      </c>
      <c r="B1948" s="153" t="s">
        <v>4960</v>
      </c>
      <c r="C1948">
        <v>585.0</v>
      </c>
      <c r="D1948">
        <v>1463.49</v>
      </c>
      <c r="E1948">
        <v>2.5017</v>
      </c>
      <c r="F1948" t="s">
        <v>2942</v>
      </c>
      <c r="G1948" t="s">
        <v>2962</v>
      </c>
      <c r="H1948" t="s">
        <v>2984</v>
      </c>
      <c r="I1948" t="s">
        <v>369</v>
      </c>
    </row>
    <row r="1949" customHeight="1" ht="14.0">
      <c r="A1949" t="s">
        <v>377</v>
      </c>
      <c r="B1949" s="153" t="s">
        <v>378</v>
      </c>
      <c r="C1949">
        <v>363.0</v>
      </c>
      <c r="D1949">
        <v>733.73</v>
      </c>
      <c r="E1949">
        <v>2.0213</v>
      </c>
      <c r="F1949" t="s">
        <v>2942</v>
      </c>
      <c r="G1949" t="s">
        <v>2962</v>
      </c>
      <c r="H1949" t="s">
        <v>30</v>
      </c>
      <c r="I1949" t="s">
        <v>369</v>
      </c>
    </row>
    <row r="1950" customHeight="1" ht="14.0">
      <c r="A1950" t="s">
        <v>379</v>
      </c>
      <c r="B1950" s="153" t="s">
        <v>380</v>
      </c>
      <c r="C1950">
        <v>841.0</v>
      </c>
      <c r="D1950">
        <v>1701.31</v>
      </c>
      <c r="E1950">
        <v>2.023</v>
      </c>
      <c r="F1950" t="s">
        <v>2942</v>
      </c>
      <c r="G1950" t="s">
        <v>2962</v>
      </c>
      <c r="H1950" t="s">
        <v>2963</v>
      </c>
      <c r="I1950" t="s">
        <v>369</v>
      </c>
    </row>
    <row r="1951" customHeight="1" ht="14.0">
      <c r="A1951" t="s">
        <v>389</v>
      </c>
      <c r="B1951" s="153" t="s">
        <v>390</v>
      </c>
      <c r="C1951">
        <v>370.0</v>
      </c>
      <c r="D1951">
        <v>660.06</v>
      </c>
      <c r="E1951">
        <v>1.7839</v>
      </c>
      <c r="F1951" t="s">
        <v>2942</v>
      </c>
      <c r="G1951" t="s">
        <v>2962</v>
      </c>
      <c r="H1951" t="s">
        <v>2963</v>
      </c>
      <c r="I1951" t="s">
        <v>369</v>
      </c>
    </row>
    <row r="1952" customHeight="1" ht="14.0">
      <c r="A1952" t="s">
        <v>383</v>
      </c>
      <c r="B1952" s="153" t="s">
        <v>384</v>
      </c>
      <c r="C1952">
        <v>297.0</v>
      </c>
      <c r="D1952">
        <v>689.9</v>
      </c>
      <c r="E1952">
        <v>2.3229</v>
      </c>
      <c r="F1952" t="s">
        <v>2942</v>
      </c>
      <c r="G1952" t="s">
        <v>2962</v>
      </c>
      <c r="H1952" t="s">
        <v>30</v>
      </c>
      <c r="I1952" t="s">
        <v>369</v>
      </c>
    </row>
    <row r="1953" customHeight="1" ht="14.0">
      <c r="A1953" t="s">
        <v>391</v>
      </c>
      <c r="B1953" s="153" t="s">
        <v>392</v>
      </c>
      <c r="C1953">
        <v>408.0</v>
      </c>
      <c r="D1953">
        <v>948.21</v>
      </c>
      <c r="E1953">
        <v>2.324</v>
      </c>
      <c r="F1953" t="s">
        <v>2942</v>
      </c>
      <c r="G1953" t="s">
        <v>2962</v>
      </c>
      <c r="H1953" t="s">
        <v>2963</v>
      </c>
      <c r="I1953" t="s">
        <v>369</v>
      </c>
    </row>
    <row r="1954" customHeight="1" ht="14.0">
      <c r="A1954" t="s">
        <v>393</v>
      </c>
      <c r="B1954" s="153" t="s">
        <v>394</v>
      </c>
      <c r="C1954">
        <v>377.0</v>
      </c>
      <c r="D1954">
        <v>876.16</v>
      </c>
      <c r="E1954">
        <v>2.324</v>
      </c>
      <c r="F1954" t="s">
        <v>2942</v>
      </c>
      <c r="G1954" t="s">
        <v>2962</v>
      </c>
      <c r="H1954" t="s">
        <v>30</v>
      </c>
      <c r="I1954" t="s">
        <v>369</v>
      </c>
    </row>
    <row r="1955" customHeight="1" ht="14.0">
      <c r="A1955" t="s">
        <v>381</v>
      </c>
      <c r="B1955" s="153" t="s">
        <v>382</v>
      </c>
      <c r="C1955">
        <v>579.0</v>
      </c>
      <c r="D1955">
        <v>1170.77</v>
      </c>
      <c r="E1955">
        <v>2.0221</v>
      </c>
      <c r="F1955" t="s">
        <v>2942</v>
      </c>
      <c r="G1955" t="s">
        <v>2962</v>
      </c>
      <c r="H1955" t="s">
        <v>2963</v>
      </c>
      <c r="I1955" t="s">
        <v>369</v>
      </c>
    </row>
    <row r="1956" customHeight="1" ht="14.0">
      <c r="A1956" t="s">
        <v>2021</v>
      </c>
      <c r="B1956" s="153" t="s">
        <v>2022</v>
      </c>
      <c r="C1956">
        <v>0.0</v>
      </c>
      <c r="D1956">
        <v>0.0</v>
      </c>
      <c r="F1956" t="s">
        <v>2942</v>
      </c>
      <c r="G1956" t="s">
        <v>2943</v>
      </c>
      <c r="H1956" t="s">
        <v>2944</v>
      </c>
      <c r="I1956" t="s">
        <v>369</v>
      </c>
    </row>
    <row r="1957" customHeight="1" ht="14.0">
      <c r="A1957" t="s">
        <v>387</v>
      </c>
      <c r="B1957" s="153" t="s">
        <v>388</v>
      </c>
      <c r="C1957">
        <v>564.0</v>
      </c>
      <c r="D1957">
        <v>1140.32</v>
      </c>
      <c r="E1957">
        <v>2.0218</v>
      </c>
      <c r="F1957" t="s">
        <v>2942</v>
      </c>
      <c r="G1957" t="s">
        <v>2962</v>
      </c>
      <c r="H1957" t="s">
        <v>30</v>
      </c>
      <c r="I1957" t="s">
        <v>369</v>
      </c>
    </row>
    <row r="1958" customHeight="1" ht="14.0">
      <c r="A1958" t="s">
        <v>4961</v>
      </c>
      <c r="B1958" s="153" t="s">
        <v>4962</v>
      </c>
      <c r="C1958">
        <v>0.0</v>
      </c>
      <c r="D1958">
        <v>0.0</v>
      </c>
      <c r="F1958" t="s">
        <v>2942</v>
      </c>
      <c r="G1958" t="s">
        <v>2943</v>
      </c>
      <c r="H1958" t="s">
        <v>2944</v>
      </c>
      <c r="I1958" t="s">
        <v>369</v>
      </c>
    </row>
    <row r="1959" customHeight="1" ht="14.0">
      <c r="A1959" t="s">
        <v>2023</v>
      </c>
      <c r="B1959" s="153" t="s">
        <v>2024</v>
      </c>
      <c r="C1959">
        <v>0.0</v>
      </c>
      <c r="D1959">
        <v>0.0</v>
      </c>
      <c r="F1959" t="s">
        <v>2942</v>
      </c>
      <c r="G1959" t="s">
        <v>2943</v>
      </c>
      <c r="H1959" t="s">
        <v>2944</v>
      </c>
      <c r="I1959" t="s">
        <v>369</v>
      </c>
    </row>
    <row r="1960" customHeight="1" ht="14.0">
      <c r="A1960" t="s">
        <v>399</v>
      </c>
      <c r="B1960" s="153" t="s">
        <v>400</v>
      </c>
      <c r="C1960">
        <v>0.0</v>
      </c>
      <c r="D1960">
        <v>0.0</v>
      </c>
      <c r="F1960" t="s">
        <v>2942</v>
      </c>
      <c r="G1960" t="s">
        <v>2962</v>
      </c>
      <c r="H1960" t="s">
        <v>30</v>
      </c>
      <c r="I1960" t="s">
        <v>369</v>
      </c>
    </row>
    <row r="1961" customHeight="1" ht="14.0">
      <c r="A1961" t="s">
        <v>4963</v>
      </c>
      <c r="B1961" s="153" t="s">
        <v>4964</v>
      </c>
      <c r="C1961">
        <v>4.0</v>
      </c>
      <c r="D1961">
        <v>46.16</v>
      </c>
      <c r="E1961">
        <v>11.54</v>
      </c>
      <c r="F1961" t="s">
        <v>2942</v>
      </c>
      <c r="G1961" t="s">
        <v>2962</v>
      </c>
      <c r="I1961" t="s">
        <v>197</v>
      </c>
    </row>
    <row r="1962" customHeight="1" ht="14.0">
      <c r="A1962" t="s">
        <v>2027</v>
      </c>
      <c r="B1962" s="153" t="s">
        <v>2028</v>
      </c>
      <c r="C1962">
        <v>0.0</v>
      </c>
      <c r="D1962">
        <v>0.0</v>
      </c>
      <c r="F1962" t="s">
        <v>2942</v>
      </c>
      <c r="G1962" t="s">
        <v>2943</v>
      </c>
      <c r="H1962" t="s">
        <v>2963</v>
      </c>
      <c r="I1962" t="s">
        <v>83</v>
      </c>
    </row>
    <row r="1963" customHeight="1" ht="14.0">
      <c r="A1963" t="s">
        <v>2029</v>
      </c>
      <c r="B1963" s="153" t="s">
        <v>2030</v>
      </c>
      <c r="C1963">
        <v>0.0</v>
      </c>
      <c r="D1963">
        <v>0.0</v>
      </c>
      <c r="F1963" t="s">
        <v>2942</v>
      </c>
      <c r="G1963" t="s">
        <v>2943</v>
      </c>
      <c r="H1963" t="s">
        <v>2963</v>
      </c>
      <c r="I1963" t="s">
        <v>83</v>
      </c>
    </row>
    <row r="1964" customHeight="1" ht="14.0">
      <c r="A1964" t="s">
        <v>2031</v>
      </c>
      <c r="B1964" s="153" t="s">
        <v>2032</v>
      </c>
      <c r="C1964">
        <v>0.0</v>
      </c>
      <c r="D1964">
        <v>0.0</v>
      </c>
      <c r="F1964" t="s">
        <v>2942</v>
      </c>
      <c r="G1964" t="s">
        <v>2943</v>
      </c>
      <c r="H1964" t="s">
        <v>2963</v>
      </c>
      <c r="I1964" t="s">
        <v>83</v>
      </c>
    </row>
    <row r="1965" customHeight="1" ht="14.0">
      <c r="A1965" t="s">
        <v>2033</v>
      </c>
      <c r="B1965" s="153" t="s">
        <v>2034</v>
      </c>
      <c r="C1965">
        <v>0.0</v>
      </c>
      <c r="D1965">
        <v>0.0</v>
      </c>
      <c r="F1965" t="s">
        <v>2942</v>
      </c>
      <c r="G1965" t="s">
        <v>2943</v>
      </c>
      <c r="H1965" t="s">
        <v>2963</v>
      </c>
      <c r="I1965" t="s">
        <v>83</v>
      </c>
    </row>
    <row r="1966" customHeight="1" ht="14.0">
      <c r="A1966" t="s">
        <v>2035</v>
      </c>
      <c r="B1966" s="153" t="s">
        <v>2036</v>
      </c>
      <c r="C1966">
        <v>0.0</v>
      </c>
      <c r="D1966">
        <v>0.0</v>
      </c>
      <c r="F1966" t="s">
        <v>2942</v>
      </c>
      <c r="G1966" t="s">
        <v>2943</v>
      </c>
      <c r="H1966" t="s">
        <v>2963</v>
      </c>
      <c r="I1966" t="s">
        <v>83</v>
      </c>
    </row>
    <row r="1967" customHeight="1" ht="14.0">
      <c r="A1967" t="s">
        <v>2037</v>
      </c>
      <c r="B1967" s="153" t="s">
        <v>2038</v>
      </c>
      <c r="C1967">
        <v>0.0</v>
      </c>
      <c r="D1967">
        <v>0.0</v>
      </c>
      <c r="F1967" t="s">
        <v>2942</v>
      </c>
      <c r="G1967" t="s">
        <v>2943</v>
      </c>
      <c r="H1967" t="s">
        <v>2963</v>
      </c>
      <c r="I1967" t="s">
        <v>83</v>
      </c>
    </row>
    <row r="1968" customHeight="1" ht="14.0">
      <c r="A1968" t="s">
        <v>2039</v>
      </c>
      <c r="B1968" s="153" t="s">
        <v>2040</v>
      </c>
      <c r="C1968">
        <v>0.0</v>
      </c>
      <c r="D1968">
        <v>0.0</v>
      </c>
      <c r="F1968" t="s">
        <v>2942</v>
      </c>
      <c r="G1968" t="s">
        <v>2943</v>
      </c>
      <c r="H1968" t="s">
        <v>2963</v>
      </c>
      <c r="I1968" t="s">
        <v>83</v>
      </c>
    </row>
    <row r="1969" customHeight="1" ht="14.0">
      <c r="A1969" t="s">
        <v>2041</v>
      </c>
      <c r="B1969" s="153" t="s">
        <v>2042</v>
      </c>
      <c r="C1969">
        <v>0.0</v>
      </c>
      <c r="D1969">
        <v>0.0</v>
      </c>
      <c r="F1969" t="s">
        <v>2942</v>
      </c>
      <c r="G1969" t="s">
        <v>2943</v>
      </c>
      <c r="H1969" t="s">
        <v>2963</v>
      </c>
      <c r="I1969" t="s">
        <v>83</v>
      </c>
    </row>
    <row r="1970" customHeight="1" ht="14.0">
      <c r="A1970" t="s">
        <v>2043</v>
      </c>
      <c r="B1970" s="153" t="s">
        <v>2044</v>
      </c>
      <c r="C1970">
        <v>0.0</v>
      </c>
      <c r="D1970">
        <v>0.0</v>
      </c>
      <c r="F1970" t="s">
        <v>2942</v>
      </c>
      <c r="G1970" t="s">
        <v>2943</v>
      </c>
      <c r="H1970" t="s">
        <v>2963</v>
      </c>
      <c r="I1970" t="s">
        <v>83</v>
      </c>
    </row>
    <row r="1971" customHeight="1" ht="14.0">
      <c r="A1971" t="s">
        <v>2045</v>
      </c>
      <c r="B1971" s="153" t="s">
        <v>2046</v>
      </c>
      <c r="C1971">
        <v>0.0</v>
      </c>
      <c r="D1971">
        <v>0.0</v>
      </c>
      <c r="F1971" t="s">
        <v>2942</v>
      </c>
      <c r="G1971" t="s">
        <v>2943</v>
      </c>
      <c r="H1971" t="s">
        <v>2963</v>
      </c>
      <c r="I1971" t="s">
        <v>83</v>
      </c>
    </row>
    <row r="1972" customHeight="1" ht="14.0">
      <c r="A1972" t="s">
        <v>2047</v>
      </c>
      <c r="B1972" s="153" t="s">
        <v>2048</v>
      </c>
      <c r="C1972">
        <v>0.0</v>
      </c>
      <c r="D1972">
        <v>0.0</v>
      </c>
      <c r="F1972" t="s">
        <v>2994</v>
      </c>
      <c r="G1972" t="s">
        <v>2943</v>
      </c>
      <c r="H1972" t="s">
        <v>2944</v>
      </c>
      <c r="I1972" t="s">
        <v>83</v>
      </c>
    </row>
    <row r="1973" customHeight="1" ht="14.0">
      <c r="A1973" t="s">
        <v>4965</v>
      </c>
      <c r="B1973" s="153" t="s">
        <v>4966</v>
      </c>
      <c r="C1973">
        <v>0.0</v>
      </c>
      <c r="D1973">
        <v>0.0</v>
      </c>
      <c r="F1973" t="s">
        <v>2942</v>
      </c>
      <c r="G1973" t="s">
        <v>2943</v>
      </c>
      <c r="H1973" t="s">
        <v>2944</v>
      </c>
      <c r="I1973" t="s">
        <v>197</v>
      </c>
    </row>
    <row r="1974" customHeight="1" ht="14.0">
      <c r="A1974" t="s">
        <v>4967</v>
      </c>
      <c r="B1974" s="153" t="s">
        <v>4968</v>
      </c>
      <c r="C1974">
        <v>0.0</v>
      </c>
      <c r="D1974">
        <v>0.0</v>
      </c>
      <c r="F1974" t="s">
        <v>2942</v>
      </c>
      <c r="G1974" t="s">
        <v>2943</v>
      </c>
      <c r="H1974" t="s">
        <v>2944</v>
      </c>
      <c r="I1974" t="s">
        <v>197</v>
      </c>
    </row>
    <row r="1975" customHeight="1" ht="14.0">
      <c r="A1975" t="s">
        <v>4969</v>
      </c>
      <c r="B1975" s="153" t="s">
        <v>4970</v>
      </c>
      <c r="C1975">
        <v>0.0</v>
      </c>
      <c r="D1975">
        <v>0.0</v>
      </c>
      <c r="F1975" t="s">
        <v>2942</v>
      </c>
      <c r="G1975" t="s">
        <v>2943</v>
      </c>
      <c r="H1975" t="s">
        <v>2944</v>
      </c>
      <c r="I1975" t="s">
        <v>4971</v>
      </c>
    </row>
    <row r="1976" customHeight="1" ht="14.0">
      <c r="A1976" t="s">
        <v>4972</v>
      </c>
      <c r="B1976" s="153" t="s">
        <v>4973</v>
      </c>
      <c r="C1976">
        <v>0.0</v>
      </c>
      <c r="D1976">
        <v>0.0</v>
      </c>
      <c r="F1976" t="s">
        <v>2942</v>
      </c>
      <c r="G1976" t="s">
        <v>2943</v>
      </c>
      <c r="H1976" t="s">
        <v>2944</v>
      </c>
      <c r="I1976" t="s">
        <v>197</v>
      </c>
    </row>
    <row r="1977" customHeight="1" ht="14.0">
      <c r="A1977" t="s">
        <v>2050</v>
      </c>
      <c r="B1977" s="153" t="s">
        <v>2051</v>
      </c>
      <c r="C1977">
        <v>714.0</v>
      </c>
      <c r="D1977">
        <v>2399.63</v>
      </c>
      <c r="E1977">
        <v>3.3608</v>
      </c>
      <c r="F1977" t="s">
        <v>2942</v>
      </c>
      <c r="G1977" t="s">
        <v>2962</v>
      </c>
      <c r="H1977" t="s">
        <v>2963</v>
      </c>
      <c r="I1977" t="s">
        <v>3006</v>
      </c>
    </row>
    <row r="1978" customHeight="1" ht="14.0">
      <c r="A1978" t="s">
        <v>4974</v>
      </c>
      <c r="B1978" s="153" t="s">
        <v>4975</v>
      </c>
      <c r="C1978">
        <v>0.0</v>
      </c>
      <c r="D1978">
        <v>0.0</v>
      </c>
      <c r="F1978" t="s">
        <v>2942</v>
      </c>
      <c r="G1978" t="s">
        <v>2943</v>
      </c>
      <c r="H1978" t="s">
        <v>2944</v>
      </c>
      <c r="I1978" t="s">
        <v>4971</v>
      </c>
    </row>
    <row r="1979" customHeight="1" ht="14.0">
      <c r="A1979" t="s">
        <v>4976</v>
      </c>
      <c r="B1979" s="153" t="s">
        <v>4977</v>
      </c>
      <c r="C1979">
        <v>0.0</v>
      </c>
      <c r="D1979">
        <v>0.0</v>
      </c>
      <c r="F1979" t="s">
        <v>2942</v>
      </c>
      <c r="G1979" t="s">
        <v>2943</v>
      </c>
      <c r="H1979" t="s">
        <v>2944</v>
      </c>
      <c r="I1979" t="s">
        <v>4971</v>
      </c>
    </row>
    <row r="1980" customHeight="1" ht="14.0">
      <c r="A1980" t="s">
        <v>4978</v>
      </c>
      <c r="B1980" s="153" t="s">
        <v>4979</v>
      </c>
      <c r="C1980">
        <v>0.0</v>
      </c>
      <c r="D1980">
        <v>0.0</v>
      </c>
      <c r="F1980" t="s">
        <v>2942</v>
      </c>
      <c r="G1980" t="s">
        <v>2943</v>
      </c>
      <c r="H1980" t="s">
        <v>2944</v>
      </c>
      <c r="I1980" t="s">
        <v>4971</v>
      </c>
    </row>
    <row r="1981" customHeight="1" ht="14.0">
      <c r="A1981" t="s">
        <v>4980</v>
      </c>
      <c r="B1981" s="153" t="s">
        <v>4981</v>
      </c>
      <c r="C1981">
        <v>0.0</v>
      </c>
      <c r="D1981">
        <v>0.0</v>
      </c>
      <c r="F1981" t="s">
        <v>2942</v>
      </c>
      <c r="G1981" t="s">
        <v>2943</v>
      </c>
      <c r="H1981" t="s">
        <v>2944</v>
      </c>
      <c r="I1981" t="s">
        <v>4971</v>
      </c>
    </row>
    <row r="1982" customHeight="1" ht="14.0">
      <c r="A1982" t="s">
        <v>4982</v>
      </c>
      <c r="B1982" s="153" t="s">
        <v>4983</v>
      </c>
      <c r="C1982">
        <v>0.0</v>
      </c>
      <c r="D1982">
        <v>0.0</v>
      </c>
      <c r="F1982" t="s">
        <v>2942</v>
      </c>
      <c r="G1982" t="s">
        <v>2943</v>
      </c>
      <c r="H1982" t="s">
        <v>2944</v>
      </c>
      <c r="I1982" t="s">
        <v>4971</v>
      </c>
    </row>
    <row r="1983" customHeight="1" ht="14.0">
      <c r="A1983" t="s">
        <v>4984</v>
      </c>
      <c r="B1983" s="153" t="s">
        <v>4985</v>
      </c>
      <c r="C1983">
        <v>0.0</v>
      </c>
      <c r="D1983">
        <v>0.0</v>
      </c>
      <c r="F1983" t="s">
        <v>2942</v>
      </c>
      <c r="G1983" t="s">
        <v>2943</v>
      </c>
      <c r="H1983" t="s">
        <v>2944</v>
      </c>
      <c r="I1983" t="s">
        <v>4971</v>
      </c>
    </row>
    <row r="1984" customHeight="1" ht="14.0">
      <c r="A1984" t="s">
        <v>4986</v>
      </c>
      <c r="B1984" s="153" t="s">
        <v>4987</v>
      </c>
      <c r="C1984">
        <v>0.0</v>
      </c>
      <c r="D1984">
        <v>0.0</v>
      </c>
      <c r="F1984" t="s">
        <v>2942</v>
      </c>
      <c r="G1984" t="s">
        <v>2943</v>
      </c>
      <c r="H1984" t="s">
        <v>2944</v>
      </c>
      <c r="I1984" t="s">
        <v>4971</v>
      </c>
    </row>
    <row r="1985" customHeight="1" ht="14.0">
      <c r="A1985" t="s">
        <v>4988</v>
      </c>
      <c r="B1985" s="153" t="s">
        <v>4989</v>
      </c>
      <c r="C1985">
        <v>0.0</v>
      </c>
      <c r="D1985">
        <v>0.0</v>
      </c>
      <c r="F1985" t="s">
        <v>2942</v>
      </c>
      <c r="G1985" t="s">
        <v>2943</v>
      </c>
      <c r="H1985" t="s">
        <v>2944</v>
      </c>
      <c r="I1985" t="s">
        <v>4971</v>
      </c>
    </row>
    <row r="1986" customHeight="1" ht="14.0">
      <c r="A1986" t="s">
        <v>4990</v>
      </c>
      <c r="B1986" s="153" t="s">
        <v>4991</v>
      </c>
      <c r="C1986">
        <v>0.0</v>
      </c>
      <c r="D1986">
        <v>0.0</v>
      </c>
      <c r="F1986" t="s">
        <v>2942</v>
      </c>
      <c r="G1986" t="s">
        <v>2943</v>
      </c>
      <c r="H1986" t="s">
        <v>2944</v>
      </c>
      <c r="I1986" t="s">
        <v>4971</v>
      </c>
    </row>
    <row r="1987" customHeight="1" ht="14.0">
      <c r="A1987" t="s">
        <v>4992</v>
      </c>
      <c r="B1987" s="153" t="s">
        <v>4993</v>
      </c>
      <c r="C1987">
        <v>0.0</v>
      </c>
      <c r="D1987">
        <v>0.0</v>
      </c>
      <c r="F1987" t="s">
        <v>2942</v>
      </c>
      <c r="G1987" t="s">
        <v>2943</v>
      </c>
      <c r="H1987" t="s">
        <v>2944</v>
      </c>
      <c r="I1987" t="s">
        <v>4971</v>
      </c>
    </row>
    <row r="1988" customHeight="1" ht="14.0">
      <c r="A1988" t="s">
        <v>4994</v>
      </c>
      <c r="B1988" s="153" t="s">
        <v>4995</v>
      </c>
      <c r="C1988">
        <v>0.0</v>
      </c>
      <c r="D1988">
        <v>0.0</v>
      </c>
      <c r="F1988" t="s">
        <v>2942</v>
      </c>
      <c r="G1988" t="s">
        <v>2943</v>
      </c>
      <c r="H1988" t="s">
        <v>2944</v>
      </c>
      <c r="I1988" t="s">
        <v>4971</v>
      </c>
    </row>
    <row r="1989" customHeight="1" ht="14.0">
      <c r="A1989" t="s">
        <v>4996</v>
      </c>
      <c r="B1989" s="153" t="s">
        <v>4997</v>
      </c>
      <c r="C1989">
        <v>0.0</v>
      </c>
      <c r="D1989">
        <v>0.0</v>
      </c>
      <c r="F1989" t="s">
        <v>2942</v>
      </c>
      <c r="G1989" t="s">
        <v>2943</v>
      </c>
      <c r="H1989" t="s">
        <v>2944</v>
      </c>
      <c r="I1989" t="s">
        <v>4971</v>
      </c>
    </row>
    <row r="1990" customHeight="1" ht="14.0">
      <c r="A1990" t="s">
        <v>4998</v>
      </c>
      <c r="B1990" s="153" t="s">
        <v>4999</v>
      </c>
      <c r="C1990">
        <v>0.0</v>
      </c>
      <c r="D1990">
        <v>0.0</v>
      </c>
      <c r="F1990" t="s">
        <v>2942</v>
      </c>
      <c r="G1990" t="s">
        <v>2943</v>
      </c>
      <c r="H1990" t="s">
        <v>2944</v>
      </c>
      <c r="I1990" t="s">
        <v>4971</v>
      </c>
    </row>
    <row r="1991" customHeight="1" ht="14.0">
      <c r="A1991" t="s">
        <v>5000</v>
      </c>
      <c r="B1991" s="153" t="s">
        <v>5001</v>
      </c>
      <c r="C1991">
        <v>0.0</v>
      </c>
      <c r="D1991">
        <v>0.0</v>
      </c>
      <c r="F1991" t="s">
        <v>2942</v>
      </c>
      <c r="G1991" t="s">
        <v>2943</v>
      </c>
      <c r="H1991" t="s">
        <v>2944</v>
      </c>
      <c r="I1991" t="s">
        <v>4971</v>
      </c>
    </row>
    <row r="1992" customHeight="1" ht="14.0">
      <c r="A1992" t="s">
        <v>5002</v>
      </c>
      <c r="B1992" s="153" t="s">
        <v>5003</v>
      </c>
      <c r="C1992">
        <v>0.0</v>
      </c>
      <c r="D1992">
        <v>0.0</v>
      </c>
      <c r="F1992" t="s">
        <v>2942</v>
      </c>
      <c r="G1992" t="s">
        <v>2943</v>
      </c>
      <c r="H1992" t="s">
        <v>2944</v>
      </c>
      <c r="I1992" t="s">
        <v>4971</v>
      </c>
    </row>
    <row r="1993" customHeight="1" ht="14.0">
      <c r="A1993" t="s">
        <v>5004</v>
      </c>
      <c r="B1993" s="153" t="s">
        <v>5005</v>
      </c>
      <c r="C1993">
        <v>0.0</v>
      </c>
      <c r="D1993">
        <v>0.0</v>
      </c>
      <c r="F1993" t="s">
        <v>2942</v>
      </c>
      <c r="G1993" t="s">
        <v>2943</v>
      </c>
      <c r="H1993" t="s">
        <v>2944</v>
      </c>
      <c r="I1993" t="s">
        <v>4971</v>
      </c>
    </row>
    <row r="1994" customHeight="1" ht="14.0">
      <c r="A1994" t="s">
        <v>5006</v>
      </c>
      <c r="B1994" s="153" t="s">
        <v>5007</v>
      </c>
      <c r="C1994">
        <v>0.0</v>
      </c>
      <c r="D1994">
        <v>0.0</v>
      </c>
      <c r="F1994" t="s">
        <v>2942</v>
      </c>
      <c r="G1994" t="s">
        <v>2943</v>
      </c>
      <c r="H1994" t="s">
        <v>2944</v>
      </c>
      <c r="I1994" t="s">
        <v>4971</v>
      </c>
    </row>
    <row r="1995" customHeight="1" ht="14.0">
      <c r="A1995" t="s">
        <v>5008</v>
      </c>
      <c r="B1995" s="153" t="s">
        <v>5009</v>
      </c>
      <c r="C1995">
        <v>0.0</v>
      </c>
      <c r="D1995">
        <v>0.0</v>
      </c>
      <c r="F1995" t="s">
        <v>2942</v>
      </c>
      <c r="G1995" t="s">
        <v>2943</v>
      </c>
      <c r="H1995" t="s">
        <v>2944</v>
      </c>
      <c r="I1995" t="s">
        <v>4971</v>
      </c>
    </row>
    <row r="1996" customHeight="1" ht="14.0">
      <c r="A1996" t="s">
        <v>5010</v>
      </c>
      <c r="B1996" s="153" t="s">
        <v>5011</v>
      </c>
      <c r="C1996">
        <v>0.0</v>
      </c>
      <c r="D1996">
        <v>0.0</v>
      </c>
      <c r="F1996" t="s">
        <v>2942</v>
      </c>
      <c r="G1996" t="s">
        <v>2943</v>
      </c>
      <c r="H1996" t="s">
        <v>2944</v>
      </c>
      <c r="I1996" t="s">
        <v>4971</v>
      </c>
    </row>
    <row r="1997" customHeight="1" ht="14.0">
      <c r="A1997" t="s">
        <v>5012</v>
      </c>
      <c r="B1997" s="153" t="s">
        <v>5013</v>
      </c>
      <c r="C1997">
        <v>0.0</v>
      </c>
      <c r="D1997">
        <v>0.0</v>
      </c>
      <c r="F1997" t="s">
        <v>2942</v>
      </c>
      <c r="G1997" t="s">
        <v>2943</v>
      </c>
      <c r="H1997" t="s">
        <v>2944</v>
      </c>
      <c r="I1997" t="s">
        <v>4971</v>
      </c>
    </row>
    <row r="1998" customHeight="1" ht="14.0">
      <c r="A1998" t="s">
        <v>5014</v>
      </c>
      <c r="B1998" s="153" t="s">
        <v>5015</v>
      </c>
      <c r="C1998">
        <v>0.0</v>
      </c>
      <c r="D1998">
        <v>0.0</v>
      </c>
      <c r="F1998" t="s">
        <v>2942</v>
      </c>
      <c r="G1998" t="s">
        <v>2943</v>
      </c>
      <c r="H1998" t="s">
        <v>2944</v>
      </c>
      <c r="I1998" t="s">
        <v>4971</v>
      </c>
    </row>
    <row r="1999" customHeight="1" ht="14.0">
      <c r="A1999" t="s">
        <v>5016</v>
      </c>
      <c r="B1999" s="153" t="s">
        <v>5017</v>
      </c>
      <c r="C1999">
        <v>0.0</v>
      </c>
      <c r="D1999">
        <v>0.0</v>
      </c>
      <c r="F1999" t="s">
        <v>2942</v>
      </c>
      <c r="G1999" t="s">
        <v>2943</v>
      </c>
      <c r="H1999" t="s">
        <v>2944</v>
      </c>
      <c r="I1999" t="s">
        <v>4971</v>
      </c>
    </row>
    <row r="2000" customHeight="1" ht="14.0">
      <c r="A2000" t="s">
        <v>5018</v>
      </c>
      <c r="B2000" s="153" t="s">
        <v>5019</v>
      </c>
      <c r="C2000">
        <v>0.0</v>
      </c>
      <c r="D2000">
        <v>0.0</v>
      </c>
      <c r="F2000" t="s">
        <v>2942</v>
      </c>
      <c r="G2000" t="s">
        <v>2943</v>
      </c>
      <c r="H2000" t="s">
        <v>2944</v>
      </c>
      <c r="I2000" t="s">
        <v>4971</v>
      </c>
    </row>
    <row r="2001" customHeight="1" ht="14.0">
      <c r="A2001" t="s">
        <v>5020</v>
      </c>
      <c r="B2001" s="153" t="s">
        <v>5021</v>
      </c>
      <c r="C2001">
        <v>0.0</v>
      </c>
      <c r="D2001">
        <v>0.0</v>
      </c>
      <c r="F2001" t="s">
        <v>2942</v>
      </c>
      <c r="G2001" t="s">
        <v>2943</v>
      </c>
      <c r="H2001" t="s">
        <v>2944</v>
      </c>
      <c r="I2001" t="s">
        <v>4971</v>
      </c>
    </row>
    <row r="2002" customHeight="1" ht="14.0">
      <c r="A2002" t="s">
        <v>5022</v>
      </c>
      <c r="B2002" s="153" t="s">
        <v>5023</v>
      </c>
      <c r="C2002">
        <v>0.0</v>
      </c>
      <c r="D2002">
        <v>0.0</v>
      </c>
      <c r="F2002" t="s">
        <v>2942</v>
      </c>
      <c r="G2002" t="s">
        <v>2943</v>
      </c>
      <c r="H2002" t="s">
        <v>2944</v>
      </c>
      <c r="I2002" t="s">
        <v>4971</v>
      </c>
    </row>
    <row r="2003" customHeight="1" ht="14.0">
      <c r="A2003" t="s">
        <v>5024</v>
      </c>
      <c r="B2003" s="153" t="s">
        <v>5025</v>
      </c>
      <c r="C2003">
        <v>0.0</v>
      </c>
      <c r="D2003">
        <v>0.0</v>
      </c>
      <c r="F2003" t="s">
        <v>2942</v>
      </c>
      <c r="G2003" t="s">
        <v>2943</v>
      </c>
      <c r="H2003" t="s">
        <v>2944</v>
      </c>
      <c r="I2003" t="s">
        <v>4971</v>
      </c>
    </row>
    <row r="2004" customHeight="1" ht="14.0">
      <c r="A2004" t="s">
        <v>2052</v>
      </c>
      <c r="B2004" s="153" t="s">
        <v>2053</v>
      </c>
      <c r="C2004">
        <v>0.0</v>
      </c>
      <c r="D2004">
        <v>0.0</v>
      </c>
      <c r="F2004" t="s">
        <v>2942</v>
      </c>
      <c r="G2004" t="s">
        <v>2943</v>
      </c>
      <c r="H2004" t="s">
        <v>2944</v>
      </c>
      <c r="I2004" t="s">
        <v>4971</v>
      </c>
    </row>
    <row r="2005" customHeight="1" ht="14.0">
      <c r="A2005" t="s">
        <v>5026</v>
      </c>
      <c r="B2005" s="153" t="s">
        <v>5027</v>
      </c>
      <c r="C2005">
        <v>0.0</v>
      </c>
      <c r="D2005">
        <v>0.0</v>
      </c>
      <c r="F2005" t="s">
        <v>2942</v>
      </c>
      <c r="G2005" t="s">
        <v>2943</v>
      </c>
      <c r="H2005" t="s">
        <v>2944</v>
      </c>
      <c r="I2005" t="s">
        <v>4971</v>
      </c>
    </row>
    <row r="2006" customHeight="1" ht="14.0">
      <c r="A2006" t="s">
        <v>5028</v>
      </c>
      <c r="B2006" s="153" t="s">
        <v>5029</v>
      </c>
      <c r="C2006">
        <v>0.0</v>
      </c>
      <c r="D2006">
        <v>0.0</v>
      </c>
      <c r="F2006" t="s">
        <v>2942</v>
      </c>
      <c r="G2006" t="s">
        <v>2943</v>
      </c>
      <c r="H2006" t="s">
        <v>2944</v>
      </c>
      <c r="I2006" t="s">
        <v>4971</v>
      </c>
    </row>
    <row r="2007" customHeight="1" ht="14.0">
      <c r="A2007" t="s">
        <v>5030</v>
      </c>
      <c r="B2007" s="153" t="s">
        <v>5031</v>
      </c>
      <c r="C2007">
        <v>0.0</v>
      </c>
      <c r="D2007">
        <v>0.0</v>
      </c>
      <c r="F2007" t="s">
        <v>2942</v>
      </c>
      <c r="G2007" t="s">
        <v>2943</v>
      </c>
      <c r="H2007" t="s">
        <v>2944</v>
      </c>
      <c r="I2007" t="s">
        <v>4971</v>
      </c>
    </row>
    <row r="2008" customHeight="1" ht="14.0">
      <c r="A2008" t="s">
        <v>5032</v>
      </c>
      <c r="B2008" s="153" t="s">
        <v>5033</v>
      </c>
      <c r="C2008">
        <v>0.0</v>
      </c>
      <c r="D2008">
        <v>0.0</v>
      </c>
      <c r="F2008" t="s">
        <v>2942</v>
      </c>
      <c r="G2008" t="s">
        <v>2943</v>
      </c>
      <c r="H2008" t="s">
        <v>2944</v>
      </c>
      <c r="I2008" t="s">
        <v>4971</v>
      </c>
    </row>
    <row r="2009" customHeight="1" ht="14.0">
      <c r="A2009" t="s">
        <v>367</v>
      </c>
      <c r="B2009" s="153" t="s">
        <v>368</v>
      </c>
      <c r="C2009">
        <v>2.0</v>
      </c>
      <c r="D2009">
        <v>124.58</v>
      </c>
      <c r="E2009">
        <v>62.29</v>
      </c>
      <c r="F2009" t="s">
        <v>2942</v>
      </c>
      <c r="G2009" t="s">
        <v>2962</v>
      </c>
      <c r="H2009" t="s">
        <v>30</v>
      </c>
      <c r="I2009" t="s">
        <v>344</v>
      </c>
    </row>
    <row r="2010" customHeight="1" ht="14.0">
      <c r="A2010" t="s">
        <v>5034</v>
      </c>
      <c r="B2010" s="153" t="s">
        <v>5035</v>
      </c>
      <c r="C2010">
        <v>0.0</v>
      </c>
      <c r="D2010">
        <v>0.0</v>
      </c>
      <c r="F2010" t="s">
        <v>2942</v>
      </c>
      <c r="G2010" t="s">
        <v>2943</v>
      </c>
      <c r="H2010" t="s">
        <v>2944</v>
      </c>
      <c r="I2010" t="s">
        <v>228</v>
      </c>
    </row>
    <row r="2011" customHeight="1" ht="14.0">
      <c r="A2011" t="s">
        <v>5036</v>
      </c>
      <c r="B2011" s="153" t="s">
        <v>5037</v>
      </c>
      <c r="C2011">
        <v>0.0</v>
      </c>
      <c r="D2011">
        <v>0.0</v>
      </c>
      <c r="F2011" t="s">
        <v>2942</v>
      </c>
      <c r="G2011" t="s">
        <v>2943</v>
      </c>
      <c r="H2011" t="s">
        <v>2944</v>
      </c>
      <c r="I2011" t="s">
        <v>3724</v>
      </c>
    </row>
    <row r="2012" customHeight="1" ht="14.0">
      <c r="A2012" t="s">
        <v>5038</v>
      </c>
      <c r="B2012" s="153">
        <v>2502.0</v>
      </c>
      <c r="C2012">
        <v>0.0</v>
      </c>
      <c r="D2012">
        <v>0.0</v>
      </c>
      <c r="F2012" t="s">
        <v>2942</v>
      </c>
      <c r="G2012" t="s">
        <v>2943</v>
      </c>
      <c r="H2012" t="s">
        <v>2944</v>
      </c>
      <c r="I2012" t="s">
        <v>83</v>
      </c>
    </row>
    <row r="2013" customHeight="1" ht="14.0">
      <c r="A2013" t="s">
        <v>5039</v>
      </c>
      <c r="B2013" s="153">
        <v>2509.0</v>
      </c>
      <c r="C2013">
        <v>0.0</v>
      </c>
      <c r="D2013">
        <v>0.0</v>
      </c>
      <c r="F2013" t="s">
        <v>2942</v>
      </c>
      <c r="G2013" t="s">
        <v>2943</v>
      </c>
      <c r="H2013" t="s">
        <v>2944</v>
      </c>
      <c r="I2013" t="s">
        <v>83</v>
      </c>
    </row>
    <row r="2014" customHeight="1" ht="14.0">
      <c r="A2014" t="s">
        <v>5040</v>
      </c>
      <c r="B2014" s="153">
        <v>2512.0</v>
      </c>
      <c r="C2014">
        <v>0.0</v>
      </c>
      <c r="D2014">
        <v>0.0</v>
      </c>
      <c r="F2014" t="s">
        <v>2942</v>
      </c>
      <c r="G2014" t="s">
        <v>2943</v>
      </c>
      <c r="H2014" t="s">
        <v>2944</v>
      </c>
      <c r="I2014" t="s">
        <v>83</v>
      </c>
    </row>
    <row r="2015" customHeight="1" ht="14.0">
      <c r="A2015" t="s">
        <v>5041</v>
      </c>
      <c r="B2015" s="153">
        <v>2505.0</v>
      </c>
      <c r="C2015">
        <v>0.0</v>
      </c>
      <c r="D2015">
        <v>0.0</v>
      </c>
      <c r="F2015" t="s">
        <v>2942</v>
      </c>
      <c r="G2015" t="s">
        <v>2943</v>
      </c>
      <c r="H2015" t="s">
        <v>2944</v>
      </c>
      <c r="I2015" t="s">
        <v>83</v>
      </c>
    </row>
    <row r="2016" customHeight="1" ht="14.0">
      <c r="A2016" t="s">
        <v>5042</v>
      </c>
      <c r="B2016" s="153">
        <v>2506.0</v>
      </c>
      <c r="C2016">
        <v>0.0</v>
      </c>
      <c r="D2016">
        <v>0.0</v>
      </c>
      <c r="F2016" t="s">
        <v>2942</v>
      </c>
      <c r="G2016" t="s">
        <v>2943</v>
      </c>
      <c r="H2016" t="s">
        <v>2944</v>
      </c>
      <c r="I2016" t="s">
        <v>83</v>
      </c>
    </row>
    <row r="2017" customHeight="1" ht="14.0">
      <c r="A2017" t="s">
        <v>5043</v>
      </c>
      <c r="B2017" s="153">
        <v>2510.0</v>
      </c>
      <c r="C2017">
        <v>0.0</v>
      </c>
      <c r="D2017">
        <v>0.0</v>
      </c>
      <c r="F2017" t="s">
        <v>2942</v>
      </c>
      <c r="G2017" t="s">
        <v>2943</v>
      </c>
      <c r="H2017" t="s">
        <v>2944</v>
      </c>
      <c r="I2017" t="s">
        <v>83</v>
      </c>
    </row>
    <row r="2018" customHeight="1" ht="14.0">
      <c r="A2018" t="s">
        <v>5044</v>
      </c>
      <c r="B2018" s="153">
        <v>2511.0</v>
      </c>
      <c r="C2018">
        <v>0.0</v>
      </c>
      <c r="D2018">
        <v>0.0</v>
      </c>
      <c r="F2018" t="s">
        <v>2942</v>
      </c>
      <c r="G2018" t="s">
        <v>2943</v>
      </c>
      <c r="H2018" t="s">
        <v>2944</v>
      </c>
      <c r="I2018" t="s">
        <v>83</v>
      </c>
    </row>
    <row r="2019" customHeight="1" ht="14.0">
      <c r="A2019" t="s">
        <v>5045</v>
      </c>
      <c r="B2019" s="153">
        <v>2507.0</v>
      </c>
      <c r="C2019">
        <v>0.0</v>
      </c>
      <c r="D2019">
        <v>0.0</v>
      </c>
      <c r="F2019" t="s">
        <v>2942</v>
      </c>
      <c r="G2019" t="s">
        <v>2943</v>
      </c>
      <c r="H2019" t="s">
        <v>2944</v>
      </c>
      <c r="I2019" t="s">
        <v>83</v>
      </c>
    </row>
    <row r="2020" customHeight="1" ht="14.0">
      <c r="A2020" t="s">
        <v>5046</v>
      </c>
      <c r="B2020" s="153">
        <v>2508.0</v>
      </c>
      <c r="C2020">
        <v>0.0</v>
      </c>
      <c r="D2020">
        <v>0.0</v>
      </c>
      <c r="F2020" t="s">
        <v>2942</v>
      </c>
      <c r="G2020" t="s">
        <v>2943</v>
      </c>
      <c r="H2020" t="s">
        <v>2944</v>
      </c>
      <c r="I2020" t="s">
        <v>83</v>
      </c>
    </row>
    <row r="2021" customHeight="1" ht="14.0">
      <c r="A2021" t="s">
        <v>5047</v>
      </c>
      <c r="B2021" s="153" t="s">
        <v>5048</v>
      </c>
      <c r="C2021">
        <v>0.0</v>
      </c>
      <c r="D2021">
        <v>0.0</v>
      </c>
      <c r="F2021" t="s">
        <v>2942</v>
      </c>
      <c r="G2021" t="s">
        <v>2943</v>
      </c>
      <c r="H2021" t="s">
        <v>2944</v>
      </c>
      <c r="I2021" t="s">
        <v>228</v>
      </c>
    </row>
    <row r="2022" customHeight="1" ht="14.0">
      <c r="A2022" t="s">
        <v>5049</v>
      </c>
      <c r="B2022" s="153" t="s">
        <v>5050</v>
      </c>
      <c r="C2022">
        <v>0.0</v>
      </c>
      <c r="D2022">
        <v>0.0</v>
      </c>
      <c r="F2022" t="s">
        <v>2942</v>
      </c>
      <c r="G2022" t="s">
        <v>2943</v>
      </c>
      <c r="H2022" t="s">
        <v>2944</v>
      </c>
      <c r="I2022" t="s">
        <v>3179</v>
      </c>
    </row>
    <row r="2023" customHeight="1" ht="14.0">
      <c r="A2023" t="s">
        <v>5051</v>
      </c>
      <c r="B2023" s="153" t="s">
        <v>5052</v>
      </c>
      <c r="C2023">
        <v>0.0</v>
      </c>
      <c r="D2023">
        <v>0.0</v>
      </c>
      <c r="F2023" t="s">
        <v>2942</v>
      </c>
      <c r="G2023" t="s">
        <v>2943</v>
      </c>
      <c r="H2023" t="s">
        <v>2944</v>
      </c>
      <c r="I2023" t="s">
        <v>3179</v>
      </c>
    </row>
    <row r="2024" customHeight="1" ht="14.0">
      <c r="A2024" t="s">
        <v>5053</v>
      </c>
      <c r="B2024" s="153" t="s">
        <v>5054</v>
      </c>
      <c r="C2024">
        <v>0.0</v>
      </c>
      <c r="D2024">
        <v>0.0</v>
      </c>
      <c r="F2024" t="s">
        <v>2942</v>
      </c>
      <c r="G2024" t="s">
        <v>2943</v>
      </c>
      <c r="H2024" t="s">
        <v>2944</v>
      </c>
      <c r="I2024" t="s">
        <v>3179</v>
      </c>
    </row>
    <row r="2025" customHeight="1" ht="14.0">
      <c r="A2025" t="s">
        <v>5055</v>
      </c>
      <c r="B2025" s="153" t="s">
        <v>5056</v>
      </c>
      <c r="C2025">
        <v>0.0</v>
      </c>
      <c r="D2025">
        <v>0.0</v>
      </c>
      <c r="F2025" t="s">
        <v>2942</v>
      </c>
      <c r="G2025" t="s">
        <v>2943</v>
      </c>
      <c r="H2025" t="s">
        <v>2944</v>
      </c>
      <c r="I2025" t="s">
        <v>3179</v>
      </c>
    </row>
    <row r="2026" customHeight="1" ht="14.0">
      <c r="A2026" t="s">
        <v>5057</v>
      </c>
      <c r="B2026" s="153" t="s">
        <v>5058</v>
      </c>
      <c r="C2026">
        <v>0.0</v>
      </c>
      <c r="D2026">
        <v>0.0</v>
      </c>
      <c r="F2026" t="s">
        <v>2942</v>
      </c>
      <c r="G2026" t="s">
        <v>2943</v>
      </c>
      <c r="H2026" t="s">
        <v>2944</v>
      </c>
      <c r="I2026" t="s">
        <v>3179</v>
      </c>
    </row>
    <row r="2027" customHeight="1" ht="14.0">
      <c r="A2027" t="s">
        <v>2054</v>
      </c>
      <c r="B2027" s="153" t="s">
        <v>2055</v>
      </c>
      <c r="C2027">
        <v>364.0</v>
      </c>
      <c r="D2027">
        <v>2112.8</v>
      </c>
      <c r="E2027">
        <v>5.8044</v>
      </c>
      <c r="F2027" t="s">
        <v>2942</v>
      </c>
      <c r="G2027" t="s">
        <v>2962</v>
      </c>
      <c r="H2027" t="s">
        <v>2963</v>
      </c>
      <c r="I2027" t="s">
        <v>3024</v>
      </c>
    </row>
    <row r="2028" customHeight="1" ht="14.0">
      <c r="A2028" t="s">
        <v>5059</v>
      </c>
      <c r="B2028" s="153" t="s">
        <v>5060</v>
      </c>
      <c r="C2028">
        <v>0.0</v>
      </c>
      <c r="D2028">
        <v>0.0</v>
      </c>
      <c r="F2028" t="s">
        <v>2942</v>
      </c>
      <c r="G2028" t="s">
        <v>2943</v>
      </c>
      <c r="H2028" t="s">
        <v>2944</v>
      </c>
      <c r="I2028" t="s">
        <v>3173</v>
      </c>
    </row>
    <row r="2029" customHeight="1" ht="14.0">
      <c r="A2029" t="s">
        <v>5061</v>
      </c>
      <c r="B2029" s="153" t="s">
        <v>5062</v>
      </c>
      <c r="C2029">
        <v>0.0</v>
      </c>
      <c r="D2029">
        <v>0.0</v>
      </c>
      <c r="F2029" t="s">
        <v>2942</v>
      </c>
      <c r="G2029" t="s">
        <v>2943</v>
      </c>
      <c r="H2029" t="s">
        <v>2944</v>
      </c>
      <c r="I2029" t="s">
        <v>3158</v>
      </c>
    </row>
    <row r="2030" customHeight="1" ht="14.0">
      <c r="A2030" t="s">
        <v>5063</v>
      </c>
      <c r="B2030" s="153" t="s">
        <v>5064</v>
      </c>
      <c r="C2030">
        <v>0.0</v>
      </c>
      <c r="D2030">
        <v>0.0</v>
      </c>
      <c r="F2030" t="s">
        <v>2942</v>
      </c>
      <c r="G2030" t="s">
        <v>2943</v>
      </c>
      <c r="H2030" t="s">
        <v>2944</v>
      </c>
      <c r="I2030" t="s">
        <v>453</v>
      </c>
    </row>
    <row r="2031" customHeight="1" ht="14.0">
      <c r="A2031" t="s">
        <v>5065</v>
      </c>
      <c r="B2031" s="153" t="s">
        <v>5066</v>
      </c>
      <c r="C2031">
        <v>0.0</v>
      </c>
      <c r="D2031">
        <v>0.0</v>
      </c>
      <c r="F2031" t="s">
        <v>2942</v>
      </c>
      <c r="G2031" t="s">
        <v>2943</v>
      </c>
      <c r="H2031" t="s">
        <v>2944</v>
      </c>
      <c r="I2031" t="s">
        <v>453</v>
      </c>
    </row>
    <row r="2032" customHeight="1" ht="14.0">
      <c r="A2032" t="s">
        <v>5067</v>
      </c>
      <c r="B2032" s="153" t="s">
        <v>5068</v>
      </c>
      <c r="C2032">
        <v>0.0</v>
      </c>
      <c r="D2032">
        <v>0.0</v>
      </c>
      <c r="F2032" t="s">
        <v>2942</v>
      </c>
      <c r="G2032" t="s">
        <v>2943</v>
      </c>
      <c r="H2032" t="s">
        <v>2944</v>
      </c>
      <c r="I2032" t="s">
        <v>453</v>
      </c>
    </row>
    <row r="2033" customHeight="1" ht="14.0">
      <c r="A2033" t="s">
        <v>5069</v>
      </c>
      <c r="B2033" s="153" t="s">
        <v>5070</v>
      </c>
      <c r="C2033">
        <v>0.0</v>
      </c>
      <c r="D2033">
        <v>0.0</v>
      </c>
      <c r="F2033" t="s">
        <v>2942</v>
      </c>
      <c r="G2033" t="s">
        <v>2943</v>
      </c>
      <c r="H2033" t="s">
        <v>2944</v>
      </c>
      <c r="I2033" t="s">
        <v>453</v>
      </c>
    </row>
    <row r="2034" customHeight="1" ht="14.0">
      <c r="A2034" t="s">
        <v>2056</v>
      </c>
      <c r="B2034" s="153" t="s">
        <v>2057</v>
      </c>
      <c r="C2034">
        <v>0.0</v>
      </c>
      <c r="D2034">
        <v>0.0</v>
      </c>
      <c r="F2034" t="s">
        <v>2942</v>
      </c>
      <c r="G2034" t="s">
        <v>2943</v>
      </c>
      <c r="H2034" t="s">
        <v>2963</v>
      </c>
      <c r="I2034" t="s">
        <v>453</v>
      </c>
    </row>
    <row r="2035" customHeight="1" ht="14.0">
      <c r="A2035" t="s">
        <v>5071</v>
      </c>
      <c r="B2035" s="153" t="s">
        <v>5072</v>
      </c>
      <c r="C2035">
        <v>0.0</v>
      </c>
      <c r="D2035">
        <v>0.0</v>
      </c>
      <c r="F2035" t="s">
        <v>2942</v>
      </c>
      <c r="G2035" t="s">
        <v>2943</v>
      </c>
      <c r="H2035" t="s">
        <v>2944</v>
      </c>
      <c r="I2035" t="s">
        <v>453</v>
      </c>
    </row>
    <row r="2036" customHeight="1" ht="14.0">
      <c r="A2036" t="s">
        <v>2058</v>
      </c>
      <c r="B2036" s="153" t="s">
        <v>2059</v>
      </c>
      <c r="C2036">
        <v>0.0</v>
      </c>
      <c r="D2036">
        <v>0.0</v>
      </c>
      <c r="F2036" t="s">
        <v>2942</v>
      </c>
      <c r="G2036" t="s">
        <v>2943</v>
      </c>
      <c r="H2036" t="s">
        <v>2944</v>
      </c>
      <c r="I2036" t="s">
        <v>453</v>
      </c>
    </row>
    <row r="2037" customHeight="1" ht="14.0">
      <c r="A2037" t="s">
        <v>2060</v>
      </c>
      <c r="B2037" s="153" t="s">
        <v>2061</v>
      </c>
      <c r="C2037">
        <v>0.0</v>
      </c>
      <c r="D2037">
        <v>0.0</v>
      </c>
      <c r="F2037" t="s">
        <v>2942</v>
      </c>
      <c r="G2037" t="s">
        <v>2943</v>
      </c>
      <c r="H2037" t="s">
        <v>2963</v>
      </c>
      <c r="I2037" t="s">
        <v>453</v>
      </c>
    </row>
    <row r="2038" customHeight="1" ht="14.0">
      <c r="A2038" t="s">
        <v>5073</v>
      </c>
      <c r="B2038" s="153" t="s">
        <v>5074</v>
      </c>
      <c r="C2038">
        <v>0.0</v>
      </c>
      <c r="D2038">
        <v>0.0</v>
      </c>
      <c r="F2038" t="s">
        <v>2994</v>
      </c>
      <c r="G2038" t="s">
        <v>2943</v>
      </c>
      <c r="H2038" t="s">
        <v>2944</v>
      </c>
      <c r="I2038" t="s">
        <v>453</v>
      </c>
    </row>
    <row r="2039" customHeight="1" ht="14.0">
      <c r="A2039" t="s">
        <v>5075</v>
      </c>
      <c r="B2039" s="153" t="s">
        <v>5076</v>
      </c>
      <c r="C2039">
        <v>0.0</v>
      </c>
      <c r="D2039">
        <v>0.0</v>
      </c>
      <c r="F2039" t="s">
        <v>2942</v>
      </c>
      <c r="G2039" t="s">
        <v>2943</v>
      </c>
      <c r="H2039" t="s">
        <v>2944</v>
      </c>
      <c r="I2039" t="s">
        <v>5077</v>
      </c>
    </row>
    <row r="2040" customHeight="1" ht="14.0">
      <c r="A2040" t="s">
        <v>5078</v>
      </c>
      <c r="B2040" s="153" t="s">
        <v>5079</v>
      </c>
      <c r="C2040">
        <v>0.0</v>
      </c>
      <c r="D2040">
        <v>0.0</v>
      </c>
      <c r="F2040" t="s">
        <v>2942</v>
      </c>
      <c r="G2040" t="s">
        <v>2943</v>
      </c>
      <c r="H2040" t="s">
        <v>2944</v>
      </c>
      <c r="I2040" t="s">
        <v>5077</v>
      </c>
    </row>
    <row r="2041" customHeight="1" ht="14.0">
      <c r="A2041" t="s">
        <v>5080</v>
      </c>
      <c r="B2041" s="153" t="s">
        <v>5081</v>
      </c>
      <c r="C2041">
        <v>0.0</v>
      </c>
      <c r="D2041">
        <v>0.0</v>
      </c>
      <c r="F2041" t="s">
        <v>2942</v>
      </c>
      <c r="G2041" t="s">
        <v>2943</v>
      </c>
      <c r="H2041" t="s">
        <v>2944</v>
      </c>
      <c r="I2041" t="s">
        <v>5077</v>
      </c>
    </row>
    <row r="2042" customHeight="1" ht="14.0">
      <c r="A2042" t="s">
        <v>5082</v>
      </c>
      <c r="B2042" s="153" t="s">
        <v>5083</v>
      </c>
      <c r="C2042">
        <v>0.0</v>
      </c>
      <c r="D2042">
        <v>0.0</v>
      </c>
      <c r="F2042" t="s">
        <v>2942</v>
      </c>
      <c r="G2042" t="s">
        <v>2943</v>
      </c>
      <c r="H2042" t="s">
        <v>2944</v>
      </c>
      <c r="I2042" t="s">
        <v>5077</v>
      </c>
    </row>
    <row r="2043" customHeight="1" ht="14.0">
      <c r="A2043" t="s">
        <v>5084</v>
      </c>
      <c r="B2043" s="153" t="s">
        <v>5085</v>
      </c>
      <c r="C2043">
        <v>0.0</v>
      </c>
      <c r="D2043">
        <v>0.0</v>
      </c>
      <c r="F2043" t="s">
        <v>2942</v>
      </c>
      <c r="G2043" t="s">
        <v>2943</v>
      </c>
      <c r="H2043" t="s">
        <v>2944</v>
      </c>
      <c r="I2043" t="s">
        <v>5077</v>
      </c>
    </row>
    <row r="2044" customHeight="1" ht="14.0">
      <c r="A2044" t="s">
        <v>5086</v>
      </c>
      <c r="B2044" s="153" t="s">
        <v>5087</v>
      </c>
      <c r="C2044">
        <v>0.0</v>
      </c>
      <c r="D2044">
        <v>0.0</v>
      </c>
      <c r="F2044" t="s">
        <v>2942</v>
      </c>
      <c r="G2044" t="s">
        <v>2943</v>
      </c>
      <c r="H2044" t="s">
        <v>2944</v>
      </c>
      <c r="I2044" t="s">
        <v>799</v>
      </c>
    </row>
    <row r="2045" customHeight="1" ht="14.0">
      <c r="A2045" t="s">
        <v>5088</v>
      </c>
      <c r="B2045" s="153" t="s">
        <v>5089</v>
      </c>
      <c r="C2045">
        <v>0.0</v>
      </c>
      <c r="D2045">
        <v>0.0</v>
      </c>
      <c r="F2045" t="s">
        <v>2942</v>
      </c>
      <c r="G2045" t="s">
        <v>2943</v>
      </c>
      <c r="H2045" t="s">
        <v>2944</v>
      </c>
      <c r="I2045" t="s">
        <v>799</v>
      </c>
    </row>
    <row r="2046" customHeight="1" ht="14.0">
      <c r="A2046" t="s">
        <v>5090</v>
      </c>
      <c r="B2046" s="153" t="s">
        <v>5091</v>
      </c>
      <c r="C2046">
        <v>0.0</v>
      </c>
      <c r="D2046">
        <v>0.0</v>
      </c>
      <c r="F2046" t="s">
        <v>2994</v>
      </c>
      <c r="G2046" t="s">
        <v>2943</v>
      </c>
      <c r="H2046" t="s">
        <v>2944</v>
      </c>
      <c r="I2046" t="s">
        <v>799</v>
      </c>
    </row>
    <row r="2047" customHeight="1" ht="14.0">
      <c r="A2047" t="s">
        <v>5092</v>
      </c>
      <c r="B2047" s="153" t="s">
        <v>5093</v>
      </c>
      <c r="C2047">
        <v>0.0</v>
      </c>
      <c r="D2047">
        <v>0.0</v>
      </c>
      <c r="F2047" t="s">
        <v>2994</v>
      </c>
      <c r="G2047" t="s">
        <v>2943</v>
      </c>
      <c r="H2047" t="s">
        <v>2944</v>
      </c>
      <c r="I2047" t="s">
        <v>799</v>
      </c>
    </row>
    <row r="2048" customHeight="1" ht="14.0">
      <c r="A2048" t="s">
        <v>5094</v>
      </c>
      <c r="B2048" s="153" t="s">
        <v>5095</v>
      </c>
      <c r="C2048">
        <v>0.0</v>
      </c>
      <c r="D2048">
        <v>0.0</v>
      </c>
      <c r="F2048" t="s">
        <v>2942</v>
      </c>
      <c r="G2048" t="s">
        <v>2943</v>
      </c>
      <c r="H2048" t="s">
        <v>2944</v>
      </c>
      <c r="I2048" t="s">
        <v>799</v>
      </c>
    </row>
    <row r="2049" customHeight="1" ht="14.0">
      <c r="A2049" t="s">
        <v>5096</v>
      </c>
      <c r="B2049" s="153" t="s">
        <v>5097</v>
      </c>
      <c r="C2049">
        <v>0.0</v>
      </c>
      <c r="D2049">
        <v>0.0</v>
      </c>
      <c r="F2049" t="s">
        <v>2942</v>
      </c>
      <c r="G2049" t="s">
        <v>2943</v>
      </c>
      <c r="H2049" t="s">
        <v>2944</v>
      </c>
      <c r="I2049" t="s">
        <v>799</v>
      </c>
    </row>
    <row r="2050" customHeight="1" ht="14.0">
      <c r="A2050" t="s">
        <v>2062</v>
      </c>
      <c r="B2050" s="153" t="s">
        <v>2063</v>
      </c>
      <c r="C2050">
        <v>0.0</v>
      </c>
      <c r="D2050">
        <v>0.0</v>
      </c>
      <c r="F2050" t="s">
        <v>2942</v>
      </c>
      <c r="G2050" t="s">
        <v>2943</v>
      </c>
      <c r="H2050" t="s">
        <v>2963</v>
      </c>
      <c r="I2050" t="s">
        <v>799</v>
      </c>
    </row>
    <row r="2051" customHeight="1" ht="14.0">
      <c r="A2051" t="s">
        <v>2064</v>
      </c>
      <c r="B2051" s="153" t="s">
        <v>2065</v>
      </c>
      <c r="C2051">
        <v>0.0</v>
      </c>
      <c r="D2051">
        <v>0.0</v>
      </c>
      <c r="F2051" t="s">
        <v>2942</v>
      </c>
      <c r="G2051" t="s">
        <v>2943</v>
      </c>
      <c r="H2051" t="s">
        <v>2944</v>
      </c>
      <c r="I2051" t="s">
        <v>799</v>
      </c>
    </row>
    <row r="2052" customHeight="1" ht="14.0">
      <c r="A2052" t="s">
        <v>2066</v>
      </c>
      <c r="B2052" s="153" t="s">
        <v>2067</v>
      </c>
      <c r="C2052">
        <v>0.0</v>
      </c>
      <c r="D2052">
        <v>0.0</v>
      </c>
      <c r="F2052" t="s">
        <v>2942</v>
      </c>
      <c r="G2052" t="s">
        <v>2943</v>
      </c>
      <c r="H2052" t="s">
        <v>2963</v>
      </c>
      <c r="I2052" t="s">
        <v>799</v>
      </c>
    </row>
    <row r="2053" customHeight="1" ht="14.0">
      <c r="A2053" t="s">
        <v>5098</v>
      </c>
      <c r="B2053" s="153" t="s">
        <v>5099</v>
      </c>
      <c r="C2053">
        <v>0.0</v>
      </c>
      <c r="D2053">
        <v>0.0</v>
      </c>
      <c r="F2053" t="s">
        <v>2942</v>
      </c>
      <c r="G2053" t="s">
        <v>2943</v>
      </c>
      <c r="H2053" t="s">
        <v>2944</v>
      </c>
      <c r="I2053" t="s">
        <v>3134</v>
      </c>
    </row>
    <row r="2054" customHeight="1" ht="14.0">
      <c r="A2054" t="s">
        <v>2068</v>
      </c>
      <c r="B2054" s="153" t="s">
        <v>2069</v>
      </c>
      <c r="C2054">
        <v>180.0</v>
      </c>
      <c r="D2054">
        <v>879.34</v>
      </c>
      <c r="E2054">
        <v>4.8852</v>
      </c>
      <c r="F2054" t="s">
        <v>2942</v>
      </c>
      <c r="G2054" t="s">
        <v>2962</v>
      </c>
      <c r="H2054" t="s">
        <v>3005</v>
      </c>
      <c r="I2054" t="s">
        <v>3134</v>
      </c>
    </row>
    <row r="2055" customHeight="1" ht="14.0">
      <c r="A2055" t="s">
        <v>5100</v>
      </c>
      <c r="B2055" s="153" t="s">
        <v>5101</v>
      </c>
      <c r="C2055">
        <v>0.0</v>
      </c>
      <c r="D2055">
        <v>0.0</v>
      </c>
      <c r="F2055" t="s">
        <v>2942</v>
      </c>
      <c r="G2055" t="s">
        <v>2943</v>
      </c>
      <c r="H2055" t="s">
        <v>2944</v>
      </c>
      <c r="I2055" t="s">
        <v>228</v>
      </c>
    </row>
    <row r="2056" customHeight="1" ht="14.0">
      <c r="A2056" t="s">
        <v>451</v>
      </c>
      <c r="B2056" s="153" t="s">
        <v>452</v>
      </c>
      <c r="C2056">
        <v>2281.0</v>
      </c>
      <c r="D2056">
        <v>9999.05</v>
      </c>
      <c r="E2056">
        <v>4.3836</v>
      </c>
      <c r="F2056" t="s">
        <v>2942</v>
      </c>
      <c r="G2056" t="s">
        <v>2962</v>
      </c>
      <c r="H2056" t="s">
        <v>30</v>
      </c>
      <c r="I2056" t="s">
        <v>450</v>
      </c>
    </row>
    <row r="2057" customHeight="1" ht="14.0">
      <c r="A2057" t="s">
        <v>5102</v>
      </c>
      <c r="B2057" s="153" t="s">
        <v>5103</v>
      </c>
      <c r="C2057">
        <v>3000.0</v>
      </c>
      <c r="D2057">
        <v>772.92</v>
      </c>
      <c r="E2057">
        <v>0.2576</v>
      </c>
      <c r="F2057" t="s">
        <v>3197</v>
      </c>
      <c r="G2057" t="s">
        <v>2962</v>
      </c>
      <c r="H2057" t="s">
        <v>3198</v>
      </c>
    </row>
    <row r="2058" customHeight="1" ht="14.0">
      <c r="A2058" t="s">
        <v>2070</v>
      </c>
      <c r="B2058" s="153" t="s">
        <v>2071</v>
      </c>
      <c r="C2058">
        <v>4733.0</v>
      </c>
      <c r="D2058">
        <v>16495.91</v>
      </c>
      <c r="E2058">
        <v>3.4853</v>
      </c>
      <c r="F2058" t="s">
        <v>2942</v>
      </c>
      <c r="G2058" t="s">
        <v>2962</v>
      </c>
      <c r="H2058" t="s">
        <v>3155</v>
      </c>
      <c r="I2058" t="s">
        <v>3153</v>
      </c>
    </row>
    <row r="2059" customHeight="1" ht="14.0">
      <c r="A2059" t="s">
        <v>2072</v>
      </c>
      <c r="B2059" s="153" t="s">
        <v>2073</v>
      </c>
      <c r="C2059">
        <v>2863.0</v>
      </c>
      <c r="D2059">
        <v>10012.09</v>
      </c>
      <c r="E2059">
        <v>3.4971</v>
      </c>
      <c r="F2059" t="s">
        <v>2942</v>
      </c>
      <c r="G2059" t="s">
        <v>2962</v>
      </c>
      <c r="H2059" t="s">
        <v>3155</v>
      </c>
      <c r="I2059" t="s">
        <v>3153</v>
      </c>
    </row>
    <row r="2060" customHeight="1" ht="14.0">
      <c r="A2060" t="s">
        <v>2074</v>
      </c>
      <c r="B2060" s="153" t="s">
        <v>2075</v>
      </c>
      <c r="C2060">
        <v>2335.0</v>
      </c>
      <c r="D2060">
        <v>8088.19</v>
      </c>
      <c r="E2060">
        <v>3.4639</v>
      </c>
      <c r="F2060" t="s">
        <v>2942</v>
      </c>
      <c r="G2060" t="s">
        <v>2962</v>
      </c>
      <c r="H2060" t="s">
        <v>3155</v>
      </c>
      <c r="I2060" t="s">
        <v>3153</v>
      </c>
    </row>
    <row r="2061" customHeight="1" ht="14.0">
      <c r="A2061" t="s">
        <v>2076</v>
      </c>
      <c r="B2061" s="153" t="s">
        <v>2077</v>
      </c>
      <c r="C2061">
        <v>1714.0</v>
      </c>
      <c r="D2061">
        <v>5937.33</v>
      </c>
      <c r="E2061">
        <v>3.464</v>
      </c>
      <c r="F2061" t="s">
        <v>2942</v>
      </c>
      <c r="G2061" t="s">
        <v>2962</v>
      </c>
      <c r="H2061" t="s">
        <v>3155</v>
      </c>
      <c r="I2061" t="s">
        <v>3153</v>
      </c>
    </row>
    <row r="2062" customHeight="1" ht="14.0">
      <c r="A2062" t="s">
        <v>5104</v>
      </c>
      <c r="B2062" s="153" t="s">
        <v>5105</v>
      </c>
      <c r="C2062">
        <v>8.0</v>
      </c>
      <c r="D2062">
        <v>853.78</v>
      </c>
      <c r="E2062">
        <v>106.7225</v>
      </c>
      <c r="F2062" t="s">
        <v>2942</v>
      </c>
      <c r="G2062" t="s">
        <v>2962</v>
      </c>
      <c r="H2062" t="s">
        <v>3155</v>
      </c>
      <c r="I2062" t="s">
        <v>3153</v>
      </c>
    </row>
    <row r="2063" customHeight="1" ht="14.0">
      <c r="A2063" t="s">
        <v>5106</v>
      </c>
      <c r="B2063" s="153">
        <v>51537.0</v>
      </c>
      <c r="C2063">
        <v>0.0</v>
      </c>
      <c r="D2063">
        <v>0.0</v>
      </c>
      <c r="F2063" t="s">
        <v>2942</v>
      </c>
      <c r="G2063" t="s">
        <v>2943</v>
      </c>
      <c r="H2063" t="s">
        <v>2944</v>
      </c>
      <c r="I2063" t="s">
        <v>3783</v>
      </c>
    </row>
    <row r="2064" customHeight="1" ht="14.0">
      <c r="A2064" t="s">
        <v>5107</v>
      </c>
      <c r="B2064" s="153">
        <v>51536.0</v>
      </c>
      <c r="C2064">
        <v>0.0</v>
      </c>
      <c r="D2064">
        <v>0.0</v>
      </c>
      <c r="F2064" t="s">
        <v>2942</v>
      </c>
      <c r="G2064" t="s">
        <v>2943</v>
      </c>
      <c r="H2064" t="s">
        <v>2944</v>
      </c>
      <c r="I2064" t="s">
        <v>3783</v>
      </c>
    </row>
    <row r="2065" customHeight="1" ht="14.0">
      <c r="A2065" t="s">
        <v>5108</v>
      </c>
      <c r="B2065" s="153">
        <v>51543.0</v>
      </c>
      <c r="C2065">
        <v>0.0</v>
      </c>
      <c r="D2065">
        <v>0.0</v>
      </c>
      <c r="F2065" t="s">
        <v>2942</v>
      </c>
      <c r="G2065" t="s">
        <v>2943</v>
      </c>
      <c r="H2065" t="s">
        <v>2944</v>
      </c>
      <c r="I2065" t="s">
        <v>3783</v>
      </c>
    </row>
    <row r="2066" customHeight="1" ht="14.0">
      <c r="A2066" t="s">
        <v>5109</v>
      </c>
      <c r="B2066" s="153">
        <v>34601.0</v>
      </c>
      <c r="C2066">
        <v>0.0</v>
      </c>
      <c r="D2066">
        <v>0.0</v>
      </c>
      <c r="F2066" t="s">
        <v>2942</v>
      </c>
      <c r="G2066" t="s">
        <v>2943</v>
      </c>
      <c r="H2066" t="s">
        <v>2944</v>
      </c>
      <c r="I2066" t="s">
        <v>228</v>
      </c>
    </row>
    <row r="2067" customHeight="1" ht="14.0">
      <c r="A2067" t="s">
        <v>5110</v>
      </c>
      <c r="B2067" s="153">
        <v>34602.0</v>
      </c>
      <c r="C2067">
        <v>0.0</v>
      </c>
      <c r="D2067">
        <v>0.0</v>
      </c>
      <c r="F2067" t="s">
        <v>2942</v>
      </c>
      <c r="G2067" t="s">
        <v>2943</v>
      </c>
      <c r="H2067" t="s">
        <v>2944</v>
      </c>
      <c r="I2067" t="s">
        <v>228</v>
      </c>
    </row>
    <row r="2068" customHeight="1" ht="14.0">
      <c r="A2068" t="s">
        <v>5111</v>
      </c>
      <c r="B2068" s="153">
        <v>34603.0</v>
      </c>
      <c r="C2068">
        <v>0.0</v>
      </c>
      <c r="D2068">
        <v>0.0</v>
      </c>
      <c r="F2068" t="s">
        <v>2942</v>
      </c>
      <c r="G2068" t="s">
        <v>2943</v>
      </c>
      <c r="H2068" t="s">
        <v>2944</v>
      </c>
      <c r="I2068" t="s">
        <v>228</v>
      </c>
    </row>
    <row r="2069" customHeight="1" ht="14.0">
      <c r="A2069" t="s">
        <v>5112</v>
      </c>
      <c r="B2069" s="153">
        <v>34604.0</v>
      </c>
      <c r="C2069">
        <v>0.0</v>
      </c>
      <c r="D2069">
        <v>0.0</v>
      </c>
      <c r="F2069" t="s">
        <v>2942</v>
      </c>
      <c r="G2069" t="s">
        <v>2943</v>
      </c>
      <c r="H2069" t="s">
        <v>2944</v>
      </c>
      <c r="I2069" t="s">
        <v>228</v>
      </c>
    </row>
    <row r="2070" customHeight="1" ht="14.0">
      <c r="A2070" t="s">
        <v>5113</v>
      </c>
      <c r="B2070" s="153">
        <v>34605.0</v>
      </c>
      <c r="C2070">
        <v>0.0</v>
      </c>
      <c r="D2070">
        <v>0.0</v>
      </c>
      <c r="F2070" t="s">
        <v>2942</v>
      </c>
      <c r="G2070" t="s">
        <v>2943</v>
      </c>
      <c r="H2070" t="s">
        <v>2944</v>
      </c>
      <c r="I2070" t="s">
        <v>228</v>
      </c>
    </row>
    <row r="2071" customHeight="1" ht="14.0">
      <c r="A2071" t="s">
        <v>5114</v>
      </c>
      <c r="B2071" s="153">
        <v>34606.0</v>
      </c>
      <c r="C2071">
        <v>0.0</v>
      </c>
      <c r="D2071">
        <v>0.0</v>
      </c>
      <c r="F2071" t="s">
        <v>2942</v>
      </c>
      <c r="G2071" t="s">
        <v>2943</v>
      </c>
      <c r="H2071" t="s">
        <v>2944</v>
      </c>
      <c r="I2071" t="s">
        <v>228</v>
      </c>
    </row>
    <row r="2072" customHeight="1" ht="14.0">
      <c r="A2072" t="s">
        <v>5115</v>
      </c>
      <c r="B2072" s="153">
        <v>34505.0</v>
      </c>
      <c r="C2072">
        <v>0.0</v>
      </c>
      <c r="D2072">
        <v>0.0</v>
      </c>
      <c r="F2072" t="s">
        <v>2942</v>
      </c>
      <c r="G2072" t="s">
        <v>2943</v>
      </c>
      <c r="H2072" t="s">
        <v>2944</v>
      </c>
      <c r="I2072" t="s">
        <v>83</v>
      </c>
    </row>
    <row r="2073" customHeight="1" ht="14.0">
      <c r="A2073" t="s">
        <v>5116</v>
      </c>
      <c r="B2073" s="153">
        <v>34510.0</v>
      </c>
      <c r="C2073">
        <v>0.0</v>
      </c>
      <c r="D2073">
        <v>0.0</v>
      </c>
      <c r="F2073" t="s">
        <v>2942</v>
      </c>
      <c r="G2073" t="s">
        <v>2943</v>
      </c>
      <c r="H2073" t="s">
        <v>2944</v>
      </c>
      <c r="I2073" t="s">
        <v>83</v>
      </c>
    </row>
    <row r="2074" customHeight="1" ht="14.0">
      <c r="A2074" t="s">
        <v>5117</v>
      </c>
      <c r="B2074" s="153">
        <v>34519.0</v>
      </c>
      <c r="C2074">
        <v>0.0</v>
      </c>
      <c r="D2074">
        <v>0.0</v>
      </c>
      <c r="F2074" t="s">
        <v>2942</v>
      </c>
      <c r="G2074" t="s">
        <v>2943</v>
      </c>
      <c r="H2074" t="s">
        <v>2944</v>
      </c>
      <c r="I2074" t="s">
        <v>83</v>
      </c>
    </row>
    <row r="2075" customHeight="1" ht="14.0">
      <c r="A2075" t="s">
        <v>5118</v>
      </c>
      <c r="B2075" s="153">
        <v>34509.0</v>
      </c>
      <c r="C2075">
        <v>0.0</v>
      </c>
      <c r="D2075">
        <v>0.0</v>
      </c>
      <c r="F2075" t="s">
        <v>2942</v>
      </c>
      <c r="G2075" t="s">
        <v>2943</v>
      </c>
      <c r="H2075" t="s">
        <v>2944</v>
      </c>
      <c r="I2075" t="s">
        <v>83</v>
      </c>
    </row>
    <row r="2076" customHeight="1" ht="14.0">
      <c r="A2076" t="s">
        <v>2078</v>
      </c>
      <c r="B2076" s="153" t="s">
        <v>2079</v>
      </c>
      <c r="C2076">
        <v>0.0</v>
      </c>
      <c r="D2076">
        <v>0.0</v>
      </c>
      <c r="F2076" t="s">
        <v>2942</v>
      </c>
      <c r="G2076" t="s">
        <v>2943</v>
      </c>
      <c r="H2076" t="s">
        <v>2944</v>
      </c>
      <c r="I2076" t="s">
        <v>228</v>
      </c>
    </row>
    <row r="2077" customHeight="1" ht="14.0">
      <c r="A2077" t="s">
        <v>5119</v>
      </c>
      <c r="B2077" s="153" t="s">
        <v>5120</v>
      </c>
      <c r="C2077">
        <v>0.0</v>
      </c>
      <c r="D2077">
        <v>0.0</v>
      </c>
      <c r="F2077" t="s">
        <v>2942</v>
      </c>
      <c r="G2077" t="s">
        <v>2943</v>
      </c>
      <c r="H2077" t="s">
        <v>2944</v>
      </c>
      <c r="I2077" t="s">
        <v>83</v>
      </c>
    </row>
    <row r="2078" customHeight="1" ht="14.0">
      <c r="A2078" t="s">
        <v>5121</v>
      </c>
      <c r="B2078" s="153" t="s">
        <v>5122</v>
      </c>
      <c r="C2078">
        <v>0.0</v>
      </c>
      <c r="D2078">
        <v>0.0</v>
      </c>
      <c r="F2078" t="s">
        <v>2942</v>
      </c>
      <c r="G2078" t="s">
        <v>2943</v>
      </c>
      <c r="H2078" t="s">
        <v>2944</v>
      </c>
      <c r="I2078" t="s">
        <v>83</v>
      </c>
    </row>
    <row r="2079" customHeight="1" ht="14.0">
      <c r="A2079" t="s">
        <v>5123</v>
      </c>
      <c r="B2079" s="153" t="s">
        <v>5124</v>
      </c>
      <c r="C2079">
        <v>0.0</v>
      </c>
      <c r="D2079">
        <v>0.0</v>
      </c>
      <c r="F2079" t="s">
        <v>2942</v>
      </c>
      <c r="G2079" t="s">
        <v>2943</v>
      </c>
      <c r="H2079" t="s">
        <v>2944</v>
      </c>
      <c r="I2079" t="s">
        <v>83</v>
      </c>
    </row>
    <row r="2080" customHeight="1" ht="14.0">
      <c r="A2080" t="s">
        <v>5125</v>
      </c>
      <c r="B2080" s="153" t="s">
        <v>5126</v>
      </c>
      <c r="C2080">
        <v>0.0</v>
      </c>
      <c r="D2080">
        <v>0.0</v>
      </c>
      <c r="F2080" t="s">
        <v>2942</v>
      </c>
      <c r="G2080" t="s">
        <v>2943</v>
      </c>
      <c r="H2080" t="s">
        <v>2944</v>
      </c>
      <c r="I2080" t="s">
        <v>83</v>
      </c>
    </row>
    <row r="2081" customHeight="1" ht="14.0">
      <c r="A2081" t="s">
        <v>5127</v>
      </c>
      <c r="B2081" s="153" t="s">
        <v>5128</v>
      </c>
      <c r="C2081">
        <v>0.0</v>
      </c>
      <c r="D2081">
        <v>0.0</v>
      </c>
      <c r="F2081" t="s">
        <v>2942</v>
      </c>
      <c r="G2081" t="s">
        <v>2943</v>
      </c>
      <c r="H2081" t="s">
        <v>2944</v>
      </c>
      <c r="I2081" t="s">
        <v>83</v>
      </c>
    </row>
    <row r="2082" customHeight="1" ht="14.0">
      <c r="A2082" t="s">
        <v>5129</v>
      </c>
      <c r="B2082" s="153" t="s">
        <v>5130</v>
      </c>
      <c r="C2082">
        <v>0.0</v>
      </c>
      <c r="D2082">
        <v>0.0</v>
      </c>
      <c r="F2082" t="s">
        <v>2942</v>
      </c>
      <c r="G2082" t="s">
        <v>2943</v>
      </c>
      <c r="H2082" t="s">
        <v>2944</v>
      </c>
      <c r="I2082" t="s">
        <v>83</v>
      </c>
    </row>
    <row r="2083" customHeight="1" ht="14.0">
      <c r="A2083" t="s">
        <v>5131</v>
      </c>
      <c r="B2083" s="153" t="s">
        <v>5132</v>
      </c>
      <c r="C2083">
        <v>0.0</v>
      </c>
      <c r="D2083">
        <v>0.0</v>
      </c>
      <c r="F2083" t="s">
        <v>2942</v>
      </c>
      <c r="G2083" t="s">
        <v>2943</v>
      </c>
      <c r="H2083" t="s">
        <v>2944</v>
      </c>
      <c r="I2083" t="s">
        <v>83</v>
      </c>
    </row>
    <row r="2084" customHeight="1" ht="14.0">
      <c r="A2084" t="s">
        <v>2080</v>
      </c>
      <c r="B2084" s="153" t="s">
        <v>2081</v>
      </c>
      <c r="C2084">
        <v>0.0</v>
      </c>
      <c r="D2084">
        <v>0.0</v>
      </c>
      <c r="F2084" t="s">
        <v>2942</v>
      </c>
      <c r="G2084" t="s">
        <v>2943</v>
      </c>
      <c r="H2084" t="s">
        <v>2944</v>
      </c>
      <c r="I2084" t="s">
        <v>83</v>
      </c>
    </row>
    <row r="2085" customHeight="1" ht="14.0">
      <c r="A2085" t="s">
        <v>5133</v>
      </c>
      <c r="B2085" s="153" t="s">
        <v>5134</v>
      </c>
      <c r="C2085">
        <v>0.0</v>
      </c>
      <c r="D2085">
        <v>0.0</v>
      </c>
      <c r="F2085" t="s">
        <v>2942</v>
      </c>
      <c r="G2085" t="s">
        <v>2943</v>
      </c>
      <c r="H2085" t="s">
        <v>2944</v>
      </c>
      <c r="I2085" t="s">
        <v>83</v>
      </c>
    </row>
    <row r="2086" customHeight="1" ht="14.0">
      <c r="A2086" t="s">
        <v>5135</v>
      </c>
      <c r="B2086" s="153" t="s">
        <v>5136</v>
      </c>
      <c r="C2086">
        <v>0.0</v>
      </c>
      <c r="D2086">
        <v>0.0</v>
      </c>
      <c r="F2086" t="s">
        <v>2942</v>
      </c>
      <c r="G2086" t="s">
        <v>2943</v>
      </c>
      <c r="H2086" t="s">
        <v>2944</v>
      </c>
      <c r="I2086" t="s">
        <v>83</v>
      </c>
    </row>
    <row r="2087" customHeight="1" ht="14.0">
      <c r="A2087" t="s">
        <v>5137</v>
      </c>
      <c r="B2087" s="153" t="s">
        <v>5138</v>
      </c>
      <c r="C2087">
        <v>0.0</v>
      </c>
      <c r="D2087">
        <v>0.0</v>
      </c>
      <c r="F2087" t="s">
        <v>2942</v>
      </c>
      <c r="G2087" t="s">
        <v>2943</v>
      </c>
      <c r="H2087" t="s">
        <v>2944</v>
      </c>
      <c r="I2087" t="s">
        <v>83</v>
      </c>
    </row>
    <row r="2088" customHeight="1" ht="14.0">
      <c r="A2088" t="s">
        <v>5139</v>
      </c>
      <c r="B2088" s="153" t="s">
        <v>5140</v>
      </c>
      <c r="C2088">
        <v>0.0</v>
      </c>
      <c r="D2088">
        <v>0.0</v>
      </c>
      <c r="F2088" t="s">
        <v>2942</v>
      </c>
      <c r="G2088" t="s">
        <v>2943</v>
      </c>
      <c r="H2088" t="s">
        <v>2944</v>
      </c>
      <c r="I2088" t="s">
        <v>83</v>
      </c>
    </row>
    <row r="2089" customHeight="1" ht="14.0">
      <c r="A2089" t="s">
        <v>5141</v>
      </c>
      <c r="B2089" s="153" t="s">
        <v>5142</v>
      </c>
      <c r="C2089">
        <v>0.0</v>
      </c>
      <c r="D2089">
        <v>0.0</v>
      </c>
      <c r="F2089" t="s">
        <v>2994</v>
      </c>
      <c r="G2089" t="s">
        <v>2943</v>
      </c>
      <c r="H2089" t="s">
        <v>2944</v>
      </c>
      <c r="I2089" t="s">
        <v>83</v>
      </c>
    </row>
    <row r="2090" customHeight="1" ht="14.0">
      <c r="A2090" t="s">
        <v>5143</v>
      </c>
      <c r="B2090" s="153" t="s">
        <v>5144</v>
      </c>
      <c r="C2090">
        <v>0.0</v>
      </c>
      <c r="D2090">
        <v>0.0</v>
      </c>
      <c r="F2090" t="s">
        <v>2942</v>
      </c>
      <c r="G2090" t="s">
        <v>2943</v>
      </c>
      <c r="H2090" t="s">
        <v>2944</v>
      </c>
      <c r="I2090" t="s">
        <v>197</v>
      </c>
    </row>
    <row r="2091" customHeight="1" ht="14.0">
      <c r="A2091" t="s">
        <v>5145</v>
      </c>
      <c r="B2091" s="153">
        <v>91801.0</v>
      </c>
      <c r="C2091">
        <v>0.0</v>
      </c>
      <c r="D2091">
        <v>0.0</v>
      </c>
      <c r="F2091" t="s">
        <v>2942</v>
      </c>
      <c r="G2091" t="s">
        <v>2943</v>
      </c>
      <c r="H2091" t="s">
        <v>2944</v>
      </c>
      <c r="I2091" t="s">
        <v>3708</v>
      </c>
    </row>
    <row r="2092" customHeight="1" ht="14.0">
      <c r="A2092" t="s">
        <v>5146</v>
      </c>
      <c r="B2092" s="153">
        <v>91803.0</v>
      </c>
      <c r="C2092">
        <v>0.0</v>
      </c>
      <c r="D2092">
        <v>0.0</v>
      </c>
      <c r="F2092" t="s">
        <v>2942</v>
      </c>
      <c r="G2092" t="s">
        <v>2943</v>
      </c>
      <c r="H2092" t="s">
        <v>2944</v>
      </c>
      <c r="I2092" t="s">
        <v>3708</v>
      </c>
    </row>
    <row r="2093" customHeight="1" ht="14.0">
      <c r="A2093" t="s">
        <v>5147</v>
      </c>
      <c r="B2093" s="153">
        <v>91804.0</v>
      </c>
      <c r="C2093">
        <v>0.0</v>
      </c>
      <c r="D2093">
        <v>0.0</v>
      </c>
      <c r="F2093" t="s">
        <v>2942</v>
      </c>
      <c r="G2093" t="s">
        <v>2943</v>
      </c>
      <c r="H2093" t="s">
        <v>2944</v>
      </c>
      <c r="I2093" t="s">
        <v>3708</v>
      </c>
    </row>
    <row r="2094" customHeight="1" ht="14.0">
      <c r="A2094" t="s">
        <v>5148</v>
      </c>
      <c r="B2094" s="153">
        <v>91802.0</v>
      </c>
      <c r="C2094">
        <v>0.0</v>
      </c>
      <c r="D2094">
        <v>0.0</v>
      </c>
      <c r="F2094" t="s">
        <v>2942</v>
      </c>
      <c r="G2094" t="s">
        <v>2943</v>
      </c>
      <c r="H2094" t="s">
        <v>2944</v>
      </c>
      <c r="I2094" t="s">
        <v>3708</v>
      </c>
    </row>
    <row r="2095" customHeight="1" ht="14.0">
      <c r="A2095" t="s">
        <v>5149</v>
      </c>
      <c r="B2095" s="153" t="s">
        <v>5150</v>
      </c>
      <c r="C2095">
        <v>0.0</v>
      </c>
      <c r="D2095">
        <v>0.0</v>
      </c>
      <c r="F2095" t="s">
        <v>2942</v>
      </c>
      <c r="G2095" t="s">
        <v>2943</v>
      </c>
      <c r="H2095" t="s">
        <v>2944</v>
      </c>
      <c r="I2095" t="s">
        <v>197</v>
      </c>
    </row>
    <row r="2096" customHeight="1" ht="14.0">
      <c r="A2096" t="s">
        <v>5151</v>
      </c>
      <c r="B2096" s="153" t="s">
        <v>5152</v>
      </c>
      <c r="C2096">
        <v>12.0</v>
      </c>
      <c r="D2096">
        <v>6.48</v>
      </c>
      <c r="E2096">
        <v>0.54</v>
      </c>
      <c r="F2096" t="s">
        <v>2942</v>
      </c>
      <c r="G2096" t="s">
        <v>2962</v>
      </c>
      <c r="H2096" t="s">
        <v>3161</v>
      </c>
      <c r="I2096" t="s">
        <v>3366</v>
      </c>
    </row>
    <row r="2097" customHeight="1" ht="14.0">
      <c r="A2097" t="s">
        <v>5153</v>
      </c>
      <c r="B2097" s="153" t="s">
        <v>5154</v>
      </c>
      <c r="C2097">
        <v>1.0</v>
      </c>
      <c r="D2097">
        <v>34.67</v>
      </c>
      <c r="E2097">
        <v>34.67</v>
      </c>
      <c r="F2097" t="s">
        <v>2942</v>
      </c>
      <c r="G2097" t="s">
        <v>2962</v>
      </c>
      <c r="I2097" t="s">
        <v>197</v>
      </c>
    </row>
    <row r="2098" customHeight="1" ht="14.0">
      <c r="A2098" t="s">
        <v>2082</v>
      </c>
      <c r="B2098" s="153" t="s">
        <v>2083</v>
      </c>
      <c r="C2098">
        <v>0.0</v>
      </c>
      <c r="D2098">
        <v>0.0</v>
      </c>
      <c r="F2098" t="s">
        <v>2942</v>
      </c>
      <c r="G2098" t="s">
        <v>2943</v>
      </c>
      <c r="H2098" t="s">
        <v>2963</v>
      </c>
      <c r="I2098" t="s">
        <v>3803</v>
      </c>
    </row>
    <row r="2099" customHeight="1" ht="14.0">
      <c r="A2099" t="s">
        <v>2084</v>
      </c>
      <c r="B2099" s="153" t="s">
        <v>2085</v>
      </c>
      <c r="C2099">
        <v>0.0</v>
      </c>
      <c r="D2099">
        <v>0.0</v>
      </c>
      <c r="F2099" t="s">
        <v>2942</v>
      </c>
      <c r="G2099" t="s">
        <v>2943</v>
      </c>
      <c r="H2099" t="s">
        <v>2963</v>
      </c>
      <c r="I2099" t="s">
        <v>3803</v>
      </c>
    </row>
    <row r="2100" customHeight="1" ht="14.0">
      <c r="A2100" t="s">
        <v>5155</v>
      </c>
      <c r="B2100" s="153" t="s">
        <v>5156</v>
      </c>
      <c r="C2100">
        <v>340.0</v>
      </c>
      <c r="D2100">
        <v>903.03</v>
      </c>
      <c r="E2100">
        <v>2.656</v>
      </c>
      <c r="F2100" t="s">
        <v>2942</v>
      </c>
      <c r="G2100" t="s">
        <v>2962</v>
      </c>
      <c r="H2100" t="s">
        <v>2984</v>
      </c>
      <c r="I2100" t="s">
        <v>5157</v>
      </c>
    </row>
    <row r="2101" customHeight="1" ht="14.0">
      <c r="A2101" t="s">
        <v>5158</v>
      </c>
      <c r="B2101" s="153" t="s">
        <v>5159</v>
      </c>
      <c r="C2101">
        <v>416.0</v>
      </c>
      <c r="D2101">
        <v>1105.0</v>
      </c>
      <c r="E2101">
        <v>2.6563</v>
      </c>
      <c r="F2101" t="s">
        <v>2942</v>
      </c>
      <c r="G2101" t="s">
        <v>2962</v>
      </c>
      <c r="H2101" t="s">
        <v>2984</v>
      </c>
      <c r="I2101" t="s">
        <v>5157</v>
      </c>
    </row>
    <row r="2102" customHeight="1" ht="14.0">
      <c r="A2102" t="s">
        <v>5160</v>
      </c>
      <c r="B2102" s="153" t="s">
        <v>5161</v>
      </c>
      <c r="C2102">
        <v>456.0</v>
      </c>
      <c r="D2102">
        <v>1211.29</v>
      </c>
      <c r="E2102">
        <v>2.6563</v>
      </c>
      <c r="F2102" t="s">
        <v>2942</v>
      </c>
      <c r="G2102" t="s">
        <v>2962</v>
      </c>
      <c r="H2102" t="s">
        <v>2984</v>
      </c>
      <c r="I2102" t="s">
        <v>5157</v>
      </c>
    </row>
    <row r="2103" customHeight="1" ht="14.0">
      <c r="A2103" t="s">
        <v>5162</v>
      </c>
      <c r="B2103" s="153" t="s">
        <v>5163</v>
      </c>
      <c r="C2103">
        <v>361.0</v>
      </c>
      <c r="D2103">
        <v>958.85</v>
      </c>
      <c r="E2103">
        <v>2.6561</v>
      </c>
      <c r="F2103" t="s">
        <v>2942</v>
      </c>
      <c r="G2103" t="s">
        <v>2962</v>
      </c>
      <c r="H2103" t="s">
        <v>2984</v>
      </c>
      <c r="I2103" t="s">
        <v>5157</v>
      </c>
    </row>
    <row r="2104" customHeight="1" ht="14.0">
      <c r="A2104" t="s">
        <v>5164</v>
      </c>
      <c r="B2104" s="153" t="s">
        <v>5165</v>
      </c>
      <c r="C2104">
        <v>413.0</v>
      </c>
      <c r="D2104">
        <v>1097.0</v>
      </c>
      <c r="E2104">
        <v>2.6562</v>
      </c>
      <c r="F2104" t="s">
        <v>2942</v>
      </c>
      <c r="G2104" t="s">
        <v>2962</v>
      </c>
      <c r="H2104" t="s">
        <v>2984</v>
      </c>
      <c r="I2104" t="s">
        <v>5157</v>
      </c>
    </row>
    <row r="2105" customHeight="1" ht="14.0">
      <c r="A2105" t="s">
        <v>5166</v>
      </c>
      <c r="B2105" s="153" t="s">
        <v>5167</v>
      </c>
      <c r="C2105">
        <v>360.0</v>
      </c>
      <c r="D2105">
        <v>956.23</v>
      </c>
      <c r="E2105">
        <v>2.6562</v>
      </c>
      <c r="F2105" t="s">
        <v>2942</v>
      </c>
      <c r="G2105" t="s">
        <v>2962</v>
      </c>
      <c r="H2105" t="s">
        <v>2984</v>
      </c>
      <c r="I2105" t="s">
        <v>5157</v>
      </c>
    </row>
    <row r="2106" customHeight="1" ht="14.0">
      <c r="A2106" t="s">
        <v>5168</v>
      </c>
      <c r="B2106" s="153" t="s">
        <v>5169</v>
      </c>
      <c r="C2106">
        <v>0.0</v>
      </c>
      <c r="D2106">
        <v>0.0</v>
      </c>
      <c r="F2106" t="s">
        <v>2942</v>
      </c>
      <c r="G2106" t="s">
        <v>2943</v>
      </c>
      <c r="H2106" t="s">
        <v>2944</v>
      </c>
      <c r="I2106" t="s">
        <v>3179</v>
      </c>
    </row>
    <row r="2107" customHeight="1" ht="14.0">
      <c r="A2107" t="s">
        <v>5170</v>
      </c>
      <c r="B2107" s="153" t="s">
        <v>5171</v>
      </c>
      <c r="C2107">
        <v>0.0</v>
      </c>
      <c r="D2107">
        <v>0.0</v>
      </c>
      <c r="F2107" t="s">
        <v>2942</v>
      </c>
      <c r="G2107" t="s">
        <v>2943</v>
      </c>
      <c r="H2107" t="s">
        <v>2944</v>
      </c>
      <c r="I2107" t="s">
        <v>3179</v>
      </c>
    </row>
    <row r="2108" customHeight="1" ht="14.0">
      <c r="A2108" t="s">
        <v>5172</v>
      </c>
      <c r="B2108" s="153" t="s">
        <v>5173</v>
      </c>
      <c r="C2108">
        <v>0.0</v>
      </c>
      <c r="D2108">
        <v>0.0</v>
      </c>
      <c r="F2108" t="s">
        <v>2942</v>
      </c>
      <c r="G2108" t="s">
        <v>2943</v>
      </c>
      <c r="H2108" t="s">
        <v>2944</v>
      </c>
      <c r="I2108" t="s">
        <v>3179</v>
      </c>
    </row>
    <row r="2109" customHeight="1" ht="14.0">
      <c r="A2109" t="s">
        <v>5174</v>
      </c>
      <c r="B2109" s="153" t="s">
        <v>5175</v>
      </c>
      <c r="C2109">
        <v>400.0</v>
      </c>
      <c r="D2109">
        <v>329.64</v>
      </c>
      <c r="E2109">
        <v>0.8241</v>
      </c>
      <c r="F2109" t="s">
        <v>2942</v>
      </c>
      <c r="G2109" t="s">
        <v>2943</v>
      </c>
      <c r="H2109" t="s">
        <v>2963</v>
      </c>
      <c r="I2109" t="s">
        <v>344</v>
      </c>
    </row>
    <row r="2110" customHeight="1" ht="14.0">
      <c r="A2110" t="s">
        <v>5176</v>
      </c>
      <c r="B2110" s="153" t="s">
        <v>5177</v>
      </c>
      <c r="C2110">
        <v>0.0</v>
      </c>
      <c r="D2110">
        <v>0.0</v>
      </c>
      <c r="F2110" t="s">
        <v>2942</v>
      </c>
      <c r="G2110" t="s">
        <v>2962</v>
      </c>
      <c r="H2110" t="s">
        <v>2963</v>
      </c>
      <c r="I2110" t="s">
        <v>207</v>
      </c>
    </row>
    <row r="2111" customHeight="1" ht="14.0">
      <c r="A2111" t="s">
        <v>5178</v>
      </c>
      <c r="B2111" s="153" t="s">
        <v>5179</v>
      </c>
      <c r="C2111">
        <v>0.0</v>
      </c>
      <c r="D2111">
        <v>0.0</v>
      </c>
      <c r="F2111" t="s">
        <v>2942</v>
      </c>
      <c r="G2111" t="s">
        <v>2943</v>
      </c>
      <c r="H2111" t="s">
        <v>2963</v>
      </c>
      <c r="I2111" t="s">
        <v>4067</v>
      </c>
    </row>
    <row r="2112" customHeight="1" ht="14.0">
      <c r="A2112" t="s">
        <v>5180</v>
      </c>
      <c r="B2112" s="153" t="s">
        <v>5181</v>
      </c>
      <c r="C2112">
        <v>0.0</v>
      </c>
      <c r="D2112">
        <v>0.0</v>
      </c>
      <c r="F2112" t="s">
        <v>2942</v>
      </c>
      <c r="G2112" t="s">
        <v>2943</v>
      </c>
      <c r="H2112" t="s">
        <v>2963</v>
      </c>
      <c r="I2112" t="s">
        <v>4067</v>
      </c>
    </row>
    <row r="2113" customHeight="1" ht="14.0">
      <c r="A2113" t="s">
        <v>5182</v>
      </c>
      <c r="B2113" s="153" t="s">
        <v>5183</v>
      </c>
      <c r="C2113">
        <v>0.0</v>
      </c>
      <c r="D2113">
        <v>0.0</v>
      </c>
      <c r="F2113" t="s">
        <v>2942</v>
      </c>
      <c r="G2113" t="s">
        <v>2943</v>
      </c>
      <c r="H2113" t="s">
        <v>2963</v>
      </c>
      <c r="I2113" t="s">
        <v>3690</v>
      </c>
    </row>
    <row r="2114" customHeight="1" ht="14.0">
      <c r="A2114" t="s">
        <v>5184</v>
      </c>
      <c r="B2114" s="153" t="s">
        <v>5185</v>
      </c>
      <c r="C2114">
        <v>0.0</v>
      </c>
      <c r="D2114">
        <v>0.0</v>
      </c>
      <c r="F2114" t="s">
        <v>2942</v>
      </c>
      <c r="G2114" t="s">
        <v>2962</v>
      </c>
      <c r="H2114" t="s">
        <v>2963</v>
      </c>
      <c r="I2114" t="s">
        <v>4067</v>
      </c>
    </row>
    <row r="2115" customHeight="1" ht="14.0">
      <c r="A2115" t="s">
        <v>5186</v>
      </c>
      <c r="B2115" s="153" t="s">
        <v>5187</v>
      </c>
      <c r="C2115">
        <v>0.0</v>
      </c>
      <c r="D2115">
        <v>0.0</v>
      </c>
      <c r="F2115" t="s">
        <v>2942</v>
      </c>
      <c r="G2115" t="s">
        <v>2962</v>
      </c>
      <c r="H2115" t="s">
        <v>2963</v>
      </c>
      <c r="I2115" t="s">
        <v>4067</v>
      </c>
    </row>
    <row r="2116" customHeight="1" ht="14.0">
      <c r="A2116" t="s">
        <v>5188</v>
      </c>
      <c r="B2116" s="153" t="s">
        <v>5189</v>
      </c>
      <c r="C2116">
        <v>0.0</v>
      </c>
      <c r="D2116">
        <v>0.0</v>
      </c>
      <c r="F2116" t="s">
        <v>2942</v>
      </c>
      <c r="G2116" t="s">
        <v>2962</v>
      </c>
      <c r="H2116" t="s">
        <v>2963</v>
      </c>
      <c r="I2116" t="s">
        <v>3687</v>
      </c>
    </row>
    <row r="2117" customHeight="1" ht="14.0">
      <c r="A2117" t="s">
        <v>5190</v>
      </c>
      <c r="B2117" s="153" t="s">
        <v>5191</v>
      </c>
      <c r="C2117">
        <v>0.0</v>
      </c>
      <c r="D2117">
        <v>0.0</v>
      </c>
      <c r="F2117" t="s">
        <v>2942</v>
      </c>
      <c r="G2117" t="s">
        <v>2962</v>
      </c>
      <c r="H2117" t="s">
        <v>2963</v>
      </c>
      <c r="I2117" t="s">
        <v>4067</v>
      </c>
    </row>
    <row r="2118" customHeight="1" ht="14.0">
      <c r="A2118" t="s">
        <v>5192</v>
      </c>
      <c r="B2118" s="153" t="s">
        <v>5193</v>
      </c>
      <c r="C2118">
        <v>0.0</v>
      </c>
      <c r="D2118">
        <v>0.0</v>
      </c>
      <c r="F2118" t="s">
        <v>2942</v>
      </c>
      <c r="G2118" t="s">
        <v>2962</v>
      </c>
      <c r="H2118" t="s">
        <v>2963</v>
      </c>
      <c r="I2118" t="s">
        <v>4067</v>
      </c>
    </row>
    <row r="2119" customHeight="1" ht="14.0">
      <c r="A2119" t="s">
        <v>5194</v>
      </c>
      <c r="B2119" s="153" t="s">
        <v>5195</v>
      </c>
      <c r="C2119">
        <v>0.0</v>
      </c>
      <c r="D2119">
        <v>0.0</v>
      </c>
      <c r="F2119" t="s">
        <v>2942</v>
      </c>
      <c r="G2119" t="s">
        <v>2943</v>
      </c>
      <c r="H2119" t="s">
        <v>2963</v>
      </c>
      <c r="I2119" t="s">
        <v>344</v>
      </c>
    </row>
    <row r="2120" customHeight="1" ht="14.0">
      <c r="A2120" t="s">
        <v>5196</v>
      </c>
      <c r="B2120" s="153" t="s">
        <v>5197</v>
      </c>
      <c r="C2120">
        <v>0.0</v>
      </c>
      <c r="D2120">
        <v>0.0</v>
      </c>
      <c r="F2120" t="s">
        <v>2942</v>
      </c>
      <c r="G2120" t="s">
        <v>2943</v>
      </c>
      <c r="H2120" t="s">
        <v>2963</v>
      </c>
      <c r="I2120" t="s">
        <v>207</v>
      </c>
    </row>
    <row r="2121" customHeight="1" ht="14.0">
      <c r="A2121" t="s">
        <v>5198</v>
      </c>
      <c r="B2121" s="153" t="s">
        <v>5199</v>
      </c>
      <c r="C2121">
        <v>0.0</v>
      </c>
      <c r="D2121">
        <v>0.0</v>
      </c>
      <c r="F2121" t="s">
        <v>2942</v>
      </c>
      <c r="G2121" t="s">
        <v>2962</v>
      </c>
      <c r="H2121" t="s">
        <v>2963</v>
      </c>
      <c r="I2121" t="s">
        <v>4067</v>
      </c>
    </row>
    <row r="2122" customHeight="1" ht="14.0">
      <c r="A2122" t="s">
        <v>5200</v>
      </c>
      <c r="B2122" s="153" t="s">
        <v>5201</v>
      </c>
      <c r="C2122">
        <v>0.0</v>
      </c>
      <c r="D2122">
        <v>0.0</v>
      </c>
      <c r="F2122" t="s">
        <v>2942</v>
      </c>
      <c r="G2122" t="s">
        <v>2943</v>
      </c>
      <c r="H2122" t="s">
        <v>2963</v>
      </c>
      <c r="I2122" t="s">
        <v>4067</v>
      </c>
    </row>
    <row r="2123" customHeight="1" ht="14.0">
      <c r="A2123" t="s">
        <v>5202</v>
      </c>
      <c r="B2123" s="153" t="s">
        <v>5203</v>
      </c>
      <c r="C2123">
        <v>0.0</v>
      </c>
      <c r="D2123">
        <v>0.0</v>
      </c>
      <c r="F2123" t="s">
        <v>2942</v>
      </c>
      <c r="G2123" t="s">
        <v>2962</v>
      </c>
      <c r="H2123" t="s">
        <v>2963</v>
      </c>
      <c r="I2123" t="s">
        <v>3690</v>
      </c>
    </row>
    <row r="2124" customHeight="1" ht="14.0">
      <c r="A2124" t="s">
        <v>5204</v>
      </c>
      <c r="B2124" s="153" t="s">
        <v>5205</v>
      </c>
      <c r="C2124">
        <v>0.0</v>
      </c>
      <c r="D2124">
        <v>0.0</v>
      </c>
      <c r="F2124" t="s">
        <v>2942</v>
      </c>
      <c r="G2124" t="s">
        <v>2943</v>
      </c>
      <c r="H2124" t="s">
        <v>2963</v>
      </c>
      <c r="I2124" t="s">
        <v>4067</v>
      </c>
    </row>
    <row r="2125" customHeight="1" ht="14.0">
      <c r="A2125" t="s">
        <v>5206</v>
      </c>
      <c r="B2125" s="153" t="s">
        <v>5207</v>
      </c>
      <c r="C2125">
        <v>0.0</v>
      </c>
      <c r="D2125">
        <v>0.0</v>
      </c>
      <c r="F2125" t="s">
        <v>2942</v>
      </c>
      <c r="G2125" t="s">
        <v>2962</v>
      </c>
      <c r="H2125" t="s">
        <v>2963</v>
      </c>
      <c r="I2125" t="s">
        <v>4067</v>
      </c>
    </row>
    <row r="2126" customHeight="1" ht="14.0">
      <c r="A2126" t="s">
        <v>5208</v>
      </c>
      <c r="B2126" s="153" t="s">
        <v>5209</v>
      </c>
      <c r="C2126">
        <v>0.0</v>
      </c>
      <c r="D2126">
        <v>0.0</v>
      </c>
      <c r="F2126" t="s">
        <v>2942</v>
      </c>
      <c r="G2126" t="s">
        <v>2962</v>
      </c>
      <c r="H2126" t="s">
        <v>2963</v>
      </c>
      <c r="I2126" t="s">
        <v>3687</v>
      </c>
    </row>
    <row r="2127" customHeight="1" ht="14.0">
      <c r="A2127" t="s">
        <v>5210</v>
      </c>
      <c r="B2127" s="153" t="s">
        <v>5211</v>
      </c>
      <c r="C2127">
        <v>0.0</v>
      </c>
      <c r="D2127">
        <v>0.0</v>
      </c>
      <c r="F2127" t="s">
        <v>2942</v>
      </c>
      <c r="G2127" t="s">
        <v>2962</v>
      </c>
      <c r="H2127" t="s">
        <v>2963</v>
      </c>
      <c r="I2127" t="s">
        <v>4067</v>
      </c>
    </row>
    <row r="2128" customHeight="1" ht="14.0">
      <c r="A2128" t="s">
        <v>5212</v>
      </c>
      <c r="B2128" s="153" t="s">
        <v>5213</v>
      </c>
      <c r="C2128">
        <v>0.0</v>
      </c>
      <c r="D2128">
        <v>0.0</v>
      </c>
      <c r="F2128" t="s">
        <v>2942</v>
      </c>
      <c r="G2128" t="s">
        <v>2943</v>
      </c>
      <c r="H2128" t="s">
        <v>2963</v>
      </c>
      <c r="I2128" t="s">
        <v>344</v>
      </c>
    </row>
    <row r="2129" customHeight="1" ht="14.0">
      <c r="A2129" t="s">
        <v>5214</v>
      </c>
      <c r="B2129" s="153" t="s">
        <v>5215</v>
      </c>
      <c r="C2129">
        <v>100.0</v>
      </c>
      <c r="D2129">
        <v>63.34</v>
      </c>
      <c r="E2129">
        <v>0.6334</v>
      </c>
      <c r="F2129" t="s">
        <v>2942</v>
      </c>
      <c r="G2129" t="s">
        <v>2962</v>
      </c>
      <c r="H2129" t="s">
        <v>2963</v>
      </c>
      <c r="I2129" t="s">
        <v>207</v>
      </c>
    </row>
    <row r="2130" customHeight="1" ht="14.0">
      <c r="A2130" t="s">
        <v>5216</v>
      </c>
      <c r="B2130" s="153" t="s">
        <v>5217</v>
      </c>
      <c r="C2130">
        <v>0.0</v>
      </c>
      <c r="D2130">
        <v>0.0</v>
      </c>
      <c r="F2130" t="s">
        <v>2942</v>
      </c>
      <c r="G2130" t="s">
        <v>2943</v>
      </c>
      <c r="H2130" t="s">
        <v>2963</v>
      </c>
      <c r="I2130" t="s">
        <v>4067</v>
      </c>
    </row>
    <row r="2131" customHeight="1" ht="14.0">
      <c r="A2131" t="s">
        <v>5218</v>
      </c>
      <c r="B2131" s="153" t="s">
        <v>5219</v>
      </c>
      <c r="C2131">
        <v>0.0</v>
      </c>
      <c r="D2131">
        <v>0.0</v>
      </c>
      <c r="F2131" t="s">
        <v>2942</v>
      </c>
      <c r="G2131" t="s">
        <v>2943</v>
      </c>
      <c r="H2131" t="s">
        <v>2963</v>
      </c>
      <c r="I2131" t="s">
        <v>4067</v>
      </c>
    </row>
    <row r="2132" customHeight="1" ht="14.0">
      <c r="A2132" t="s">
        <v>5220</v>
      </c>
      <c r="B2132" s="153" t="s">
        <v>5221</v>
      </c>
      <c r="C2132">
        <v>300.0</v>
      </c>
      <c r="D2132">
        <v>239.27</v>
      </c>
      <c r="E2132">
        <v>0.7976</v>
      </c>
      <c r="F2132" t="s">
        <v>2942</v>
      </c>
      <c r="G2132" t="s">
        <v>2943</v>
      </c>
      <c r="H2132" t="s">
        <v>2963</v>
      </c>
      <c r="I2132" t="s">
        <v>3690</v>
      </c>
    </row>
    <row r="2133" customHeight="1" ht="14.0">
      <c r="A2133" t="s">
        <v>5222</v>
      </c>
      <c r="B2133" s="153" t="s">
        <v>5223</v>
      </c>
      <c r="C2133">
        <v>0.0</v>
      </c>
      <c r="D2133">
        <v>0.0</v>
      </c>
      <c r="F2133" t="s">
        <v>2942</v>
      </c>
      <c r="G2133" t="s">
        <v>2943</v>
      </c>
      <c r="H2133" t="s">
        <v>2963</v>
      </c>
      <c r="I2133" t="s">
        <v>4067</v>
      </c>
    </row>
    <row r="2134" customHeight="1" ht="14.0">
      <c r="A2134" t="s">
        <v>5224</v>
      </c>
      <c r="B2134" s="153" t="s">
        <v>5225</v>
      </c>
      <c r="C2134">
        <v>0.0</v>
      </c>
      <c r="D2134">
        <v>0.0</v>
      </c>
      <c r="F2134" t="s">
        <v>2942</v>
      </c>
      <c r="G2134" t="s">
        <v>2943</v>
      </c>
      <c r="H2134" t="s">
        <v>2963</v>
      </c>
      <c r="I2134" t="s">
        <v>4067</v>
      </c>
    </row>
    <row r="2135" customHeight="1" ht="14.0">
      <c r="A2135" t="s">
        <v>5226</v>
      </c>
      <c r="B2135" s="153" t="s">
        <v>5227</v>
      </c>
      <c r="C2135">
        <v>0.0</v>
      </c>
      <c r="D2135">
        <v>0.0</v>
      </c>
      <c r="F2135" t="s">
        <v>2942</v>
      </c>
      <c r="G2135" t="s">
        <v>2943</v>
      </c>
      <c r="H2135" t="s">
        <v>2963</v>
      </c>
      <c r="I2135" t="s">
        <v>3687</v>
      </c>
    </row>
    <row r="2136" customHeight="1" ht="14.0">
      <c r="A2136" t="s">
        <v>5228</v>
      </c>
      <c r="B2136" s="153" t="s">
        <v>5229</v>
      </c>
      <c r="C2136">
        <v>250.0</v>
      </c>
      <c r="D2136">
        <v>206.02</v>
      </c>
      <c r="E2136">
        <v>0.8241</v>
      </c>
      <c r="F2136" t="s">
        <v>2942</v>
      </c>
      <c r="G2136" t="s">
        <v>2943</v>
      </c>
      <c r="H2136" t="s">
        <v>2963</v>
      </c>
      <c r="I2136" t="s">
        <v>344</v>
      </c>
    </row>
    <row r="2137" customHeight="1" ht="14.0">
      <c r="A2137" t="s">
        <v>5230</v>
      </c>
      <c r="B2137" s="153" t="s">
        <v>5231</v>
      </c>
      <c r="C2137">
        <v>0.0</v>
      </c>
      <c r="D2137">
        <v>0.0</v>
      </c>
      <c r="F2137" t="s">
        <v>2942</v>
      </c>
      <c r="G2137" t="s">
        <v>2943</v>
      </c>
      <c r="H2137" t="s">
        <v>2963</v>
      </c>
      <c r="I2137" t="s">
        <v>207</v>
      </c>
    </row>
    <row r="2138" customHeight="1" ht="14.0">
      <c r="A2138" t="s">
        <v>5232</v>
      </c>
      <c r="B2138" s="153" t="s">
        <v>5233</v>
      </c>
      <c r="C2138">
        <v>0.0</v>
      </c>
      <c r="D2138">
        <v>0.0</v>
      </c>
      <c r="F2138" t="s">
        <v>2942</v>
      </c>
      <c r="G2138" t="s">
        <v>2943</v>
      </c>
      <c r="H2138" t="s">
        <v>2963</v>
      </c>
      <c r="I2138" t="s">
        <v>4067</v>
      </c>
    </row>
    <row r="2139" customHeight="1" ht="14.0">
      <c r="A2139" t="s">
        <v>5234</v>
      </c>
      <c r="B2139" s="153" t="s">
        <v>5235</v>
      </c>
      <c r="C2139">
        <v>0.0</v>
      </c>
      <c r="D2139">
        <v>0.0</v>
      </c>
      <c r="F2139" t="s">
        <v>2942</v>
      </c>
      <c r="G2139" t="s">
        <v>2943</v>
      </c>
      <c r="H2139" t="s">
        <v>2963</v>
      </c>
      <c r="I2139" t="s">
        <v>4067</v>
      </c>
    </row>
    <row r="2140" customHeight="1" ht="14.0">
      <c r="A2140" t="s">
        <v>5236</v>
      </c>
      <c r="B2140" s="153" t="s">
        <v>5237</v>
      </c>
      <c r="C2140">
        <v>0.0</v>
      </c>
      <c r="D2140">
        <v>0.0</v>
      </c>
      <c r="F2140" t="s">
        <v>2942</v>
      </c>
      <c r="G2140" t="s">
        <v>2943</v>
      </c>
      <c r="H2140" t="s">
        <v>2963</v>
      </c>
      <c r="I2140" t="s">
        <v>3690</v>
      </c>
    </row>
    <row r="2141" customHeight="1" ht="14.0">
      <c r="A2141" t="s">
        <v>5238</v>
      </c>
      <c r="B2141" s="153" t="s">
        <v>5239</v>
      </c>
      <c r="C2141">
        <v>0.0</v>
      </c>
      <c r="D2141">
        <v>0.0</v>
      </c>
      <c r="F2141" t="s">
        <v>2942</v>
      </c>
      <c r="G2141" t="s">
        <v>2943</v>
      </c>
      <c r="H2141" t="s">
        <v>2963</v>
      </c>
      <c r="I2141" t="s">
        <v>4067</v>
      </c>
    </row>
    <row r="2142" customHeight="1" ht="14.0">
      <c r="A2142" t="s">
        <v>5240</v>
      </c>
      <c r="B2142" s="153" t="s">
        <v>5241</v>
      </c>
      <c r="C2142">
        <v>0.0</v>
      </c>
      <c r="D2142">
        <v>0.0</v>
      </c>
      <c r="F2142" t="s">
        <v>2942</v>
      </c>
      <c r="G2142" t="s">
        <v>2943</v>
      </c>
      <c r="H2142" t="s">
        <v>2963</v>
      </c>
      <c r="I2142" t="s">
        <v>4067</v>
      </c>
    </row>
    <row r="2143" customHeight="1" ht="14.0">
      <c r="A2143" t="s">
        <v>5242</v>
      </c>
      <c r="B2143" s="153" t="s">
        <v>5243</v>
      </c>
      <c r="C2143">
        <v>0.0</v>
      </c>
      <c r="D2143">
        <v>0.0</v>
      </c>
      <c r="F2143" t="s">
        <v>2942</v>
      </c>
      <c r="G2143" t="s">
        <v>2943</v>
      </c>
      <c r="H2143" t="s">
        <v>2963</v>
      </c>
      <c r="I2143" t="s">
        <v>3687</v>
      </c>
    </row>
    <row r="2144" customHeight="1" ht="14.0">
      <c r="A2144" t="s">
        <v>5244</v>
      </c>
      <c r="B2144" s="153" t="s">
        <v>5245</v>
      </c>
      <c r="C2144">
        <v>0.0</v>
      </c>
      <c r="D2144">
        <v>0.0</v>
      </c>
      <c r="F2144" t="s">
        <v>2942</v>
      </c>
      <c r="G2144" t="s">
        <v>2962</v>
      </c>
      <c r="H2144" t="s">
        <v>2963</v>
      </c>
      <c r="I2144" t="s">
        <v>4067</v>
      </c>
    </row>
    <row r="2145" customHeight="1" ht="14.0">
      <c r="A2145" t="s">
        <v>5246</v>
      </c>
      <c r="B2145" s="153" t="s">
        <v>5247</v>
      </c>
      <c r="C2145">
        <v>50.0</v>
      </c>
      <c r="D2145">
        <v>0.0</v>
      </c>
      <c r="E2145">
        <v>0.0</v>
      </c>
      <c r="F2145" t="s">
        <v>3197</v>
      </c>
      <c r="G2145" t="s">
        <v>2962</v>
      </c>
      <c r="H2145" t="s">
        <v>3198</v>
      </c>
    </row>
    <row r="2146" customHeight="1" ht="14.0">
      <c r="A2146" t="s">
        <v>5248</v>
      </c>
      <c r="B2146" s="153" t="s">
        <v>5249</v>
      </c>
      <c r="C2146">
        <v>50.0</v>
      </c>
      <c r="D2146">
        <v>0.0</v>
      </c>
      <c r="E2146">
        <v>0.0</v>
      </c>
      <c r="F2146" t="s">
        <v>3197</v>
      </c>
      <c r="G2146" t="s">
        <v>2962</v>
      </c>
      <c r="H2146" t="s">
        <v>3198</v>
      </c>
    </row>
    <row r="2147" customHeight="1" ht="14.0">
      <c r="A2147" t="s">
        <v>5250</v>
      </c>
      <c r="B2147" s="153" t="s">
        <v>5251</v>
      </c>
      <c r="C2147">
        <v>0.0</v>
      </c>
      <c r="D2147">
        <v>0.0</v>
      </c>
      <c r="F2147" t="s">
        <v>3197</v>
      </c>
      <c r="G2147" t="s">
        <v>2962</v>
      </c>
      <c r="H2147" t="s">
        <v>3198</v>
      </c>
    </row>
    <row r="2148" customHeight="1" ht="14.0">
      <c r="A2148" t="s">
        <v>5252</v>
      </c>
      <c r="B2148" s="153" t="s">
        <v>5253</v>
      </c>
      <c r="C2148">
        <v>0.0</v>
      </c>
      <c r="D2148">
        <v>0.0</v>
      </c>
      <c r="F2148" t="s">
        <v>3197</v>
      </c>
      <c r="G2148" t="s">
        <v>2962</v>
      </c>
      <c r="H2148" t="s">
        <v>3198</v>
      </c>
    </row>
    <row r="2149" customHeight="1" ht="14.0">
      <c r="A2149" t="s">
        <v>5254</v>
      </c>
      <c r="B2149" s="153" t="s">
        <v>5255</v>
      </c>
      <c r="C2149">
        <v>0.0</v>
      </c>
      <c r="D2149">
        <v>0.0</v>
      </c>
      <c r="F2149" t="s">
        <v>3197</v>
      </c>
      <c r="G2149" t="s">
        <v>2962</v>
      </c>
      <c r="H2149" t="s">
        <v>3198</v>
      </c>
    </row>
    <row r="2150" customHeight="1" ht="14.0">
      <c r="A2150" t="s">
        <v>5256</v>
      </c>
      <c r="B2150" s="153" t="s">
        <v>5257</v>
      </c>
      <c r="C2150">
        <v>0.0</v>
      </c>
      <c r="D2150">
        <v>0.0</v>
      </c>
      <c r="F2150" t="s">
        <v>3197</v>
      </c>
      <c r="G2150" t="s">
        <v>2962</v>
      </c>
      <c r="H2150" t="s">
        <v>3198</v>
      </c>
    </row>
    <row r="2151" customHeight="1" ht="14.0">
      <c r="A2151" t="s">
        <v>5258</v>
      </c>
      <c r="B2151" s="153" t="s">
        <v>5259</v>
      </c>
      <c r="C2151">
        <v>50.0</v>
      </c>
      <c r="D2151">
        <v>0.0</v>
      </c>
      <c r="E2151">
        <v>0.0</v>
      </c>
      <c r="F2151" t="s">
        <v>3197</v>
      </c>
      <c r="G2151" t="s">
        <v>2962</v>
      </c>
      <c r="H2151" t="s">
        <v>3198</v>
      </c>
    </row>
    <row r="2152" customHeight="1" ht="14.0">
      <c r="A2152" t="s">
        <v>5260</v>
      </c>
      <c r="B2152" s="153" t="s">
        <v>5261</v>
      </c>
      <c r="C2152">
        <v>50.0</v>
      </c>
      <c r="D2152">
        <v>0.0</v>
      </c>
      <c r="E2152">
        <v>0.0</v>
      </c>
      <c r="F2152" t="s">
        <v>3197</v>
      </c>
      <c r="G2152" t="s">
        <v>2962</v>
      </c>
      <c r="H2152" t="s">
        <v>3198</v>
      </c>
    </row>
    <row r="2153" customHeight="1" ht="14.0">
      <c r="A2153" t="s">
        <v>5262</v>
      </c>
      <c r="B2153" s="153" t="s">
        <v>5263</v>
      </c>
      <c r="C2153">
        <v>50.0</v>
      </c>
      <c r="D2153">
        <v>0.0</v>
      </c>
      <c r="E2153">
        <v>0.0</v>
      </c>
      <c r="F2153" t="s">
        <v>3197</v>
      </c>
      <c r="G2153" t="s">
        <v>2962</v>
      </c>
      <c r="H2153" t="s">
        <v>3198</v>
      </c>
    </row>
    <row r="2154" customHeight="1" ht="14.0">
      <c r="A2154" t="s">
        <v>5264</v>
      </c>
      <c r="B2154" s="153" t="s">
        <v>5265</v>
      </c>
      <c r="C2154">
        <v>50.0</v>
      </c>
      <c r="D2154">
        <v>0.0</v>
      </c>
      <c r="E2154">
        <v>0.0</v>
      </c>
      <c r="F2154" t="s">
        <v>3197</v>
      </c>
      <c r="G2154" t="s">
        <v>2962</v>
      </c>
      <c r="H2154" t="s">
        <v>3198</v>
      </c>
    </row>
    <row r="2155" customHeight="1" ht="14.0">
      <c r="A2155" t="s">
        <v>5266</v>
      </c>
      <c r="B2155" s="153" t="s">
        <v>5267</v>
      </c>
      <c r="C2155">
        <v>50.0</v>
      </c>
      <c r="D2155">
        <v>0.0</v>
      </c>
      <c r="E2155">
        <v>0.0</v>
      </c>
      <c r="F2155" t="s">
        <v>3197</v>
      </c>
      <c r="G2155" t="s">
        <v>2962</v>
      </c>
      <c r="H2155" t="s">
        <v>3198</v>
      </c>
    </row>
    <row r="2156" customHeight="1" ht="14.0">
      <c r="A2156" t="s">
        <v>5268</v>
      </c>
      <c r="B2156" s="153" t="s">
        <v>5269</v>
      </c>
      <c r="C2156">
        <v>100.0</v>
      </c>
      <c r="D2156">
        <v>0.0</v>
      </c>
      <c r="E2156">
        <v>0.0</v>
      </c>
      <c r="F2156" t="s">
        <v>3197</v>
      </c>
      <c r="G2156" t="s">
        <v>2962</v>
      </c>
      <c r="H2156" t="s">
        <v>3198</v>
      </c>
    </row>
    <row r="2157" customHeight="1" ht="14.0">
      <c r="A2157" t="s">
        <v>5270</v>
      </c>
      <c r="B2157" s="153" t="s">
        <v>5271</v>
      </c>
      <c r="C2157">
        <v>50.0</v>
      </c>
      <c r="D2157">
        <v>0.0</v>
      </c>
      <c r="E2157">
        <v>0.0</v>
      </c>
      <c r="F2157" t="s">
        <v>3197</v>
      </c>
      <c r="G2157" t="s">
        <v>2962</v>
      </c>
      <c r="H2157" t="s">
        <v>3198</v>
      </c>
    </row>
    <row r="2158" customHeight="1" ht="14.0">
      <c r="A2158" t="s">
        <v>5272</v>
      </c>
      <c r="B2158" s="153" t="s">
        <v>5273</v>
      </c>
      <c r="C2158">
        <v>1000.0</v>
      </c>
      <c r="D2158">
        <v>677.83</v>
      </c>
      <c r="E2158">
        <v>0.6778</v>
      </c>
      <c r="F2158" t="s">
        <v>3197</v>
      </c>
      <c r="G2158" t="s">
        <v>2962</v>
      </c>
      <c r="H2158" t="s">
        <v>3455</v>
      </c>
    </row>
    <row r="2159" customHeight="1" ht="14.0">
      <c r="A2159" t="s">
        <v>5274</v>
      </c>
      <c r="B2159" s="153" t="s">
        <v>5275</v>
      </c>
      <c r="C2159">
        <v>1000.0</v>
      </c>
      <c r="D2159">
        <v>677.91</v>
      </c>
      <c r="E2159">
        <v>0.6779</v>
      </c>
      <c r="F2159" t="s">
        <v>3197</v>
      </c>
      <c r="G2159" t="s">
        <v>2962</v>
      </c>
      <c r="H2159" t="s">
        <v>3455</v>
      </c>
    </row>
    <row r="2160" customHeight="1" ht="14.0">
      <c r="A2160" t="s">
        <v>5276</v>
      </c>
      <c r="B2160" s="153" t="s">
        <v>5277</v>
      </c>
      <c r="C2160">
        <v>1000.0</v>
      </c>
      <c r="D2160">
        <v>677.91</v>
      </c>
      <c r="E2160">
        <v>0.6779</v>
      </c>
      <c r="F2160" t="s">
        <v>3197</v>
      </c>
      <c r="G2160" t="s">
        <v>2962</v>
      </c>
      <c r="H2160" t="s">
        <v>3455</v>
      </c>
    </row>
    <row r="2161" customHeight="1" ht="14.0">
      <c r="A2161" t="s">
        <v>5278</v>
      </c>
      <c r="B2161" s="153" t="s">
        <v>5279</v>
      </c>
      <c r="C2161">
        <v>0.0</v>
      </c>
      <c r="D2161">
        <v>0.0</v>
      </c>
      <c r="F2161" t="s">
        <v>3197</v>
      </c>
      <c r="G2161" t="s">
        <v>2943</v>
      </c>
      <c r="H2161" t="s">
        <v>3455</v>
      </c>
    </row>
    <row r="2162" customHeight="1" ht="14.0">
      <c r="A2162" t="s">
        <v>5280</v>
      </c>
      <c r="B2162" s="153" t="s">
        <v>5281</v>
      </c>
      <c r="C2162">
        <v>0.0</v>
      </c>
      <c r="D2162">
        <v>0.0</v>
      </c>
      <c r="F2162" t="s">
        <v>3197</v>
      </c>
      <c r="G2162" t="s">
        <v>2943</v>
      </c>
      <c r="H2162" t="s">
        <v>3455</v>
      </c>
    </row>
    <row r="2163" customHeight="1" ht="14.0">
      <c r="A2163" t="s">
        <v>5282</v>
      </c>
      <c r="B2163" s="153" t="s">
        <v>5283</v>
      </c>
      <c r="C2163">
        <v>0.0</v>
      </c>
      <c r="D2163">
        <v>0.0</v>
      </c>
      <c r="F2163" t="s">
        <v>3197</v>
      </c>
      <c r="G2163" t="s">
        <v>2943</v>
      </c>
      <c r="H2163" t="s">
        <v>3455</v>
      </c>
    </row>
    <row r="2164" customHeight="1" ht="14.0">
      <c r="A2164" t="s">
        <v>5284</v>
      </c>
      <c r="B2164" s="153" t="s">
        <v>5285</v>
      </c>
      <c r="C2164">
        <v>0.0</v>
      </c>
      <c r="D2164">
        <v>0.0</v>
      </c>
      <c r="F2164" t="s">
        <v>3197</v>
      </c>
      <c r="G2164" t="s">
        <v>2943</v>
      </c>
      <c r="H2164" t="s">
        <v>3455</v>
      </c>
    </row>
    <row r="2165" customHeight="1" ht="14.0">
      <c r="A2165" t="s">
        <v>5286</v>
      </c>
      <c r="B2165" s="153" t="s">
        <v>5287</v>
      </c>
      <c r="C2165">
        <v>0.0</v>
      </c>
      <c r="D2165">
        <v>0.0</v>
      </c>
      <c r="F2165" t="s">
        <v>3197</v>
      </c>
      <c r="G2165" t="s">
        <v>2943</v>
      </c>
      <c r="H2165" t="s">
        <v>3455</v>
      </c>
    </row>
    <row r="2166" customHeight="1" ht="14.0">
      <c r="A2166" t="s">
        <v>5288</v>
      </c>
      <c r="B2166" s="153" t="s">
        <v>5289</v>
      </c>
      <c r="C2166">
        <v>0.0</v>
      </c>
      <c r="D2166">
        <v>0.0</v>
      </c>
      <c r="F2166" t="s">
        <v>3197</v>
      </c>
      <c r="G2166" t="s">
        <v>2943</v>
      </c>
      <c r="H2166" t="s">
        <v>3455</v>
      </c>
    </row>
    <row r="2167" customHeight="1" ht="14.0">
      <c r="A2167" t="s">
        <v>5290</v>
      </c>
      <c r="B2167" s="153" t="s">
        <v>5291</v>
      </c>
      <c r="C2167">
        <v>0.0</v>
      </c>
      <c r="D2167">
        <v>0.0</v>
      </c>
      <c r="F2167" t="s">
        <v>3197</v>
      </c>
      <c r="G2167" t="s">
        <v>2943</v>
      </c>
      <c r="H2167" t="s">
        <v>3455</v>
      </c>
    </row>
    <row r="2168" customHeight="1" ht="14.0">
      <c r="A2168" t="s">
        <v>5292</v>
      </c>
      <c r="B2168" s="153" t="s">
        <v>5293</v>
      </c>
      <c r="C2168">
        <v>0.0</v>
      </c>
      <c r="D2168">
        <v>0.0</v>
      </c>
      <c r="F2168" t="s">
        <v>3197</v>
      </c>
      <c r="G2168" t="s">
        <v>2943</v>
      </c>
      <c r="H2168" t="s">
        <v>3455</v>
      </c>
    </row>
    <row r="2169" customHeight="1" ht="14.0">
      <c r="A2169" t="s">
        <v>5294</v>
      </c>
      <c r="B2169" s="153" t="s">
        <v>5295</v>
      </c>
      <c r="C2169">
        <v>0.0</v>
      </c>
      <c r="D2169">
        <v>0.0</v>
      </c>
      <c r="F2169" t="s">
        <v>3197</v>
      </c>
      <c r="G2169" t="s">
        <v>2943</v>
      </c>
      <c r="H2169" t="s">
        <v>3455</v>
      </c>
    </row>
    <row r="2170" customHeight="1" ht="14.0">
      <c r="A2170" t="s">
        <v>5296</v>
      </c>
      <c r="B2170" s="153" t="s">
        <v>5297</v>
      </c>
      <c r="C2170">
        <v>0.0</v>
      </c>
      <c r="D2170">
        <v>0.0</v>
      </c>
      <c r="F2170" t="s">
        <v>3197</v>
      </c>
      <c r="G2170" t="s">
        <v>2943</v>
      </c>
      <c r="H2170" t="s">
        <v>3455</v>
      </c>
    </row>
    <row r="2171" customHeight="1" ht="14.0">
      <c r="A2171" t="s">
        <v>5298</v>
      </c>
      <c r="B2171" s="153" t="s">
        <v>5299</v>
      </c>
      <c r="C2171">
        <v>0.0</v>
      </c>
      <c r="D2171">
        <v>0.0</v>
      </c>
      <c r="F2171" t="s">
        <v>3197</v>
      </c>
      <c r="G2171" t="s">
        <v>2943</v>
      </c>
      <c r="H2171" t="s">
        <v>3455</v>
      </c>
    </row>
    <row r="2172" customHeight="1" ht="14.0">
      <c r="A2172" t="s">
        <v>5300</v>
      </c>
      <c r="B2172" s="153" t="s">
        <v>5301</v>
      </c>
      <c r="C2172">
        <v>0.0</v>
      </c>
      <c r="D2172">
        <v>0.0</v>
      </c>
      <c r="F2172" t="s">
        <v>3197</v>
      </c>
      <c r="G2172" t="s">
        <v>2943</v>
      </c>
      <c r="H2172" t="s">
        <v>3455</v>
      </c>
    </row>
    <row r="2173" customHeight="1" ht="14.0">
      <c r="A2173" t="s">
        <v>5302</v>
      </c>
      <c r="B2173" s="153" t="s">
        <v>5303</v>
      </c>
      <c r="C2173">
        <v>0.0</v>
      </c>
      <c r="D2173">
        <v>0.0</v>
      </c>
      <c r="F2173" t="s">
        <v>3197</v>
      </c>
      <c r="G2173" t="s">
        <v>2943</v>
      </c>
      <c r="H2173" t="s">
        <v>3455</v>
      </c>
    </row>
    <row r="2174" customHeight="1" ht="14.0">
      <c r="A2174" t="s">
        <v>5304</v>
      </c>
      <c r="B2174" s="153" t="s">
        <v>5305</v>
      </c>
      <c r="C2174">
        <v>0.0</v>
      </c>
      <c r="D2174">
        <v>0.0</v>
      </c>
      <c r="F2174" t="s">
        <v>3197</v>
      </c>
      <c r="G2174" t="s">
        <v>2943</v>
      </c>
      <c r="H2174" t="s">
        <v>3455</v>
      </c>
    </row>
    <row r="2175" customHeight="1" ht="14.0">
      <c r="A2175" t="s">
        <v>5306</v>
      </c>
      <c r="B2175" s="153" t="s">
        <v>5307</v>
      </c>
      <c r="C2175">
        <v>0.0</v>
      </c>
      <c r="D2175">
        <v>0.0</v>
      </c>
      <c r="F2175" t="s">
        <v>3197</v>
      </c>
      <c r="G2175" t="s">
        <v>2943</v>
      </c>
      <c r="H2175" t="s">
        <v>3455</v>
      </c>
    </row>
    <row r="2176" customHeight="1" ht="14.0">
      <c r="A2176" t="s">
        <v>5308</v>
      </c>
      <c r="B2176" s="153" t="s">
        <v>5309</v>
      </c>
      <c r="C2176">
        <v>0.0</v>
      </c>
      <c r="D2176">
        <v>0.0</v>
      </c>
      <c r="F2176" t="s">
        <v>3197</v>
      </c>
      <c r="G2176" t="s">
        <v>2943</v>
      </c>
      <c r="H2176" t="s">
        <v>3455</v>
      </c>
    </row>
    <row r="2177" customHeight="1" ht="14.0">
      <c r="A2177" t="s">
        <v>5310</v>
      </c>
      <c r="B2177" s="153" t="s">
        <v>5311</v>
      </c>
      <c r="C2177">
        <v>0.0</v>
      </c>
      <c r="D2177">
        <v>0.0</v>
      </c>
      <c r="F2177" t="s">
        <v>3197</v>
      </c>
      <c r="G2177" t="s">
        <v>2943</v>
      </c>
      <c r="H2177" t="s">
        <v>3455</v>
      </c>
    </row>
    <row r="2178" customHeight="1" ht="14.0">
      <c r="A2178" t="s">
        <v>5312</v>
      </c>
      <c r="B2178" s="153" t="s">
        <v>5313</v>
      </c>
      <c r="C2178">
        <v>0.0</v>
      </c>
      <c r="D2178">
        <v>0.0</v>
      </c>
      <c r="F2178" t="s">
        <v>3197</v>
      </c>
      <c r="G2178" t="s">
        <v>2943</v>
      </c>
      <c r="H2178" t="s">
        <v>3455</v>
      </c>
    </row>
    <row r="2179" customHeight="1" ht="14.0">
      <c r="A2179" t="s">
        <v>5314</v>
      </c>
      <c r="B2179" s="153" t="s">
        <v>5315</v>
      </c>
      <c r="C2179">
        <v>0.0</v>
      </c>
      <c r="D2179">
        <v>0.0</v>
      </c>
      <c r="F2179" t="s">
        <v>3197</v>
      </c>
      <c r="G2179" t="s">
        <v>2943</v>
      </c>
      <c r="H2179" t="s">
        <v>3455</v>
      </c>
    </row>
    <row r="2180" customHeight="1" ht="14.0">
      <c r="A2180" t="s">
        <v>5316</v>
      </c>
      <c r="B2180" s="153" t="s">
        <v>5317</v>
      </c>
      <c r="C2180">
        <v>0.0</v>
      </c>
      <c r="D2180">
        <v>0.0</v>
      </c>
      <c r="F2180" t="s">
        <v>3197</v>
      </c>
      <c r="G2180" t="s">
        <v>2943</v>
      </c>
      <c r="H2180" t="s">
        <v>3455</v>
      </c>
    </row>
    <row r="2181" customHeight="1" ht="14.0">
      <c r="A2181" t="s">
        <v>5318</v>
      </c>
      <c r="B2181" s="153" t="s">
        <v>5319</v>
      </c>
      <c r="C2181">
        <v>0.0</v>
      </c>
      <c r="D2181">
        <v>0.0</v>
      </c>
      <c r="F2181" t="s">
        <v>3197</v>
      </c>
      <c r="G2181" t="s">
        <v>2943</v>
      </c>
      <c r="H2181" t="s">
        <v>3455</v>
      </c>
    </row>
    <row r="2182" customHeight="1" ht="14.0">
      <c r="A2182" t="s">
        <v>5320</v>
      </c>
      <c r="B2182" s="153" t="s">
        <v>5321</v>
      </c>
      <c r="C2182">
        <v>0.0</v>
      </c>
      <c r="D2182">
        <v>0.0</v>
      </c>
      <c r="F2182" t="s">
        <v>3197</v>
      </c>
      <c r="G2182" t="s">
        <v>2943</v>
      </c>
      <c r="H2182" t="s">
        <v>3455</v>
      </c>
    </row>
    <row r="2183" customHeight="1" ht="14.0">
      <c r="A2183" t="s">
        <v>5322</v>
      </c>
      <c r="B2183" s="153" t="s">
        <v>5323</v>
      </c>
      <c r="C2183">
        <v>0.0</v>
      </c>
      <c r="D2183">
        <v>0.0</v>
      </c>
      <c r="F2183" t="s">
        <v>3197</v>
      </c>
      <c r="G2183" t="s">
        <v>2943</v>
      </c>
      <c r="H2183" t="s">
        <v>3455</v>
      </c>
    </row>
    <row r="2184" customHeight="1" ht="14.0">
      <c r="A2184" t="s">
        <v>5324</v>
      </c>
      <c r="B2184" s="153">
        <v>32002.0</v>
      </c>
      <c r="C2184">
        <v>0.0</v>
      </c>
      <c r="D2184">
        <v>0.0</v>
      </c>
      <c r="F2184" t="s">
        <v>2942</v>
      </c>
      <c r="G2184" t="s">
        <v>2943</v>
      </c>
      <c r="H2184" t="s">
        <v>2944</v>
      </c>
      <c r="I2184" t="s">
        <v>83</v>
      </c>
    </row>
    <row r="2185" customHeight="1" ht="14.0">
      <c r="A2185" t="s">
        <v>5325</v>
      </c>
      <c r="B2185" s="153">
        <v>32006.0</v>
      </c>
      <c r="C2185">
        <v>0.0</v>
      </c>
      <c r="D2185">
        <v>0.0</v>
      </c>
      <c r="F2185" t="s">
        <v>2942</v>
      </c>
      <c r="G2185" t="s">
        <v>2943</v>
      </c>
      <c r="H2185" t="s">
        <v>2944</v>
      </c>
      <c r="I2185" t="s">
        <v>83</v>
      </c>
    </row>
    <row r="2186" customHeight="1" ht="14.0">
      <c r="A2186" t="s">
        <v>5326</v>
      </c>
      <c r="B2186" s="153">
        <v>32001.0</v>
      </c>
      <c r="C2186">
        <v>0.0</v>
      </c>
      <c r="D2186">
        <v>0.0</v>
      </c>
      <c r="F2186" t="s">
        <v>2942</v>
      </c>
      <c r="G2186" t="s">
        <v>2943</v>
      </c>
      <c r="H2186" t="s">
        <v>2944</v>
      </c>
      <c r="I2186" t="s">
        <v>83</v>
      </c>
    </row>
    <row r="2187" customHeight="1" ht="14.0">
      <c r="A2187" t="s">
        <v>5327</v>
      </c>
      <c r="B2187" s="153">
        <v>32005.0</v>
      </c>
      <c r="C2187">
        <v>0.0</v>
      </c>
      <c r="D2187">
        <v>0.0</v>
      </c>
      <c r="F2187" t="s">
        <v>2942</v>
      </c>
      <c r="G2187" t="s">
        <v>2943</v>
      </c>
      <c r="H2187" t="s">
        <v>2944</v>
      </c>
      <c r="I2187" t="s">
        <v>83</v>
      </c>
    </row>
    <row r="2188" customHeight="1" ht="14.0">
      <c r="A2188" t="s">
        <v>5328</v>
      </c>
      <c r="B2188" s="153">
        <v>32004.0</v>
      </c>
      <c r="C2188">
        <v>0.0</v>
      </c>
      <c r="D2188">
        <v>0.0</v>
      </c>
      <c r="F2188" t="s">
        <v>2942</v>
      </c>
      <c r="G2188" t="s">
        <v>2943</v>
      </c>
      <c r="H2188" t="s">
        <v>2944</v>
      </c>
      <c r="I2188" t="s">
        <v>83</v>
      </c>
    </row>
    <row r="2189" customHeight="1" ht="14.0">
      <c r="A2189" t="s">
        <v>5329</v>
      </c>
      <c r="B2189" s="153">
        <v>32003.0</v>
      </c>
      <c r="C2189">
        <v>0.0</v>
      </c>
      <c r="D2189">
        <v>0.0</v>
      </c>
      <c r="F2189" t="s">
        <v>2942</v>
      </c>
      <c r="G2189" t="s">
        <v>2943</v>
      </c>
      <c r="H2189" t="s">
        <v>2944</v>
      </c>
      <c r="I2189" t="s">
        <v>83</v>
      </c>
    </row>
    <row r="2190" customHeight="1" ht="14.0">
      <c r="A2190" t="s">
        <v>2086</v>
      </c>
      <c r="B2190" s="153" t="s">
        <v>2087</v>
      </c>
      <c r="C2190">
        <v>1.0</v>
      </c>
      <c r="D2190">
        <v>17.12</v>
      </c>
      <c r="E2190">
        <v>17.12</v>
      </c>
      <c r="F2190" t="s">
        <v>2942</v>
      </c>
      <c r="G2190" t="s">
        <v>2962</v>
      </c>
      <c r="H2190" t="s">
        <v>3161</v>
      </c>
      <c r="I2190" t="s">
        <v>4658</v>
      </c>
    </row>
    <row r="2191" customHeight="1" ht="14.0">
      <c r="A2191" t="s">
        <v>2088</v>
      </c>
      <c r="B2191" s="153" t="s">
        <v>2089</v>
      </c>
      <c r="C2191">
        <v>0.0</v>
      </c>
      <c r="D2191">
        <v>0.0</v>
      </c>
      <c r="F2191" t="s">
        <v>2942</v>
      </c>
      <c r="G2191" t="s">
        <v>2943</v>
      </c>
      <c r="H2191" t="s">
        <v>3161</v>
      </c>
      <c r="I2191" t="s">
        <v>4658</v>
      </c>
    </row>
    <row r="2192" customHeight="1" ht="14.0">
      <c r="A2192" t="s">
        <v>5330</v>
      </c>
      <c r="B2192" s="153" t="s">
        <v>5331</v>
      </c>
      <c r="C2192">
        <v>0.0</v>
      </c>
      <c r="D2192">
        <v>0.0</v>
      </c>
      <c r="F2192" t="s">
        <v>2942</v>
      </c>
      <c r="G2192" t="s">
        <v>2962</v>
      </c>
      <c r="H2192" t="s">
        <v>3161</v>
      </c>
      <c r="I2192" t="s">
        <v>4658</v>
      </c>
    </row>
    <row r="2193" customHeight="1" ht="14.0">
      <c r="A2193" t="s">
        <v>5332</v>
      </c>
      <c r="B2193" s="153" t="s">
        <v>2091</v>
      </c>
      <c r="C2193">
        <v>1.0</v>
      </c>
      <c r="D2193">
        <v>17.11</v>
      </c>
      <c r="E2193">
        <v>17.11</v>
      </c>
      <c r="F2193" t="s">
        <v>2942</v>
      </c>
      <c r="G2193" t="s">
        <v>2943</v>
      </c>
      <c r="H2193" t="s">
        <v>2963</v>
      </c>
      <c r="I2193" t="s">
        <v>4658</v>
      </c>
    </row>
    <row r="2194" customHeight="1" ht="14.0">
      <c r="A2194" t="s">
        <v>2094</v>
      </c>
      <c r="B2194" s="153" t="s">
        <v>2095</v>
      </c>
      <c r="C2194">
        <v>0.0</v>
      </c>
      <c r="D2194">
        <v>0.0</v>
      </c>
      <c r="F2194" t="s">
        <v>2942</v>
      </c>
      <c r="G2194" t="s">
        <v>2943</v>
      </c>
      <c r="H2194" t="s">
        <v>2963</v>
      </c>
      <c r="I2194" t="s">
        <v>4658</v>
      </c>
    </row>
    <row r="2195" customHeight="1" ht="14.0">
      <c r="A2195" t="s">
        <v>2096</v>
      </c>
      <c r="B2195" s="153" t="s">
        <v>2097</v>
      </c>
      <c r="C2195">
        <v>0.0</v>
      </c>
      <c r="D2195">
        <v>0.0</v>
      </c>
      <c r="F2195" t="s">
        <v>2942</v>
      </c>
      <c r="G2195" t="s">
        <v>2943</v>
      </c>
      <c r="H2195" t="s">
        <v>2963</v>
      </c>
      <c r="I2195" t="s">
        <v>4658</v>
      </c>
    </row>
    <row r="2196" customHeight="1" ht="14.0">
      <c r="A2196" t="s">
        <v>5333</v>
      </c>
      <c r="B2196" s="153" t="s">
        <v>2093</v>
      </c>
      <c r="C2196">
        <v>0.0</v>
      </c>
      <c r="D2196">
        <v>0.0</v>
      </c>
      <c r="F2196" t="s">
        <v>2942</v>
      </c>
      <c r="G2196" t="s">
        <v>2962</v>
      </c>
      <c r="H2196" t="s">
        <v>2963</v>
      </c>
      <c r="I2196" t="s">
        <v>4658</v>
      </c>
    </row>
    <row r="2197" customHeight="1" ht="14.0">
      <c r="A2197" t="s">
        <v>2098</v>
      </c>
      <c r="B2197" s="153" t="s">
        <v>2099</v>
      </c>
      <c r="C2197">
        <v>0.0</v>
      </c>
      <c r="D2197">
        <v>0.0</v>
      </c>
      <c r="F2197" t="s">
        <v>2942</v>
      </c>
      <c r="G2197" t="s">
        <v>2943</v>
      </c>
      <c r="H2197" t="s">
        <v>2963</v>
      </c>
      <c r="I2197" t="s">
        <v>4658</v>
      </c>
    </row>
    <row r="2198" customHeight="1" ht="14.0">
      <c r="A2198" t="s">
        <v>5334</v>
      </c>
      <c r="B2198" s="153" t="s">
        <v>5335</v>
      </c>
      <c r="C2198">
        <v>14.0</v>
      </c>
      <c r="D2198">
        <v>78.57</v>
      </c>
      <c r="E2198">
        <v>5.6121</v>
      </c>
      <c r="F2198" t="s">
        <v>2942</v>
      </c>
      <c r="G2198" t="s">
        <v>2962</v>
      </c>
      <c r="H2198" t="s">
        <v>3161</v>
      </c>
      <c r="I2198" t="s">
        <v>4658</v>
      </c>
    </row>
    <row r="2199" customHeight="1" ht="14.0">
      <c r="A2199" t="s">
        <v>2100</v>
      </c>
      <c r="B2199" s="153" t="s">
        <v>2101</v>
      </c>
      <c r="C2199">
        <v>0.0</v>
      </c>
      <c r="D2199">
        <v>0.0</v>
      </c>
      <c r="F2199" t="s">
        <v>2942</v>
      </c>
      <c r="G2199" t="s">
        <v>2943</v>
      </c>
      <c r="H2199" t="s">
        <v>3161</v>
      </c>
      <c r="I2199" t="s">
        <v>4658</v>
      </c>
    </row>
    <row r="2200" customHeight="1" ht="14.0">
      <c r="A2200" t="s">
        <v>5336</v>
      </c>
      <c r="B2200" s="153" t="s">
        <v>5337</v>
      </c>
      <c r="C2200">
        <v>13.0</v>
      </c>
      <c r="D2200">
        <v>67.08</v>
      </c>
      <c r="E2200">
        <v>5.16</v>
      </c>
      <c r="F2200" t="s">
        <v>2942</v>
      </c>
      <c r="G2200" t="s">
        <v>2962</v>
      </c>
      <c r="H2200" t="s">
        <v>3161</v>
      </c>
      <c r="I2200" t="s">
        <v>4658</v>
      </c>
    </row>
    <row r="2201" customHeight="1" ht="14.0">
      <c r="A2201" t="s">
        <v>5338</v>
      </c>
      <c r="B2201" s="153" t="s">
        <v>5339</v>
      </c>
      <c r="C2201">
        <v>19.0</v>
      </c>
      <c r="D2201">
        <v>109.82</v>
      </c>
      <c r="E2201">
        <v>5.78</v>
      </c>
      <c r="F2201" t="s">
        <v>2942</v>
      </c>
      <c r="G2201" t="s">
        <v>2962</v>
      </c>
      <c r="H2201" t="s">
        <v>3161</v>
      </c>
      <c r="I2201" t="s">
        <v>4658</v>
      </c>
    </row>
    <row r="2202" customHeight="1" ht="14.0">
      <c r="A2202" t="s">
        <v>2102</v>
      </c>
      <c r="B2202" s="153" t="s">
        <v>2103</v>
      </c>
      <c r="C2202">
        <v>0.0</v>
      </c>
      <c r="D2202">
        <v>0.0</v>
      </c>
      <c r="F2202" t="s">
        <v>2942</v>
      </c>
      <c r="G2202" t="s">
        <v>2943</v>
      </c>
      <c r="H2202" t="s">
        <v>3161</v>
      </c>
      <c r="I2202" t="s">
        <v>4658</v>
      </c>
    </row>
    <row r="2203" customHeight="1" ht="14.0">
      <c r="A2203" t="s">
        <v>2104</v>
      </c>
      <c r="B2203" s="153" t="s">
        <v>2105</v>
      </c>
      <c r="C2203">
        <v>31.0</v>
      </c>
      <c r="D2203">
        <v>614.19</v>
      </c>
      <c r="E2203">
        <v>19.8126</v>
      </c>
      <c r="F2203" t="s">
        <v>2942</v>
      </c>
      <c r="G2203" t="s">
        <v>2962</v>
      </c>
      <c r="H2203" t="s">
        <v>3161</v>
      </c>
      <c r="I2203" t="s">
        <v>4658</v>
      </c>
    </row>
    <row r="2204" customHeight="1" ht="14.0">
      <c r="A2204" t="s">
        <v>2106</v>
      </c>
      <c r="B2204" s="153" t="s">
        <v>2107</v>
      </c>
      <c r="C2204">
        <v>24.0</v>
      </c>
      <c r="D2204">
        <v>410.61</v>
      </c>
      <c r="E2204">
        <v>17.1088</v>
      </c>
      <c r="F2204" t="s">
        <v>2942</v>
      </c>
      <c r="G2204" t="s">
        <v>2962</v>
      </c>
      <c r="H2204" t="s">
        <v>2963</v>
      </c>
      <c r="I2204" t="s">
        <v>4658</v>
      </c>
    </row>
    <row r="2205" customHeight="1" ht="14.0">
      <c r="A2205" t="s">
        <v>2108</v>
      </c>
      <c r="B2205" s="153" t="s">
        <v>2109</v>
      </c>
      <c r="C2205">
        <v>0.0</v>
      </c>
      <c r="D2205">
        <v>0.0</v>
      </c>
      <c r="F2205" t="s">
        <v>2942</v>
      </c>
      <c r="G2205" t="s">
        <v>2943</v>
      </c>
      <c r="H2205" t="s">
        <v>3161</v>
      </c>
      <c r="I2205" t="s">
        <v>4658</v>
      </c>
    </row>
    <row r="2206" customHeight="1" ht="14.0">
      <c r="A2206" t="s">
        <v>2110</v>
      </c>
      <c r="B2206" s="153" t="s">
        <v>2111</v>
      </c>
      <c r="C2206">
        <v>11.0</v>
      </c>
      <c r="D2206">
        <v>55.44</v>
      </c>
      <c r="E2206">
        <v>5.04</v>
      </c>
      <c r="F2206" t="s">
        <v>2942</v>
      </c>
      <c r="G2206" t="s">
        <v>2962</v>
      </c>
      <c r="H2206" t="s">
        <v>2963</v>
      </c>
      <c r="I2206" t="s">
        <v>4658</v>
      </c>
    </row>
    <row r="2207" customHeight="1" ht="14.0">
      <c r="A2207" t="s">
        <v>5340</v>
      </c>
      <c r="B2207" s="153" t="s">
        <v>5341</v>
      </c>
      <c r="C2207">
        <v>12.0</v>
      </c>
      <c r="D2207">
        <v>34.32</v>
      </c>
      <c r="E2207">
        <v>2.86</v>
      </c>
      <c r="F2207" t="s">
        <v>2942</v>
      </c>
      <c r="G2207" t="s">
        <v>2962</v>
      </c>
      <c r="H2207" t="s">
        <v>3161</v>
      </c>
      <c r="I2207" t="s">
        <v>4658</v>
      </c>
    </row>
    <row r="2208" customHeight="1" ht="14.0">
      <c r="A2208" t="s">
        <v>5342</v>
      </c>
      <c r="B2208" s="153" t="s">
        <v>5343</v>
      </c>
      <c r="C2208">
        <v>10.0</v>
      </c>
      <c r="D2208">
        <v>28.6</v>
      </c>
      <c r="E2208">
        <v>2.86</v>
      </c>
      <c r="F2208" t="s">
        <v>2942</v>
      </c>
      <c r="G2208" t="s">
        <v>2962</v>
      </c>
      <c r="H2208" t="s">
        <v>3161</v>
      </c>
      <c r="I2208" t="s">
        <v>4658</v>
      </c>
    </row>
    <row r="2209" customHeight="1" ht="14.0">
      <c r="A2209" t="s">
        <v>2112</v>
      </c>
      <c r="B2209" s="153" t="s">
        <v>2113</v>
      </c>
      <c r="C2209">
        <v>0.0</v>
      </c>
      <c r="D2209">
        <v>0.0</v>
      </c>
      <c r="F2209" t="s">
        <v>2942</v>
      </c>
      <c r="G2209" t="s">
        <v>2943</v>
      </c>
      <c r="H2209" t="s">
        <v>2963</v>
      </c>
      <c r="I2209" t="s">
        <v>4658</v>
      </c>
    </row>
    <row r="2210" customHeight="1" ht="14.0">
      <c r="A2210" t="s">
        <v>2114</v>
      </c>
      <c r="B2210" s="153" t="s">
        <v>2115</v>
      </c>
      <c r="C2210">
        <v>0.0</v>
      </c>
      <c r="D2210">
        <v>0.0</v>
      </c>
      <c r="F2210" t="s">
        <v>2942</v>
      </c>
      <c r="G2210" t="s">
        <v>2943</v>
      </c>
      <c r="H2210" t="s">
        <v>3161</v>
      </c>
      <c r="I2210" t="s">
        <v>4658</v>
      </c>
    </row>
    <row r="2211" customHeight="1" ht="14.0">
      <c r="A2211" t="s">
        <v>5344</v>
      </c>
      <c r="B2211" s="153" t="s">
        <v>5345</v>
      </c>
      <c r="C2211">
        <v>27.0</v>
      </c>
      <c r="D2211">
        <v>139.32</v>
      </c>
      <c r="E2211">
        <v>5.16</v>
      </c>
      <c r="F2211" t="s">
        <v>2942</v>
      </c>
      <c r="G2211" t="s">
        <v>2962</v>
      </c>
      <c r="H2211" t="s">
        <v>3161</v>
      </c>
      <c r="I2211" t="s">
        <v>4658</v>
      </c>
    </row>
    <row r="2212" customHeight="1" ht="14.0">
      <c r="A2212" t="s">
        <v>5346</v>
      </c>
      <c r="B2212" s="153" t="s">
        <v>5347</v>
      </c>
      <c r="C2212">
        <v>125.0</v>
      </c>
      <c r="D2212">
        <v>221.26</v>
      </c>
      <c r="E2212">
        <v>1.7701</v>
      </c>
      <c r="F2212" t="s">
        <v>2942</v>
      </c>
      <c r="G2212" t="s">
        <v>2962</v>
      </c>
      <c r="H2212" t="s">
        <v>3161</v>
      </c>
      <c r="I2212" t="s">
        <v>4658</v>
      </c>
    </row>
    <row r="2213" customHeight="1" ht="14.0">
      <c r="A2213" t="s">
        <v>2116</v>
      </c>
      <c r="B2213" s="153" t="s">
        <v>2117</v>
      </c>
      <c r="C2213">
        <v>67.0</v>
      </c>
      <c r="D2213">
        <v>118.6</v>
      </c>
      <c r="E2213">
        <v>1.7701</v>
      </c>
      <c r="F2213" t="s">
        <v>2942</v>
      </c>
      <c r="G2213" t="s">
        <v>2962</v>
      </c>
      <c r="H2213" t="s">
        <v>3161</v>
      </c>
      <c r="I2213" t="s">
        <v>4658</v>
      </c>
    </row>
    <row r="2214" customHeight="1" ht="14.0">
      <c r="A2214" t="s">
        <v>2118</v>
      </c>
      <c r="B2214" s="153" t="s">
        <v>2119</v>
      </c>
      <c r="C2214">
        <v>38.0</v>
      </c>
      <c r="D2214">
        <v>67.27</v>
      </c>
      <c r="E2214">
        <v>1.7703</v>
      </c>
      <c r="F2214" t="s">
        <v>2942</v>
      </c>
      <c r="G2214" t="s">
        <v>2962</v>
      </c>
      <c r="H2214" t="s">
        <v>3161</v>
      </c>
      <c r="I2214" t="s">
        <v>4658</v>
      </c>
    </row>
    <row r="2215" customHeight="1" ht="14.0">
      <c r="A2215" t="s">
        <v>2120</v>
      </c>
      <c r="B2215" s="153" t="s">
        <v>2121</v>
      </c>
      <c r="C2215">
        <v>0.0</v>
      </c>
      <c r="D2215">
        <v>0.0</v>
      </c>
      <c r="F2215" t="s">
        <v>2942</v>
      </c>
      <c r="G2215" t="s">
        <v>2943</v>
      </c>
      <c r="H2215" t="s">
        <v>2963</v>
      </c>
      <c r="I2215" t="s">
        <v>4658</v>
      </c>
    </row>
    <row r="2216" customHeight="1" ht="14.0">
      <c r="A2216" t="s">
        <v>2122</v>
      </c>
      <c r="B2216" s="153" t="s">
        <v>2123</v>
      </c>
      <c r="C2216">
        <v>8.0</v>
      </c>
      <c r="D2216">
        <v>14.17</v>
      </c>
      <c r="E2216">
        <v>1.7713</v>
      </c>
      <c r="F2216" t="s">
        <v>2942</v>
      </c>
      <c r="G2216" t="s">
        <v>2962</v>
      </c>
      <c r="H2216" t="s">
        <v>3161</v>
      </c>
      <c r="I2216" t="s">
        <v>4658</v>
      </c>
    </row>
    <row r="2217" customHeight="1" ht="14.0">
      <c r="A2217" t="s">
        <v>2124</v>
      </c>
      <c r="B2217" s="153" t="s">
        <v>2125</v>
      </c>
      <c r="C2217">
        <v>43.0</v>
      </c>
      <c r="D2217">
        <v>735.74</v>
      </c>
      <c r="E2217">
        <v>17.1102</v>
      </c>
      <c r="F2217" t="s">
        <v>2942</v>
      </c>
      <c r="G2217" t="s">
        <v>2962</v>
      </c>
      <c r="H2217" t="s">
        <v>3161</v>
      </c>
      <c r="I2217" t="s">
        <v>4658</v>
      </c>
    </row>
    <row r="2218" customHeight="1" ht="14.0">
      <c r="A2218" t="s">
        <v>2126</v>
      </c>
      <c r="B2218" s="153" t="s">
        <v>2127</v>
      </c>
      <c r="C2218">
        <v>72.0</v>
      </c>
      <c r="D2218">
        <v>127.45</v>
      </c>
      <c r="E2218">
        <v>1.7701</v>
      </c>
      <c r="F2218" t="s">
        <v>2942</v>
      </c>
      <c r="G2218" t="s">
        <v>2962</v>
      </c>
      <c r="H2218" t="s">
        <v>3161</v>
      </c>
      <c r="I2218" t="s">
        <v>4658</v>
      </c>
    </row>
    <row r="2219" customHeight="1" ht="14.0">
      <c r="A2219" t="s">
        <v>5348</v>
      </c>
      <c r="B2219" s="153" t="s">
        <v>5349</v>
      </c>
      <c r="C2219">
        <v>56.0</v>
      </c>
      <c r="D2219">
        <v>99.13</v>
      </c>
      <c r="E2219">
        <v>1.7702</v>
      </c>
      <c r="F2219" t="s">
        <v>2942</v>
      </c>
      <c r="G2219" t="s">
        <v>2962</v>
      </c>
      <c r="H2219" t="s">
        <v>3161</v>
      </c>
      <c r="I2219" t="s">
        <v>4658</v>
      </c>
    </row>
    <row r="2220" customHeight="1" ht="14.0">
      <c r="A2220" t="s">
        <v>5350</v>
      </c>
      <c r="B2220" s="153" t="s">
        <v>5351</v>
      </c>
      <c r="C2220">
        <v>39.0</v>
      </c>
      <c r="D2220">
        <v>150.37</v>
      </c>
      <c r="E2220">
        <v>3.8556</v>
      </c>
      <c r="F2220" t="s">
        <v>2942</v>
      </c>
      <c r="G2220" t="s">
        <v>2962</v>
      </c>
      <c r="H2220" t="s">
        <v>3161</v>
      </c>
      <c r="I2220" t="s">
        <v>4658</v>
      </c>
    </row>
    <row r="2221" customHeight="1" ht="14.0">
      <c r="A2221" t="s">
        <v>5352</v>
      </c>
      <c r="B2221" s="153" t="s">
        <v>5353</v>
      </c>
      <c r="C2221">
        <v>40.0</v>
      </c>
      <c r="D2221">
        <v>154.52</v>
      </c>
      <c r="E2221">
        <v>3.863</v>
      </c>
      <c r="F2221" t="s">
        <v>2942</v>
      </c>
      <c r="G2221" t="s">
        <v>2962</v>
      </c>
      <c r="H2221" t="s">
        <v>3161</v>
      </c>
      <c r="I2221" t="s">
        <v>4658</v>
      </c>
    </row>
    <row r="2222" customHeight="1" ht="14.0">
      <c r="A2222" t="s">
        <v>5354</v>
      </c>
      <c r="B2222" s="153" t="s">
        <v>5355</v>
      </c>
      <c r="C2222">
        <v>42.0</v>
      </c>
      <c r="D2222">
        <v>161.36</v>
      </c>
      <c r="E2222">
        <v>3.8419</v>
      </c>
      <c r="F2222" t="s">
        <v>2942</v>
      </c>
      <c r="G2222" t="s">
        <v>2962</v>
      </c>
      <c r="H2222" t="s">
        <v>3161</v>
      </c>
      <c r="I2222" t="s">
        <v>4658</v>
      </c>
    </row>
    <row r="2223" customHeight="1" ht="14.0">
      <c r="A2223" t="s">
        <v>5356</v>
      </c>
      <c r="B2223" s="153" t="s">
        <v>5357</v>
      </c>
      <c r="C2223">
        <v>26.0</v>
      </c>
      <c r="D2223">
        <v>106.64</v>
      </c>
      <c r="E2223">
        <v>4.1015</v>
      </c>
      <c r="F2223" t="s">
        <v>2942</v>
      </c>
      <c r="G2223" t="s">
        <v>2962</v>
      </c>
      <c r="H2223" t="s">
        <v>3161</v>
      </c>
      <c r="I2223" t="s">
        <v>4658</v>
      </c>
    </row>
    <row r="2224" customHeight="1" ht="14.0">
      <c r="A2224" t="s">
        <v>5358</v>
      </c>
      <c r="B2224" s="153" t="s">
        <v>5359</v>
      </c>
      <c r="C2224">
        <v>0.0</v>
      </c>
      <c r="D2224">
        <v>0.0</v>
      </c>
      <c r="F2224" t="s">
        <v>2942</v>
      </c>
      <c r="G2224" t="s">
        <v>2962</v>
      </c>
      <c r="H2224" t="s">
        <v>3161</v>
      </c>
      <c r="I2224" t="s">
        <v>4658</v>
      </c>
    </row>
    <row r="2225" customHeight="1" ht="14.0">
      <c r="A2225" t="s">
        <v>5360</v>
      </c>
      <c r="B2225" s="153" t="s">
        <v>5361</v>
      </c>
      <c r="C2225">
        <v>40.0</v>
      </c>
      <c r="D2225">
        <v>144.8</v>
      </c>
      <c r="E2225">
        <v>3.62</v>
      </c>
      <c r="F2225" t="s">
        <v>2942</v>
      </c>
      <c r="G2225" t="s">
        <v>2962</v>
      </c>
      <c r="H2225" t="s">
        <v>3161</v>
      </c>
      <c r="I2225" t="s">
        <v>4658</v>
      </c>
    </row>
    <row r="2226" customHeight="1" ht="14.0">
      <c r="A2226" t="s">
        <v>5362</v>
      </c>
      <c r="B2226" s="153" t="s">
        <v>5363</v>
      </c>
      <c r="C2226">
        <v>0.0</v>
      </c>
      <c r="D2226">
        <v>0.0</v>
      </c>
      <c r="F2226" t="s">
        <v>2942</v>
      </c>
      <c r="G2226" t="s">
        <v>2962</v>
      </c>
      <c r="H2226" t="s">
        <v>3161</v>
      </c>
      <c r="I2226" t="s">
        <v>4658</v>
      </c>
    </row>
    <row r="2227" customHeight="1" ht="14.0">
      <c r="A2227" t="s">
        <v>5364</v>
      </c>
      <c r="B2227" s="153" t="s">
        <v>5365</v>
      </c>
      <c r="C2227">
        <v>15.0</v>
      </c>
      <c r="D2227">
        <v>42.9</v>
      </c>
      <c r="E2227">
        <v>2.86</v>
      </c>
      <c r="F2227" t="s">
        <v>2942</v>
      </c>
      <c r="G2227" t="s">
        <v>2962</v>
      </c>
      <c r="H2227" t="s">
        <v>3161</v>
      </c>
      <c r="I2227" t="s">
        <v>4658</v>
      </c>
    </row>
    <row r="2228" customHeight="1" ht="14.0">
      <c r="A2228" t="s">
        <v>5366</v>
      </c>
      <c r="B2228" s="153" t="s">
        <v>5367</v>
      </c>
      <c r="C2228">
        <v>6.0</v>
      </c>
      <c r="D2228">
        <v>17.16</v>
      </c>
      <c r="E2228">
        <v>2.86</v>
      </c>
      <c r="F2228" t="s">
        <v>2942</v>
      </c>
      <c r="G2228" t="s">
        <v>2962</v>
      </c>
      <c r="H2228" t="s">
        <v>3161</v>
      </c>
      <c r="I2228" t="s">
        <v>4658</v>
      </c>
    </row>
    <row r="2229" customHeight="1" ht="14.0">
      <c r="A2229" t="s">
        <v>5368</v>
      </c>
      <c r="B2229" s="153" t="s">
        <v>5369</v>
      </c>
      <c r="C2229">
        <v>1.0</v>
      </c>
      <c r="D2229">
        <v>17.11</v>
      </c>
      <c r="E2229">
        <v>17.11</v>
      </c>
      <c r="F2229" t="s">
        <v>2942</v>
      </c>
      <c r="G2229" t="s">
        <v>2962</v>
      </c>
      <c r="H2229" t="s">
        <v>3161</v>
      </c>
      <c r="I2229" t="s">
        <v>4658</v>
      </c>
    </row>
    <row r="2230" customHeight="1" ht="14.0">
      <c r="A2230" t="s">
        <v>5370</v>
      </c>
      <c r="B2230" s="153" t="s">
        <v>5371</v>
      </c>
      <c r="C2230">
        <v>1.0</v>
      </c>
      <c r="D2230">
        <v>2.86</v>
      </c>
      <c r="E2230">
        <v>2.86</v>
      </c>
      <c r="F2230" t="s">
        <v>2942</v>
      </c>
      <c r="G2230" t="s">
        <v>2962</v>
      </c>
      <c r="H2230" t="s">
        <v>3161</v>
      </c>
      <c r="I2230" t="s">
        <v>4658</v>
      </c>
    </row>
    <row r="2231" customHeight="1" ht="14.0">
      <c r="A2231" t="s">
        <v>5372</v>
      </c>
      <c r="B2231" s="153" t="s">
        <v>5373</v>
      </c>
      <c r="C2231">
        <v>33.0</v>
      </c>
      <c r="D2231">
        <v>94.38</v>
      </c>
      <c r="E2231">
        <v>2.86</v>
      </c>
      <c r="F2231" t="s">
        <v>2942</v>
      </c>
      <c r="G2231" t="s">
        <v>2962</v>
      </c>
      <c r="H2231" t="s">
        <v>3161</v>
      </c>
      <c r="I2231" t="s">
        <v>4658</v>
      </c>
    </row>
    <row r="2232" customHeight="1" ht="14.0">
      <c r="A2232" t="s">
        <v>5374</v>
      </c>
      <c r="B2232" s="153" t="s">
        <v>5375</v>
      </c>
      <c r="C2232">
        <v>1.0</v>
      </c>
      <c r="D2232">
        <v>2.86</v>
      </c>
      <c r="E2232">
        <v>2.86</v>
      </c>
      <c r="F2232" t="s">
        <v>2942</v>
      </c>
      <c r="G2232" t="s">
        <v>2962</v>
      </c>
      <c r="H2232" t="s">
        <v>3161</v>
      </c>
      <c r="I2232" t="s">
        <v>4658</v>
      </c>
    </row>
    <row r="2233" customHeight="1" ht="14.0">
      <c r="A2233" t="s">
        <v>5376</v>
      </c>
      <c r="B2233" s="153" t="s">
        <v>5377</v>
      </c>
      <c r="C2233">
        <v>11.0</v>
      </c>
      <c r="D2233">
        <v>31.46</v>
      </c>
      <c r="E2233">
        <v>2.86</v>
      </c>
      <c r="F2233" t="s">
        <v>2942</v>
      </c>
      <c r="G2233" t="s">
        <v>2962</v>
      </c>
      <c r="H2233" t="s">
        <v>3161</v>
      </c>
      <c r="I2233" t="s">
        <v>4658</v>
      </c>
    </row>
    <row r="2234" customHeight="1" ht="14.0">
      <c r="A2234" t="s">
        <v>5378</v>
      </c>
      <c r="B2234" s="153" t="s">
        <v>5379</v>
      </c>
      <c r="C2234">
        <v>26431.0</v>
      </c>
      <c r="D2234">
        <v>6585.98</v>
      </c>
      <c r="E2234">
        <v>0.2492</v>
      </c>
      <c r="F2234" t="s">
        <v>3197</v>
      </c>
      <c r="G2234" t="s">
        <v>2962</v>
      </c>
      <c r="H2234" t="s">
        <v>3455</v>
      </c>
    </row>
    <row r="2235" customHeight="1" ht="14.0">
      <c r="A2235" t="s">
        <v>5380</v>
      </c>
      <c r="B2235" s="153" t="s">
        <v>5380</v>
      </c>
      <c r="C2235">
        <v>51.0</v>
      </c>
      <c r="D2235">
        <v>740.0</v>
      </c>
      <c r="E2235">
        <v>14.5098</v>
      </c>
      <c r="F2235" t="s">
        <v>2942</v>
      </c>
      <c r="G2235" t="s">
        <v>2962</v>
      </c>
      <c r="H2235" t="s">
        <v>3198</v>
      </c>
    </row>
    <row r="2236" customHeight="1" ht="14.0">
      <c r="A2236" t="s">
        <v>5381</v>
      </c>
      <c r="B2236" s="153" t="s">
        <v>5382</v>
      </c>
      <c r="C2236">
        <v>4.0</v>
      </c>
      <c r="D2236">
        <v>307.42</v>
      </c>
      <c r="E2236">
        <v>76.855</v>
      </c>
      <c r="F2236" t="s">
        <v>3197</v>
      </c>
      <c r="G2236" t="s">
        <v>2962</v>
      </c>
      <c r="H2236" t="s">
        <v>3201</v>
      </c>
    </row>
    <row r="2237" customHeight="1" ht="14.0">
      <c r="A2237" t="s">
        <v>5383</v>
      </c>
      <c r="B2237" s="153" t="s">
        <v>5384</v>
      </c>
      <c r="C2237">
        <v>4.0</v>
      </c>
      <c r="D2237">
        <v>307.42</v>
      </c>
      <c r="E2237">
        <v>76.855</v>
      </c>
      <c r="F2237" t="s">
        <v>3197</v>
      </c>
      <c r="G2237" t="s">
        <v>2962</v>
      </c>
      <c r="H2237" t="s">
        <v>3201</v>
      </c>
    </row>
    <row r="2238" customHeight="1" ht="14.0">
      <c r="A2238" t="s">
        <v>5385</v>
      </c>
      <c r="B2238" s="153">
        <v>61285.0</v>
      </c>
      <c r="C2238">
        <v>0.0</v>
      </c>
      <c r="D2238">
        <v>0.0</v>
      </c>
      <c r="F2238" t="s">
        <v>2942</v>
      </c>
      <c r="G2238" t="s">
        <v>2943</v>
      </c>
      <c r="H2238" t="s">
        <v>2944</v>
      </c>
      <c r="I2238" t="s">
        <v>3783</v>
      </c>
    </row>
    <row r="2239" customHeight="1" ht="14.0">
      <c r="A2239" t="s">
        <v>5386</v>
      </c>
      <c r="B2239" s="153">
        <v>61286.0</v>
      </c>
      <c r="C2239">
        <v>0.0</v>
      </c>
      <c r="D2239">
        <v>0.0</v>
      </c>
      <c r="F2239" t="s">
        <v>2942</v>
      </c>
      <c r="G2239" t="s">
        <v>2943</v>
      </c>
      <c r="H2239" t="s">
        <v>2944</v>
      </c>
      <c r="I2239" t="s">
        <v>3783</v>
      </c>
    </row>
    <row r="2240" customHeight="1" ht="14.0">
      <c r="A2240" t="s">
        <v>5387</v>
      </c>
      <c r="B2240" s="153" t="s">
        <v>5388</v>
      </c>
      <c r="C2240">
        <v>180.0</v>
      </c>
      <c r="D2240">
        <v>99.06</v>
      </c>
      <c r="E2240">
        <v>0.5503</v>
      </c>
      <c r="F2240" t="s">
        <v>2942</v>
      </c>
      <c r="G2240" t="s">
        <v>2962</v>
      </c>
      <c r="H2240" t="s">
        <v>3161</v>
      </c>
      <c r="I2240" t="s">
        <v>3167</v>
      </c>
    </row>
    <row r="2241" customHeight="1" ht="14.0">
      <c r="A2241" t="s">
        <v>787</v>
      </c>
      <c r="B2241" s="153" t="s">
        <v>788</v>
      </c>
      <c r="C2241">
        <v>388.0</v>
      </c>
      <c r="D2241">
        <v>1038.86</v>
      </c>
      <c r="E2241">
        <v>2.6775</v>
      </c>
      <c r="F2241" t="s">
        <v>2942</v>
      </c>
      <c r="G2241" t="s">
        <v>2962</v>
      </c>
      <c r="H2241" t="s">
        <v>30</v>
      </c>
      <c r="I2241" t="s">
        <v>780</v>
      </c>
    </row>
    <row r="2242" customHeight="1" ht="14.0">
      <c r="A2242" t="s">
        <v>789</v>
      </c>
      <c r="B2242" s="153" t="s">
        <v>790</v>
      </c>
      <c r="C2242">
        <v>474.0</v>
      </c>
      <c r="D2242">
        <v>1269.09</v>
      </c>
      <c r="E2242">
        <v>2.6774</v>
      </c>
      <c r="F2242" t="s">
        <v>2942</v>
      </c>
      <c r="G2242" t="s">
        <v>2962</v>
      </c>
      <c r="H2242" t="s">
        <v>30</v>
      </c>
      <c r="I2242" t="s">
        <v>780</v>
      </c>
    </row>
    <row r="2243" customHeight="1" ht="14.0">
      <c r="A2243" t="s">
        <v>785</v>
      </c>
      <c r="B2243" s="153" t="s">
        <v>786</v>
      </c>
      <c r="C2243">
        <v>459.0</v>
      </c>
      <c r="D2243">
        <v>1228.92</v>
      </c>
      <c r="E2243">
        <v>2.6774</v>
      </c>
      <c r="F2243" t="s">
        <v>2942</v>
      </c>
      <c r="G2243" t="s">
        <v>2962</v>
      </c>
      <c r="H2243" t="s">
        <v>30</v>
      </c>
      <c r="I2243" t="s">
        <v>780</v>
      </c>
    </row>
    <row r="2244" customHeight="1" ht="14.0">
      <c r="A2244" t="s">
        <v>783</v>
      </c>
      <c r="B2244" s="153" t="s">
        <v>784</v>
      </c>
      <c r="C2244">
        <v>420.0</v>
      </c>
      <c r="D2244">
        <v>1124.54</v>
      </c>
      <c r="E2244">
        <v>2.6775</v>
      </c>
      <c r="F2244" t="s">
        <v>2942</v>
      </c>
      <c r="G2244" t="s">
        <v>2962</v>
      </c>
      <c r="H2244" t="s">
        <v>30</v>
      </c>
      <c r="I2244" t="s">
        <v>780</v>
      </c>
    </row>
    <row r="2245" customHeight="1" ht="14.0">
      <c r="A2245" t="s">
        <v>781</v>
      </c>
      <c r="B2245" s="153" t="s">
        <v>782</v>
      </c>
      <c r="C2245">
        <v>437.0</v>
      </c>
      <c r="D2245">
        <v>1170.01</v>
      </c>
      <c r="E2245">
        <v>2.6774</v>
      </c>
      <c r="F2245" t="s">
        <v>2942</v>
      </c>
      <c r="G2245" t="s">
        <v>2962</v>
      </c>
      <c r="H2245" t="s">
        <v>30</v>
      </c>
      <c r="I2245" t="s">
        <v>780</v>
      </c>
    </row>
    <row r="2246" customHeight="1" ht="14.0">
      <c r="A2246" t="s">
        <v>791</v>
      </c>
      <c r="B2246" s="153" t="s">
        <v>792</v>
      </c>
      <c r="C2246">
        <v>528.0</v>
      </c>
      <c r="D2246">
        <v>1413.6</v>
      </c>
      <c r="E2246">
        <v>2.6773</v>
      </c>
      <c r="F2246" t="s">
        <v>2942</v>
      </c>
      <c r="G2246" t="s">
        <v>2962</v>
      </c>
      <c r="H2246" t="s">
        <v>30</v>
      </c>
      <c r="I2246" t="s">
        <v>780</v>
      </c>
    </row>
    <row r="2247" customHeight="1" ht="14.0">
      <c r="A2247" t="s">
        <v>5389</v>
      </c>
      <c r="B2247" s="153" t="s">
        <v>5390</v>
      </c>
      <c r="C2247">
        <v>0.0</v>
      </c>
      <c r="D2247">
        <v>0.0</v>
      </c>
      <c r="F2247" t="s">
        <v>2942</v>
      </c>
      <c r="G2247" t="s">
        <v>2943</v>
      </c>
      <c r="H2247" t="s">
        <v>2944</v>
      </c>
      <c r="I2247" t="s">
        <v>3024</v>
      </c>
    </row>
    <row r="2248" customHeight="1" ht="14.0">
      <c r="A2248" t="s">
        <v>2128</v>
      </c>
      <c r="B2248" s="153" t="s">
        <v>2129</v>
      </c>
      <c r="C2248">
        <v>0.0</v>
      </c>
      <c r="D2248">
        <v>0.0</v>
      </c>
      <c r="F2248" t="s">
        <v>2942</v>
      </c>
      <c r="G2248" t="s">
        <v>2943</v>
      </c>
      <c r="H2248" t="s">
        <v>2944</v>
      </c>
      <c r="I2248" t="s">
        <v>3697</v>
      </c>
    </row>
    <row r="2249" customHeight="1" ht="14.0">
      <c r="A2249" t="s">
        <v>5391</v>
      </c>
      <c r="B2249" s="153" t="s">
        <v>5392</v>
      </c>
      <c r="C2249">
        <v>0.0</v>
      </c>
      <c r="D2249">
        <v>0.0</v>
      </c>
      <c r="F2249" t="s">
        <v>2942</v>
      </c>
      <c r="G2249" t="s">
        <v>2943</v>
      </c>
      <c r="H2249" t="s">
        <v>2944</v>
      </c>
      <c r="I2249" t="s">
        <v>3021</v>
      </c>
    </row>
    <row r="2250" customHeight="1" ht="14.0">
      <c r="A2250" t="s">
        <v>5393</v>
      </c>
      <c r="B2250" s="153" t="s">
        <v>5394</v>
      </c>
      <c r="C2250">
        <v>0.0</v>
      </c>
      <c r="D2250">
        <v>0.0</v>
      </c>
      <c r="F2250" t="s">
        <v>2942</v>
      </c>
      <c r="G2250" t="s">
        <v>2943</v>
      </c>
      <c r="H2250" t="s">
        <v>2944</v>
      </c>
      <c r="I2250" t="s">
        <v>3059</v>
      </c>
    </row>
    <row r="2251" customHeight="1" ht="14.0">
      <c r="A2251" t="s">
        <v>5395</v>
      </c>
      <c r="B2251" s="153" t="s">
        <v>5396</v>
      </c>
      <c r="C2251">
        <v>2.0</v>
      </c>
      <c r="D2251">
        <v>0.01</v>
      </c>
      <c r="E2251">
        <v>0.005</v>
      </c>
      <c r="F2251" t="s">
        <v>2942</v>
      </c>
      <c r="G2251" t="s">
        <v>2962</v>
      </c>
      <c r="H2251" t="s">
        <v>3161</v>
      </c>
    </row>
    <row r="2252" customHeight="1" ht="14.0">
      <c r="A2252" t="s">
        <v>2130</v>
      </c>
      <c r="B2252" s="153" t="s">
        <v>2131</v>
      </c>
      <c r="C2252">
        <v>68.0</v>
      </c>
      <c r="D2252">
        <v>211.93</v>
      </c>
      <c r="E2252">
        <v>3.1166</v>
      </c>
      <c r="F2252" t="s">
        <v>2942</v>
      </c>
      <c r="G2252" t="s">
        <v>2962</v>
      </c>
      <c r="H2252" t="s">
        <v>2963</v>
      </c>
      <c r="I2252" t="s">
        <v>5397</v>
      </c>
    </row>
    <row r="2253" customHeight="1" ht="14.0">
      <c r="A2253" t="s">
        <v>2132</v>
      </c>
      <c r="B2253" s="153" t="s">
        <v>2133</v>
      </c>
      <c r="C2253">
        <v>57.0</v>
      </c>
      <c r="D2253">
        <v>0.01</v>
      </c>
      <c r="E2253">
        <v>2.0E-4</v>
      </c>
      <c r="F2253" t="s">
        <v>2942</v>
      </c>
      <c r="G2253" t="s">
        <v>2962</v>
      </c>
      <c r="H2253" t="s">
        <v>2963</v>
      </c>
      <c r="I2253" t="s">
        <v>5397</v>
      </c>
    </row>
    <row r="2254" customHeight="1" ht="14.0">
      <c r="A2254" t="s">
        <v>2134</v>
      </c>
      <c r="B2254" s="153" t="s">
        <v>2135</v>
      </c>
      <c r="C2254">
        <v>0.0</v>
      </c>
      <c r="D2254">
        <v>0.0</v>
      </c>
      <c r="F2254" t="s">
        <v>2942</v>
      </c>
      <c r="G2254" t="s">
        <v>2943</v>
      </c>
      <c r="H2254" t="s">
        <v>2944</v>
      </c>
      <c r="I2254" t="s">
        <v>5397</v>
      </c>
    </row>
    <row r="2255" customHeight="1" ht="14.0">
      <c r="A2255" t="s">
        <v>5398</v>
      </c>
      <c r="B2255" s="153" t="s">
        <v>5399</v>
      </c>
      <c r="C2255">
        <v>0.0</v>
      </c>
      <c r="D2255">
        <v>0.0</v>
      </c>
      <c r="F2255" t="s">
        <v>2942</v>
      </c>
      <c r="G2255" t="s">
        <v>2943</v>
      </c>
      <c r="H2255" t="s">
        <v>2944</v>
      </c>
      <c r="I2255" t="s">
        <v>5397</v>
      </c>
    </row>
    <row r="2256" customHeight="1" ht="14.0">
      <c r="A2256" t="s">
        <v>5400</v>
      </c>
      <c r="B2256" s="153" t="s">
        <v>5401</v>
      </c>
      <c r="C2256">
        <v>0.0</v>
      </c>
      <c r="D2256">
        <v>0.0</v>
      </c>
      <c r="F2256" t="s">
        <v>2942</v>
      </c>
      <c r="G2256" t="s">
        <v>2943</v>
      </c>
      <c r="H2256" t="s">
        <v>2944</v>
      </c>
      <c r="I2256" t="s">
        <v>5397</v>
      </c>
    </row>
    <row r="2257" customHeight="1" ht="14.0">
      <c r="A2257" t="s">
        <v>5402</v>
      </c>
      <c r="B2257" s="153" t="s">
        <v>5403</v>
      </c>
      <c r="C2257">
        <v>38.0</v>
      </c>
      <c r="D2257">
        <v>38.2</v>
      </c>
      <c r="E2257">
        <v>1.0053</v>
      </c>
      <c r="F2257" t="s">
        <v>2942</v>
      </c>
      <c r="G2257" t="s">
        <v>2962</v>
      </c>
      <c r="H2257" t="s">
        <v>2984</v>
      </c>
      <c r="I2257" t="s">
        <v>4058</v>
      </c>
    </row>
    <row r="2258" customHeight="1" ht="14.0">
      <c r="A2258" t="s">
        <v>5404</v>
      </c>
      <c r="B2258" s="153" t="s">
        <v>5405</v>
      </c>
      <c r="C2258">
        <v>91.0</v>
      </c>
      <c r="D2258">
        <v>91.49</v>
      </c>
      <c r="E2258">
        <v>1.0054</v>
      </c>
      <c r="F2258" t="s">
        <v>2942</v>
      </c>
      <c r="G2258" t="s">
        <v>2962</v>
      </c>
      <c r="H2258" t="s">
        <v>2984</v>
      </c>
      <c r="I2258" t="s">
        <v>4058</v>
      </c>
    </row>
    <row r="2259" customHeight="1" ht="14.0">
      <c r="A2259" t="s">
        <v>5406</v>
      </c>
      <c r="B2259" s="153" t="s">
        <v>5407</v>
      </c>
      <c r="C2259">
        <v>61.0</v>
      </c>
      <c r="D2259">
        <v>61.32</v>
      </c>
      <c r="E2259">
        <v>1.0052</v>
      </c>
      <c r="F2259" t="s">
        <v>2942</v>
      </c>
      <c r="G2259" t="s">
        <v>2962</v>
      </c>
      <c r="H2259" t="s">
        <v>2984</v>
      </c>
      <c r="I2259" t="s">
        <v>4058</v>
      </c>
    </row>
    <row r="2260" customHeight="1" ht="14.0">
      <c r="A2260" t="s">
        <v>5408</v>
      </c>
      <c r="B2260" s="153" t="s">
        <v>5409</v>
      </c>
      <c r="C2260">
        <v>76.0</v>
      </c>
      <c r="D2260">
        <v>76.42</v>
      </c>
      <c r="E2260">
        <v>1.0055</v>
      </c>
      <c r="F2260" t="s">
        <v>2942</v>
      </c>
      <c r="G2260" t="s">
        <v>2962</v>
      </c>
      <c r="H2260" t="s">
        <v>2984</v>
      </c>
      <c r="I2260" t="s">
        <v>4058</v>
      </c>
    </row>
    <row r="2261" customHeight="1" ht="14.0">
      <c r="A2261" t="s">
        <v>5410</v>
      </c>
      <c r="B2261" s="153" t="s">
        <v>5411</v>
      </c>
      <c r="C2261">
        <v>72.0</v>
      </c>
      <c r="D2261">
        <v>72.36</v>
      </c>
      <c r="E2261">
        <v>1.005</v>
      </c>
      <c r="F2261" t="s">
        <v>2942</v>
      </c>
      <c r="G2261" t="s">
        <v>2962</v>
      </c>
      <c r="H2261" t="s">
        <v>2984</v>
      </c>
      <c r="I2261" t="s">
        <v>4058</v>
      </c>
    </row>
    <row r="2262" customHeight="1" ht="14.0">
      <c r="A2262" t="s">
        <v>5412</v>
      </c>
      <c r="B2262" s="153" t="s">
        <v>5413</v>
      </c>
      <c r="C2262">
        <v>103.0</v>
      </c>
      <c r="D2262">
        <v>103.55</v>
      </c>
      <c r="E2262">
        <v>1.0053</v>
      </c>
      <c r="F2262" t="s">
        <v>2942</v>
      </c>
      <c r="G2262" t="s">
        <v>2962</v>
      </c>
      <c r="H2262" t="s">
        <v>2984</v>
      </c>
      <c r="I2262" t="s">
        <v>4058</v>
      </c>
    </row>
    <row r="2263" customHeight="1" ht="14.0">
      <c r="A2263" t="s">
        <v>803</v>
      </c>
      <c r="B2263" s="153" t="s">
        <v>804</v>
      </c>
      <c r="C2263">
        <v>0.0</v>
      </c>
      <c r="D2263">
        <v>0.0</v>
      </c>
      <c r="F2263" t="s">
        <v>2942</v>
      </c>
      <c r="G2263" t="s">
        <v>2962</v>
      </c>
      <c r="H2263" t="s">
        <v>30</v>
      </c>
      <c r="I2263" t="s">
        <v>802</v>
      </c>
    </row>
    <row r="2264" customHeight="1" ht="14.0">
      <c r="A2264" t="s">
        <v>5414</v>
      </c>
      <c r="B2264" s="153" t="s">
        <v>5415</v>
      </c>
      <c r="C2264">
        <v>0.0</v>
      </c>
      <c r="D2264">
        <v>0.0</v>
      </c>
      <c r="F2264" t="s">
        <v>2942</v>
      </c>
      <c r="G2264" t="s">
        <v>2943</v>
      </c>
      <c r="H2264" t="s">
        <v>2963</v>
      </c>
    </row>
    <row r="2265" customHeight="1" ht="14.0">
      <c r="A2265" t="s">
        <v>5416</v>
      </c>
      <c r="B2265" s="153" t="s">
        <v>5417</v>
      </c>
      <c r="C2265">
        <v>0.0</v>
      </c>
      <c r="D2265">
        <v>0.0</v>
      </c>
      <c r="F2265" t="s">
        <v>2942</v>
      </c>
      <c r="G2265" t="s">
        <v>2943</v>
      </c>
      <c r="H2265" t="s">
        <v>2963</v>
      </c>
    </row>
    <row r="2266" customHeight="1" ht="14.0">
      <c r="A2266" t="s">
        <v>5418</v>
      </c>
      <c r="B2266" s="153" t="s">
        <v>5419</v>
      </c>
      <c r="C2266">
        <v>0.0</v>
      </c>
      <c r="D2266">
        <v>0.0</v>
      </c>
      <c r="F2266" t="s">
        <v>2942</v>
      </c>
      <c r="G2266" t="s">
        <v>2943</v>
      </c>
      <c r="H2266" t="s">
        <v>2963</v>
      </c>
    </row>
    <row r="2267" customHeight="1" ht="14.0">
      <c r="A2267" t="s">
        <v>5420</v>
      </c>
      <c r="B2267" s="153" t="s">
        <v>5421</v>
      </c>
      <c r="C2267">
        <v>24.0</v>
      </c>
      <c r="D2267">
        <v>673.17</v>
      </c>
      <c r="E2267">
        <v>28.0488</v>
      </c>
      <c r="F2267" t="s">
        <v>2942</v>
      </c>
      <c r="G2267" t="s">
        <v>2962</v>
      </c>
      <c r="H2267" t="s">
        <v>2984</v>
      </c>
      <c r="I2267" t="s">
        <v>4058</v>
      </c>
    </row>
    <row r="2268" customHeight="1" ht="14.0">
      <c r="A2268" t="s">
        <v>2136</v>
      </c>
      <c r="B2268" s="153" t="s">
        <v>2137</v>
      </c>
      <c r="C2268">
        <v>0.0</v>
      </c>
      <c r="D2268">
        <v>0.0</v>
      </c>
      <c r="F2268" t="s">
        <v>2942</v>
      </c>
      <c r="G2268" t="s">
        <v>2943</v>
      </c>
      <c r="H2268" t="s">
        <v>2944</v>
      </c>
      <c r="I2268" t="s">
        <v>4058</v>
      </c>
    </row>
    <row r="2269" customHeight="1" ht="14.0">
      <c r="A2269" t="s">
        <v>5422</v>
      </c>
      <c r="B2269" s="153" t="s">
        <v>5423</v>
      </c>
      <c r="C2269">
        <v>282.0</v>
      </c>
      <c r="D2269">
        <v>155.1</v>
      </c>
      <c r="E2269">
        <v>0.55</v>
      </c>
      <c r="F2269" t="s">
        <v>2942</v>
      </c>
      <c r="G2269" t="s">
        <v>2962</v>
      </c>
      <c r="H2269" t="s">
        <v>3161</v>
      </c>
      <c r="I2269" t="s">
        <v>3167</v>
      </c>
    </row>
    <row r="2270" customHeight="1" ht="14.0">
      <c r="A2270" t="s">
        <v>5424</v>
      </c>
      <c r="B2270" s="153" t="s">
        <v>5425</v>
      </c>
      <c r="C2270">
        <v>426.0</v>
      </c>
      <c r="D2270">
        <v>213.0</v>
      </c>
      <c r="E2270">
        <v>0.5</v>
      </c>
      <c r="F2270" t="s">
        <v>2942</v>
      </c>
      <c r="G2270" t="s">
        <v>2962</v>
      </c>
      <c r="H2270" t="s">
        <v>3161</v>
      </c>
      <c r="I2270" t="s">
        <v>3447</v>
      </c>
    </row>
    <row r="2271" customHeight="1" ht="14.0">
      <c r="A2271" t="s">
        <v>5426</v>
      </c>
      <c r="B2271" s="153" t="s">
        <v>5427</v>
      </c>
      <c r="C2271">
        <v>0.0</v>
      </c>
      <c r="D2271">
        <v>0.0</v>
      </c>
      <c r="F2271" t="s">
        <v>2942</v>
      </c>
      <c r="G2271" t="s">
        <v>2943</v>
      </c>
      <c r="H2271" t="s">
        <v>2944</v>
      </c>
      <c r="I2271" t="s">
        <v>197</v>
      </c>
    </row>
    <row r="2272" customHeight="1" ht="14.0">
      <c r="A2272" t="s">
        <v>5428</v>
      </c>
      <c r="B2272" s="153" t="s">
        <v>5429</v>
      </c>
      <c r="C2272">
        <v>0.0</v>
      </c>
      <c r="D2272">
        <v>0.0</v>
      </c>
      <c r="F2272" t="s">
        <v>2942</v>
      </c>
      <c r="G2272" t="s">
        <v>2943</v>
      </c>
      <c r="H2272" t="s">
        <v>2944</v>
      </c>
      <c r="I2272" t="s">
        <v>3021</v>
      </c>
    </row>
    <row r="2273" customHeight="1" ht="14.0">
      <c r="A2273" t="s">
        <v>5430</v>
      </c>
      <c r="B2273" s="153" t="s">
        <v>5431</v>
      </c>
      <c r="C2273">
        <v>0.0</v>
      </c>
      <c r="D2273">
        <v>0.0</v>
      </c>
      <c r="F2273" t="s">
        <v>2942</v>
      </c>
      <c r="G2273" t="s">
        <v>2962</v>
      </c>
      <c r="H2273" t="s">
        <v>3198</v>
      </c>
    </row>
    <row r="2274" customHeight="1" ht="14.0">
      <c r="A2274" t="s">
        <v>5432</v>
      </c>
      <c r="B2274" s="153" t="s">
        <v>5433</v>
      </c>
      <c r="C2274">
        <v>510.0</v>
      </c>
      <c r="D2274">
        <v>255.0</v>
      </c>
      <c r="E2274">
        <v>0.5</v>
      </c>
      <c r="F2274" t="s">
        <v>2942</v>
      </c>
      <c r="G2274" t="s">
        <v>2962</v>
      </c>
      <c r="H2274" t="s">
        <v>3161</v>
      </c>
      <c r="I2274" t="s">
        <v>3447</v>
      </c>
    </row>
    <row r="2275" customHeight="1" ht="14.0">
      <c r="A2275" t="s">
        <v>5434</v>
      </c>
      <c r="B2275" s="153" t="s">
        <v>5435</v>
      </c>
      <c r="C2275">
        <v>186.0</v>
      </c>
      <c r="D2275">
        <v>89.28</v>
      </c>
      <c r="E2275">
        <v>0.48</v>
      </c>
      <c r="F2275" t="s">
        <v>2942</v>
      </c>
      <c r="G2275" t="s">
        <v>2962</v>
      </c>
      <c r="H2275" t="s">
        <v>3161</v>
      </c>
      <c r="I2275" t="s">
        <v>3366</v>
      </c>
    </row>
    <row r="2276" customHeight="1" ht="14.0">
      <c r="A2276" t="s">
        <v>5436</v>
      </c>
      <c r="B2276" s="153" t="s">
        <v>5437</v>
      </c>
      <c r="C2276">
        <v>0.0</v>
      </c>
      <c r="D2276">
        <v>0.0</v>
      </c>
      <c r="F2276" t="s">
        <v>2942</v>
      </c>
      <c r="G2276" t="s">
        <v>2943</v>
      </c>
      <c r="H2276" t="s">
        <v>2944</v>
      </c>
      <c r="I2276" t="s">
        <v>401</v>
      </c>
    </row>
    <row r="2277" customHeight="1" ht="14.0">
      <c r="A2277" t="s">
        <v>637</v>
      </c>
      <c r="B2277" s="153" t="s">
        <v>638</v>
      </c>
      <c r="C2277">
        <v>411.0</v>
      </c>
      <c r="D2277">
        <v>1025.17</v>
      </c>
      <c r="E2277">
        <v>2.4943</v>
      </c>
      <c r="F2277" t="s">
        <v>2942</v>
      </c>
      <c r="G2277" t="s">
        <v>2962</v>
      </c>
      <c r="H2277" t="s">
        <v>30</v>
      </c>
      <c r="I2277" t="s">
        <v>622</v>
      </c>
    </row>
    <row r="2278" customHeight="1" ht="14.0">
      <c r="A2278" t="s">
        <v>629</v>
      </c>
      <c r="B2278" s="153" t="s">
        <v>630</v>
      </c>
      <c r="C2278">
        <v>381.0</v>
      </c>
      <c r="D2278">
        <v>950.37</v>
      </c>
      <c r="E2278">
        <v>2.4944</v>
      </c>
      <c r="F2278" t="s">
        <v>2942</v>
      </c>
      <c r="G2278" t="s">
        <v>2962</v>
      </c>
      <c r="H2278" t="s">
        <v>30</v>
      </c>
      <c r="I2278" t="s">
        <v>622</v>
      </c>
    </row>
    <row r="2279" customHeight="1" ht="14.0">
      <c r="A2279" t="s">
        <v>645</v>
      </c>
      <c r="B2279" s="153" t="s">
        <v>646</v>
      </c>
      <c r="C2279">
        <v>347.0</v>
      </c>
      <c r="D2279">
        <v>865.6</v>
      </c>
      <c r="E2279">
        <v>2.4945</v>
      </c>
      <c r="F2279" t="s">
        <v>2942</v>
      </c>
      <c r="G2279" t="s">
        <v>2962</v>
      </c>
      <c r="H2279" t="s">
        <v>30</v>
      </c>
      <c r="I2279" t="s">
        <v>622</v>
      </c>
    </row>
    <row r="2280" customHeight="1" ht="14.0">
      <c r="A2280" t="s">
        <v>625</v>
      </c>
      <c r="B2280" s="153" t="s">
        <v>626</v>
      </c>
      <c r="C2280">
        <v>302.0</v>
      </c>
      <c r="D2280">
        <v>753.39</v>
      </c>
      <c r="E2280">
        <v>2.4947</v>
      </c>
      <c r="F2280" t="s">
        <v>2942</v>
      </c>
      <c r="G2280" t="s">
        <v>2962</v>
      </c>
      <c r="H2280" t="s">
        <v>30</v>
      </c>
      <c r="I2280" t="s">
        <v>622</v>
      </c>
    </row>
    <row r="2281" customHeight="1" ht="14.0">
      <c r="A2281" t="s">
        <v>633</v>
      </c>
      <c r="B2281" s="153" t="s">
        <v>634</v>
      </c>
      <c r="C2281">
        <v>230.0</v>
      </c>
      <c r="D2281">
        <v>573.87</v>
      </c>
      <c r="E2281">
        <v>2.4951</v>
      </c>
      <c r="F2281" t="s">
        <v>2942</v>
      </c>
      <c r="G2281" t="s">
        <v>2962</v>
      </c>
      <c r="H2281" t="s">
        <v>30</v>
      </c>
      <c r="I2281" t="s">
        <v>622</v>
      </c>
    </row>
    <row r="2282" customHeight="1" ht="14.0">
      <c r="A2282" t="s">
        <v>641</v>
      </c>
      <c r="B2282" s="153" t="s">
        <v>642</v>
      </c>
      <c r="C2282">
        <v>276.0</v>
      </c>
      <c r="D2282">
        <v>688.59</v>
      </c>
      <c r="E2282">
        <v>2.4949</v>
      </c>
      <c r="F2282" t="s">
        <v>2942</v>
      </c>
      <c r="G2282" t="s">
        <v>2962</v>
      </c>
      <c r="H2282" t="s">
        <v>30</v>
      </c>
      <c r="I2282" t="s">
        <v>622</v>
      </c>
    </row>
    <row r="2283" customHeight="1" ht="14.0">
      <c r="A2283" t="s">
        <v>5438</v>
      </c>
      <c r="B2283" s="153" t="s">
        <v>624</v>
      </c>
      <c r="C2283">
        <v>405.0</v>
      </c>
      <c r="D2283">
        <v>1010.15</v>
      </c>
      <c r="E2283">
        <v>2.4942</v>
      </c>
      <c r="F2283" t="s">
        <v>2942</v>
      </c>
      <c r="G2283" t="s">
        <v>2962</v>
      </c>
      <c r="H2283" t="s">
        <v>30</v>
      </c>
      <c r="I2283" t="s">
        <v>622</v>
      </c>
    </row>
    <row r="2284" customHeight="1" ht="14.0">
      <c r="A2284" t="s">
        <v>635</v>
      </c>
      <c r="B2284" s="153" t="s">
        <v>636</v>
      </c>
      <c r="C2284">
        <v>426.0</v>
      </c>
      <c r="D2284">
        <v>1062.57</v>
      </c>
      <c r="E2284">
        <v>2.4943</v>
      </c>
      <c r="F2284" t="s">
        <v>2942</v>
      </c>
      <c r="G2284" t="s">
        <v>2962</v>
      </c>
      <c r="H2284" t="s">
        <v>30</v>
      </c>
      <c r="I2284" t="s">
        <v>622</v>
      </c>
    </row>
    <row r="2285" customHeight="1" ht="14.0">
      <c r="A2285" t="s">
        <v>627</v>
      </c>
      <c r="B2285" s="153" t="s">
        <v>628</v>
      </c>
      <c r="C2285">
        <v>423.0</v>
      </c>
      <c r="D2285">
        <v>1055.09</v>
      </c>
      <c r="E2285">
        <v>2.4943</v>
      </c>
      <c r="F2285" t="s">
        <v>2942</v>
      </c>
      <c r="G2285" t="s">
        <v>2962</v>
      </c>
      <c r="H2285" t="s">
        <v>30</v>
      </c>
      <c r="I2285" t="s">
        <v>622</v>
      </c>
    </row>
    <row r="2286" customHeight="1" ht="14.0">
      <c r="A2286" t="s">
        <v>643</v>
      </c>
      <c r="B2286" s="153" t="s">
        <v>644</v>
      </c>
      <c r="C2286">
        <v>390.0</v>
      </c>
      <c r="D2286">
        <v>972.81</v>
      </c>
      <c r="E2286">
        <v>2.4944</v>
      </c>
      <c r="F2286" t="s">
        <v>2942</v>
      </c>
      <c r="G2286" t="s">
        <v>2962</v>
      </c>
      <c r="H2286" t="s">
        <v>30</v>
      </c>
      <c r="I2286" t="s">
        <v>622</v>
      </c>
    </row>
    <row r="2287" customHeight="1" ht="14.0">
      <c r="A2287" t="s">
        <v>631</v>
      </c>
      <c r="B2287" s="153" t="s">
        <v>632</v>
      </c>
      <c r="C2287">
        <v>327.0</v>
      </c>
      <c r="D2287">
        <v>815.75</v>
      </c>
      <c r="E2287">
        <v>2.4946</v>
      </c>
      <c r="F2287" t="s">
        <v>2942</v>
      </c>
      <c r="G2287" t="s">
        <v>2962</v>
      </c>
      <c r="H2287" t="s">
        <v>30</v>
      </c>
      <c r="I2287" t="s">
        <v>622</v>
      </c>
    </row>
    <row r="2288" customHeight="1" ht="14.0">
      <c r="A2288" t="s">
        <v>639</v>
      </c>
      <c r="B2288" s="153" t="s">
        <v>640</v>
      </c>
      <c r="C2288">
        <v>363.0</v>
      </c>
      <c r="D2288">
        <v>905.44</v>
      </c>
      <c r="E2288">
        <v>2.4943</v>
      </c>
      <c r="F2288" t="s">
        <v>2942</v>
      </c>
      <c r="G2288" t="s">
        <v>2962</v>
      </c>
      <c r="H2288" t="s">
        <v>30</v>
      </c>
      <c r="I2288" t="s">
        <v>622</v>
      </c>
    </row>
    <row r="2289" customHeight="1" ht="14.0">
      <c r="A2289" t="s">
        <v>2138</v>
      </c>
      <c r="B2289" s="153" t="s">
        <v>2139</v>
      </c>
      <c r="C2289">
        <v>0.0</v>
      </c>
      <c r="D2289">
        <v>0.0</v>
      </c>
      <c r="F2289" t="s">
        <v>2942</v>
      </c>
      <c r="G2289" t="s">
        <v>2962</v>
      </c>
      <c r="H2289" t="s">
        <v>2963</v>
      </c>
      <c r="I2289" t="s">
        <v>622</v>
      </c>
    </row>
    <row r="2290" customHeight="1" ht="14.0">
      <c r="A2290" t="s">
        <v>5439</v>
      </c>
      <c r="B2290" s="153" t="s">
        <v>5440</v>
      </c>
      <c r="C2290">
        <v>7.0</v>
      </c>
      <c r="D2290">
        <v>80.78</v>
      </c>
      <c r="E2290">
        <v>11.54</v>
      </c>
      <c r="F2290" t="s">
        <v>2942</v>
      </c>
      <c r="G2290" t="s">
        <v>2962</v>
      </c>
      <c r="I2290" t="s">
        <v>197</v>
      </c>
    </row>
    <row r="2291" customHeight="1" ht="14.0">
      <c r="A2291" t="s">
        <v>5441</v>
      </c>
      <c r="B2291" s="153" t="s">
        <v>5442</v>
      </c>
      <c r="C2291">
        <v>0.0</v>
      </c>
      <c r="D2291">
        <v>0.0</v>
      </c>
      <c r="F2291" t="s">
        <v>2942</v>
      </c>
      <c r="G2291" t="s">
        <v>2943</v>
      </c>
      <c r="H2291" t="s">
        <v>2944</v>
      </c>
      <c r="I2291" t="s">
        <v>5443</v>
      </c>
    </row>
    <row r="2292" customHeight="1" ht="14.0">
      <c r="A2292" t="s">
        <v>5444</v>
      </c>
      <c r="B2292" s="153" t="s">
        <v>5445</v>
      </c>
      <c r="C2292">
        <v>0.0</v>
      </c>
      <c r="D2292">
        <v>0.0</v>
      </c>
      <c r="F2292" t="s">
        <v>2942</v>
      </c>
      <c r="G2292" t="s">
        <v>2943</v>
      </c>
      <c r="H2292" t="s">
        <v>2944</v>
      </c>
      <c r="I2292" t="s">
        <v>5443</v>
      </c>
    </row>
    <row r="2293" customHeight="1" ht="14.0">
      <c r="A2293" t="s">
        <v>5446</v>
      </c>
      <c r="B2293" s="153" t="s">
        <v>5447</v>
      </c>
      <c r="C2293">
        <v>0.0</v>
      </c>
      <c r="D2293">
        <v>0.0</v>
      </c>
      <c r="F2293" t="s">
        <v>2942</v>
      </c>
      <c r="G2293" t="s">
        <v>2943</v>
      </c>
      <c r="H2293" t="s">
        <v>2944</v>
      </c>
      <c r="I2293" t="s">
        <v>5443</v>
      </c>
    </row>
    <row r="2294" customHeight="1" ht="14.0">
      <c r="A2294" t="s">
        <v>5448</v>
      </c>
      <c r="B2294" s="153" t="s">
        <v>5449</v>
      </c>
      <c r="C2294">
        <v>0.0</v>
      </c>
      <c r="D2294">
        <v>0.0</v>
      </c>
      <c r="F2294" t="s">
        <v>2942</v>
      </c>
      <c r="G2294" t="s">
        <v>2943</v>
      </c>
      <c r="H2294" t="s">
        <v>2944</v>
      </c>
      <c r="I2294" t="s">
        <v>5443</v>
      </c>
    </row>
    <row r="2295" customHeight="1" ht="14.0">
      <c r="A2295" t="s">
        <v>5450</v>
      </c>
      <c r="B2295" s="153" t="s">
        <v>5451</v>
      </c>
      <c r="C2295">
        <v>0.0</v>
      </c>
      <c r="D2295">
        <v>0.0</v>
      </c>
      <c r="F2295" t="s">
        <v>2942</v>
      </c>
      <c r="G2295" t="s">
        <v>2943</v>
      </c>
      <c r="H2295" t="s">
        <v>2944</v>
      </c>
      <c r="I2295" t="s">
        <v>5443</v>
      </c>
    </row>
    <row r="2296" customHeight="1" ht="14.0">
      <c r="A2296" t="s">
        <v>5452</v>
      </c>
      <c r="B2296" s="153" t="s">
        <v>5453</v>
      </c>
      <c r="C2296">
        <v>0.0</v>
      </c>
      <c r="D2296">
        <v>0.0</v>
      </c>
      <c r="F2296" t="s">
        <v>2942</v>
      </c>
      <c r="G2296" t="s">
        <v>2943</v>
      </c>
      <c r="H2296" t="s">
        <v>2944</v>
      </c>
      <c r="I2296" t="s">
        <v>5443</v>
      </c>
    </row>
    <row r="2297" customHeight="1" ht="14.0">
      <c r="A2297" t="s">
        <v>5454</v>
      </c>
      <c r="B2297" s="153" t="s">
        <v>5455</v>
      </c>
      <c r="C2297">
        <v>0.0</v>
      </c>
      <c r="D2297">
        <v>0.0</v>
      </c>
      <c r="F2297" t="s">
        <v>2942</v>
      </c>
      <c r="G2297" t="s">
        <v>2943</v>
      </c>
      <c r="H2297" t="s">
        <v>2944</v>
      </c>
      <c r="I2297" t="s">
        <v>5443</v>
      </c>
    </row>
    <row r="2298" customHeight="1" ht="14.0">
      <c r="A2298" t="s">
        <v>5456</v>
      </c>
      <c r="B2298" s="153" t="s">
        <v>5457</v>
      </c>
      <c r="C2298">
        <v>0.0</v>
      </c>
      <c r="D2298">
        <v>0.0</v>
      </c>
      <c r="F2298" t="s">
        <v>2942</v>
      </c>
      <c r="G2298" t="s">
        <v>2943</v>
      </c>
      <c r="H2298" t="s">
        <v>2944</v>
      </c>
      <c r="I2298" t="s">
        <v>5443</v>
      </c>
    </row>
    <row r="2299" customHeight="1" ht="14.0">
      <c r="A2299" t="s">
        <v>5458</v>
      </c>
      <c r="B2299" s="153" t="s">
        <v>5459</v>
      </c>
      <c r="C2299">
        <v>0.0</v>
      </c>
      <c r="D2299">
        <v>0.0</v>
      </c>
      <c r="F2299" t="s">
        <v>2942</v>
      </c>
      <c r="G2299" t="s">
        <v>2943</v>
      </c>
      <c r="H2299" t="s">
        <v>2944</v>
      </c>
      <c r="I2299" t="s">
        <v>5443</v>
      </c>
    </row>
    <row r="2300" customHeight="1" ht="14.0">
      <c r="A2300" t="s">
        <v>5460</v>
      </c>
      <c r="B2300" s="153" t="s">
        <v>5461</v>
      </c>
      <c r="C2300">
        <v>0.0</v>
      </c>
      <c r="D2300">
        <v>0.0</v>
      </c>
      <c r="F2300" t="s">
        <v>2942</v>
      </c>
      <c r="G2300" t="s">
        <v>2943</v>
      </c>
      <c r="H2300" t="s">
        <v>2944</v>
      </c>
      <c r="I2300" t="s">
        <v>5443</v>
      </c>
    </row>
    <row r="2301" customHeight="1" ht="14.0">
      <c r="A2301" t="s">
        <v>5462</v>
      </c>
      <c r="B2301" s="153" t="s">
        <v>5463</v>
      </c>
      <c r="C2301">
        <v>0.0</v>
      </c>
      <c r="D2301">
        <v>0.0</v>
      </c>
      <c r="F2301" t="s">
        <v>2942</v>
      </c>
      <c r="G2301" t="s">
        <v>2943</v>
      </c>
      <c r="H2301" t="s">
        <v>2944</v>
      </c>
      <c r="I2301" t="s">
        <v>453</v>
      </c>
    </row>
    <row r="2302" customHeight="1" ht="14.0">
      <c r="A2302" t="s">
        <v>5464</v>
      </c>
      <c r="B2302" s="153" t="s">
        <v>5465</v>
      </c>
      <c r="C2302">
        <v>0.0</v>
      </c>
      <c r="D2302">
        <v>0.0</v>
      </c>
      <c r="F2302" t="s">
        <v>2942</v>
      </c>
      <c r="G2302" t="s">
        <v>2943</v>
      </c>
      <c r="H2302" t="s">
        <v>2944</v>
      </c>
      <c r="I2302" t="s">
        <v>453</v>
      </c>
    </row>
    <row r="2303" customHeight="1" ht="14.0">
      <c r="A2303" t="s">
        <v>5466</v>
      </c>
      <c r="B2303" s="153" t="s">
        <v>5467</v>
      </c>
      <c r="C2303">
        <v>0.0</v>
      </c>
      <c r="D2303">
        <v>0.0</v>
      </c>
      <c r="F2303" t="s">
        <v>2942</v>
      </c>
      <c r="G2303" t="s">
        <v>2943</v>
      </c>
      <c r="H2303" t="s">
        <v>2944</v>
      </c>
      <c r="I2303" t="s">
        <v>453</v>
      </c>
    </row>
    <row r="2304" customHeight="1" ht="14.0">
      <c r="A2304" t="s">
        <v>5468</v>
      </c>
      <c r="B2304" s="153" t="s">
        <v>5469</v>
      </c>
      <c r="C2304">
        <v>0.0</v>
      </c>
      <c r="D2304">
        <v>0.0</v>
      </c>
      <c r="F2304" t="s">
        <v>2942</v>
      </c>
      <c r="G2304" t="s">
        <v>2943</v>
      </c>
      <c r="H2304" t="s">
        <v>2944</v>
      </c>
      <c r="I2304" t="s">
        <v>453</v>
      </c>
    </row>
    <row r="2305" customHeight="1" ht="14.0">
      <c r="A2305" t="s">
        <v>5470</v>
      </c>
      <c r="B2305" s="153" t="s">
        <v>5471</v>
      </c>
      <c r="C2305">
        <v>0.0</v>
      </c>
      <c r="D2305">
        <v>0.0</v>
      </c>
      <c r="F2305" t="s">
        <v>2942</v>
      </c>
      <c r="G2305" t="s">
        <v>2943</v>
      </c>
      <c r="H2305" t="s">
        <v>2944</v>
      </c>
      <c r="I2305" t="s">
        <v>4855</v>
      </c>
    </row>
    <row r="2306" customHeight="1" ht="14.0">
      <c r="A2306" t="s">
        <v>5472</v>
      </c>
      <c r="B2306" s="153" t="s">
        <v>5473</v>
      </c>
      <c r="C2306">
        <v>0.0</v>
      </c>
      <c r="D2306">
        <v>0.0</v>
      </c>
      <c r="F2306" t="s">
        <v>2942</v>
      </c>
      <c r="G2306" t="s">
        <v>2943</v>
      </c>
      <c r="H2306" t="s">
        <v>2944</v>
      </c>
      <c r="I2306" t="s">
        <v>4855</v>
      </c>
    </row>
    <row r="2307" customHeight="1" ht="14.0">
      <c r="A2307" t="s">
        <v>5474</v>
      </c>
      <c r="B2307" s="153" t="s">
        <v>5475</v>
      </c>
      <c r="C2307">
        <v>0.0</v>
      </c>
      <c r="D2307">
        <v>0.0</v>
      </c>
      <c r="F2307" t="s">
        <v>2942</v>
      </c>
      <c r="G2307" t="s">
        <v>2943</v>
      </c>
      <c r="H2307" t="s">
        <v>2944</v>
      </c>
      <c r="I2307" t="s">
        <v>4855</v>
      </c>
    </row>
    <row r="2308" customHeight="1" ht="14.0">
      <c r="A2308" t="s">
        <v>5476</v>
      </c>
      <c r="B2308" s="153" t="s">
        <v>5477</v>
      </c>
      <c r="C2308">
        <v>0.0</v>
      </c>
      <c r="D2308">
        <v>0.0</v>
      </c>
      <c r="F2308" t="s">
        <v>2942</v>
      </c>
      <c r="G2308" t="s">
        <v>2943</v>
      </c>
      <c r="H2308" t="s">
        <v>2944</v>
      </c>
      <c r="I2308" t="s">
        <v>4855</v>
      </c>
    </row>
    <row r="2309" customHeight="1" ht="14.0">
      <c r="A2309" t="s">
        <v>5478</v>
      </c>
      <c r="B2309" s="153" t="s">
        <v>5479</v>
      </c>
      <c r="C2309">
        <v>0.0</v>
      </c>
      <c r="D2309">
        <v>0.0</v>
      </c>
      <c r="F2309" t="s">
        <v>2942</v>
      </c>
      <c r="G2309" t="s">
        <v>2943</v>
      </c>
      <c r="H2309" t="s">
        <v>2944</v>
      </c>
      <c r="I2309" t="s">
        <v>4855</v>
      </c>
    </row>
    <row r="2310" customHeight="1" ht="14.0">
      <c r="A2310" t="s">
        <v>5480</v>
      </c>
      <c r="B2310" s="153" t="s">
        <v>5481</v>
      </c>
      <c r="C2310">
        <v>0.0</v>
      </c>
      <c r="D2310">
        <v>0.0</v>
      </c>
      <c r="F2310" t="s">
        <v>2942</v>
      </c>
      <c r="G2310" t="s">
        <v>2943</v>
      </c>
      <c r="H2310" t="s">
        <v>2944</v>
      </c>
      <c r="I2310" t="s">
        <v>4855</v>
      </c>
    </row>
    <row r="2311" customHeight="1" ht="14.0">
      <c r="A2311" t="s">
        <v>5482</v>
      </c>
      <c r="B2311" s="153" t="s">
        <v>5483</v>
      </c>
      <c r="C2311">
        <v>0.0</v>
      </c>
      <c r="D2311">
        <v>0.0</v>
      </c>
      <c r="F2311" t="s">
        <v>2942</v>
      </c>
      <c r="G2311" t="s">
        <v>2943</v>
      </c>
      <c r="H2311" t="s">
        <v>2944</v>
      </c>
      <c r="I2311" t="s">
        <v>197</v>
      </c>
    </row>
    <row r="2312" customHeight="1" ht="14.0">
      <c r="A2312" t="s">
        <v>5484</v>
      </c>
      <c r="B2312" s="153" t="s">
        <v>5485</v>
      </c>
      <c r="C2312">
        <v>171.0</v>
      </c>
      <c r="D2312">
        <v>643.26</v>
      </c>
      <c r="E2312">
        <v>3.7618</v>
      </c>
      <c r="F2312" t="s">
        <v>3197</v>
      </c>
      <c r="G2312" t="s">
        <v>2962</v>
      </c>
      <c r="H2312" t="s">
        <v>3455</v>
      </c>
    </row>
    <row r="2313" customHeight="1" ht="14.0">
      <c r="A2313" t="s">
        <v>5486</v>
      </c>
      <c r="B2313" s="153" t="s">
        <v>5487</v>
      </c>
      <c r="C2313">
        <v>171.0</v>
      </c>
      <c r="D2313">
        <v>643.26</v>
      </c>
      <c r="E2313">
        <v>3.7618</v>
      </c>
      <c r="F2313" t="s">
        <v>3197</v>
      </c>
      <c r="G2313" t="s">
        <v>2962</v>
      </c>
      <c r="H2313" t="s">
        <v>3455</v>
      </c>
    </row>
    <row r="2314" customHeight="1" ht="14.0">
      <c r="A2314" t="s">
        <v>5488</v>
      </c>
      <c r="B2314" s="153" t="s">
        <v>5489</v>
      </c>
      <c r="C2314">
        <v>171.0</v>
      </c>
      <c r="D2314">
        <v>643.26</v>
      </c>
      <c r="E2314">
        <v>3.7618</v>
      </c>
      <c r="F2314" t="s">
        <v>3197</v>
      </c>
      <c r="G2314" t="s">
        <v>2962</v>
      </c>
      <c r="H2314" t="s">
        <v>3455</v>
      </c>
    </row>
    <row r="2315" customHeight="1" ht="14.0">
      <c r="A2315" t="s">
        <v>5490</v>
      </c>
      <c r="B2315" s="153" t="s">
        <v>5491</v>
      </c>
      <c r="C2315">
        <v>171.0</v>
      </c>
      <c r="D2315">
        <v>643.26</v>
      </c>
      <c r="E2315">
        <v>3.7618</v>
      </c>
      <c r="F2315" t="s">
        <v>3197</v>
      </c>
      <c r="G2315" t="s">
        <v>2962</v>
      </c>
      <c r="H2315" t="s">
        <v>3455</v>
      </c>
    </row>
    <row r="2316" customHeight="1" ht="14.0">
      <c r="A2316" t="s">
        <v>5492</v>
      </c>
      <c r="B2316" s="153" t="s">
        <v>5493</v>
      </c>
      <c r="C2316">
        <v>171.0</v>
      </c>
      <c r="D2316">
        <v>643.26</v>
      </c>
      <c r="E2316">
        <v>3.7618</v>
      </c>
      <c r="F2316" t="s">
        <v>3197</v>
      </c>
      <c r="G2316" t="s">
        <v>2962</v>
      </c>
      <c r="H2316" t="s">
        <v>3455</v>
      </c>
    </row>
    <row r="2317" customHeight="1" ht="14.0">
      <c r="A2317" t="s">
        <v>5494</v>
      </c>
      <c r="B2317" s="153" t="s">
        <v>5495</v>
      </c>
      <c r="C2317">
        <v>0.0</v>
      </c>
      <c r="D2317">
        <v>0.0</v>
      </c>
      <c r="F2317" t="s">
        <v>2994</v>
      </c>
      <c r="G2317" t="s">
        <v>2943</v>
      </c>
      <c r="H2317" t="s">
        <v>2944</v>
      </c>
    </row>
    <row r="2318" customHeight="1" ht="14.0">
      <c r="A2318" t="s">
        <v>5496</v>
      </c>
      <c r="B2318" s="153" t="s">
        <v>5497</v>
      </c>
      <c r="C2318">
        <v>0.0</v>
      </c>
      <c r="D2318">
        <v>0.0</v>
      </c>
      <c r="F2318" t="s">
        <v>2994</v>
      </c>
      <c r="G2318" t="s">
        <v>2943</v>
      </c>
      <c r="H2318" t="s">
        <v>2944</v>
      </c>
    </row>
    <row r="2319" customHeight="1" ht="14.0">
      <c r="A2319" t="s">
        <v>5498</v>
      </c>
      <c r="B2319" s="153" t="s">
        <v>5499</v>
      </c>
      <c r="C2319">
        <v>0.0</v>
      </c>
      <c r="D2319">
        <v>0.0</v>
      </c>
      <c r="F2319" t="s">
        <v>2994</v>
      </c>
      <c r="G2319" t="s">
        <v>2943</v>
      </c>
      <c r="H2319" t="s">
        <v>2944</v>
      </c>
    </row>
    <row r="2320" customHeight="1" ht="14.0">
      <c r="A2320" t="s">
        <v>5500</v>
      </c>
      <c r="B2320" s="153" t="s">
        <v>5501</v>
      </c>
      <c r="C2320">
        <v>0.0</v>
      </c>
      <c r="D2320">
        <v>0.0</v>
      </c>
      <c r="F2320" t="s">
        <v>2994</v>
      </c>
      <c r="G2320" t="s">
        <v>2943</v>
      </c>
      <c r="H2320" t="s">
        <v>2944</v>
      </c>
    </row>
    <row r="2321" customHeight="1" ht="14.0">
      <c r="A2321" t="s">
        <v>5502</v>
      </c>
      <c r="B2321" s="153" t="s">
        <v>5503</v>
      </c>
      <c r="C2321">
        <v>0.0</v>
      </c>
      <c r="D2321">
        <v>0.0</v>
      </c>
      <c r="F2321" t="s">
        <v>2942</v>
      </c>
      <c r="G2321" t="s">
        <v>2943</v>
      </c>
      <c r="H2321" t="s">
        <v>2944</v>
      </c>
      <c r="I2321" t="s">
        <v>2977</v>
      </c>
    </row>
    <row r="2322" customHeight="1" ht="14.0">
      <c r="A2322" t="s">
        <v>5504</v>
      </c>
      <c r="B2322" s="153" t="s">
        <v>5505</v>
      </c>
      <c r="C2322">
        <v>0.0</v>
      </c>
      <c r="D2322">
        <v>0.0</v>
      </c>
      <c r="F2322" t="s">
        <v>2942</v>
      </c>
      <c r="G2322" t="s">
        <v>2943</v>
      </c>
      <c r="H2322" t="s">
        <v>2944</v>
      </c>
      <c r="I2322" t="s">
        <v>2977</v>
      </c>
    </row>
    <row r="2323" customHeight="1" ht="14.0">
      <c r="A2323" t="s">
        <v>5506</v>
      </c>
      <c r="B2323" s="153" t="s">
        <v>5507</v>
      </c>
      <c r="C2323">
        <v>0.0</v>
      </c>
      <c r="D2323">
        <v>0.0</v>
      </c>
      <c r="F2323" t="s">
        <v>2942</v>
      </c>
      <c r="G2323" t="s">
        <v>2943</v>
      </c>
      <c r="H2323" t="s">
        <v>2944</v>
      </c>
      <c r="I2323" t="s">
        <v>2977</v>
      </c>
    </row>
    <row r="2324" customHeight="1" ht="14.0">
      <c r="A2324" t="s">
        <v>5508</v>
      </c>
      <c r="B2324" s="153" t="s">
        <v>5509</v>
      </c>
      <c r="C2324">
        <v>20000.0</v>
      </c>
      <c r="D2324">
        <v>6267.43</v>
      </c>
      <c r="E2324">
        <v>0.3134</v>
      </c>
      <c r="F2324" t="s">
        <v>3197</v>
      </c>
      <c r="G2324" t="s">
        <v>2962</v>
      </c>
      <c r="H2324" t="s">
        <v>3455</v>
      </c>
    </row>
    <row r="2325" customHeight="1" ht="14.0">
      <c r="A2325" t="s">
        <v>2140</v>
      </c>
      <c r="B2325" s="153" t="s">
        <v>2141</v>
      </c>
      <c r="C2325">
        <v>82.0</v>
      </c>
      <c r="D2325">
        <v>394.15</v>
      </c>
      <c r="E2325">
        <v>4.8067</v>
      </c>
      <c r="F2325" t="s">
        <v>2942</v>
      </c>
      <c r="G2325" t="s">
        <v>2962</v>
      </c>
      <c r="H2325" t="s">
        <v>3005</v>
      </c>
      <c r="I2325" t="s">
        <v>3006</v>
      </c>
    </row>
    <row r="2326" customHeight="1" ht="14.0">
      <c r="A2326" t="s">
        <v>5510</v>
      </c>
      <c r="B2326" s="153" t="s">
        <v>5511</v>
      </c>
      <c r="C2326">
        <v>196.2</v>
      </c>
      <c r="D2326">
        <v>1054.37</v>
      </c>
      <c r="E2326">
        <v>5.374</v>
      </c>
      <c r="F2326" t="s">
        <v>3197</v>
      </c>
      <c r="G2326" t="s">
        <v>2962</v>
      </c>
      <c r="H2326" t="s">
        <v>3455</v>
      </c>
    </row>
    <row r="2327" customHeight="1" ht="14.0">
      <c r="A2327" t="s">
        <v>5512</v>
      </c>
      <c r="B2327" s="153" t="s">
        <v>5513</v>
      </c>
      <c r="C2327">
        <v>196.2</v>
      </c>
      <c r="D2327">
        <v>1054.37</v>
      </c>
      <c r="E2327">
        <v>5.374</v>
      </c>
      <c r="F2327" t="s">
        <v>3197</v>
      </c>
      <c r="G2327" t="s">
        <v>2962</v>
      </c>
      <c r="H2327" t="s">
        <v>3455</v>
      </c>
    </row>
    <row r="2328" customHeight="1" ht="14.0">
      <c r="A2328" t="s">
        <v>5514</v>
      </c>
      <c r="B2328" s="153" t="s">
        <v>5515</v>
      </c>
      <c r="C2328">
        <v>196.2</v>
      </c>
      <c r="D2328">
        <v>1054.37</v>
      </c>
      <c r="E2328">
        <v>5.374</v>
      </c>
      <c r="F2328" t="s">
        <v>3197</v>
      </c>
      <c r="G2328" t="s">
        <v>2962</v>
      </c>
      <c r="H2328" t="s">
        <v>3455</v>
      </c>
    </row>
    <row r="2329" customHeight="1" ht="14.0">
      <c r="A2329" t="s">
        <v>5516</v>
      </c>
      <c r="B2329" s="153" t="s">
        <v>5517</v>
      </c>
      <c r="C2329">
        <v>196.2</v>
      </c>
      <c r="D2329">
        <v>1054.37</v>
      </c>
      <c r="E2329">
        <v>5.374</v>
      </c>
      <c r="F2329" t="s">
        <v>3197</v>
      </c>
      <c r="G2329" t="s">
        <v>2962</v>
      </c>
      <c r="H2329" t="s">
        <v>3455</v>
      </c>
    </row>
    <row r="2330" customHeight="1" ht="14.0">
      <c r="A2330" t="s">
        <v>5518</v>
      </c>
      <c r="B2330" s="153" t="s">
        <v>5519</v>
      </c>
      <c r="C2330">
        <v>196.2</v>
      </c>
      <c r="D2330">
        <v>1054.37</v>
      </c>
      <c r="E2330">
        <v>5.374</v>
      </c>
      <c r="F2330" t="s">
        <v>3197</v>
      </c>
      <c r="G2330" t="s">
        <v>2962</v>
      </c>
      <c r="H2330" t="s">
        <v>3455</v>
      </c>
    </row>
    <row r="2331" customHeight="1" ht="14.0">
      <c r="A2331" t="s">
        <v>5520</v>
      </c>
      <c r="B2331" s="153" t="s">
        <v>5521</v>
      </c>
      <c r="C2331">
        <v>300.0</v>
      </c>
      <c r="D2331">
        <v>1535.47</v>
      </c>
      <c r="E2331">
        <v>5.1182</v>
      </c>
      <c r="F2331" t="s">
        <v>3197</v>
      </c>
      <c r="G2331" t="s">
        <v>2962</v>
      </c>
      <c r="H2331" t="s">
        <v>3455</v>
      </c>
    </row>
    <row r="2332" customHeight="1" ht="14.0">
      <c r="A2332" t="s">
        <v>5522</v>
      </c>
      <c r="B2332" s="153" t="s">
        <v>5523</v>
      </c>
      <c r="C2332">
        <v>300.0</v>
      </c>
      <c r="D2332">
        <v>1535.46</v>
      </c>
      <c r="E2332">
        <v>5.1182</v>
      </c>
      <c r="F2332" t="s">
        <v>3197</v>
      </c>
      <c r="G2332" t="s">
        <v>2962</v>
      </c>
      <c r="H2332" t="s">
        <v>3455</v>
      </c>
    </row>
    <row r="2333" customHeight="1" ht="14.0">
      <c r="A2333" t="s">
        <v>5524</v>
      </c>
      <c r="B2333" s="153" t="s">
        <v>5525</v>
      </c>
      <c r="C2333">
        <v>300.0</v>
      </c>
      <c r="D2333">
        <v>1766.6</v>
      </c>
      <c r="E2333">
        <v>5.8887</v>
      </c>
      <c r="F2333" t="s">
        <v>3197</v>
      </c>
      <c r="G2333" t="s">
        <v>2962</v>
      </c>
      <c r="H2333" t="s">
        <v>3455</v>
      </c>
    </row>
    <row r="2334" customHeight="1" ht="14.0">
      <c r="A2334" t="s">
        <v>5526</v>
      </c>
      <c r="B2334" s="153" t="s">
        <v>5527</v>
      </c>
      <c r="C2334">
        <v>0.0</v>
      </c>
      <c r="D2334">
        <v>0.0</v>
      </c>
      <c r="F2334" t="s">
        <v>2942</v>
      </c>
      <c r="G2334" t="s">
        <v>2943</v>
      </c>
      <c r="H2334" t="s">
        <v>2944</v>
      </c>
      <c r="I2334" t="s">
        <v>401</v>
      </c>
    </row>
    <row r="2335" customHeight="1" ht="14.0">
      <c r="A2335" t="s">
        <v>5528</v>
      </c>
      <c r="B2335" s="153" t="s">
        <v>5529</v>
      </c>
      <c r="C2335">
        <v>0.0</v>
      </c>
      <c r="D2335">
        <v>0.0</v>
      </c>
      <c r="F2335" t="s">
        <v>2942</v>
      </c>
      <c r="G2335" t="s">
        <v>2943</v>
      </c>
      <c r="H2335" t="s">
        <v>2944</v>
      </c>
      <c r="I2335" t="s">
        <v>3724</v>
      </c>
    </row>
    <row r="2336" customHeight="1" ht="14.0">
      <c r="A2336" t="s">
        <v>5530</v>
      </c>
      <c r="B2336" s="153" t="s">
        <v>5531</v>
      </c>
      <c r="C2336">
        <v>0.0</v>
      </c>
      <c r="D2336">
        <v>0.0</v>
      </c>
      <c r="F2336" t="s">
        <v>2942</v>
      </c>
      <c r="G2336" t="s">
        <v>2962</v>
      </c>
      <c r="H2336" t="s">
        <v>4425</v>
      </c>
      <c r="I2336" t="s">
        <v>3724</v>
      </c>
    </row>
    <row r="2337" customHeight="1" ht="14.0">
      <c r="A2337" t="s">
        <v>5532</v>
      </c>
      <c r="B2337" s="153" t="s">
        <v>5533</v>
      </c>
      <c r="C2337">
        <v>0.0</v>
      </c>
      <c r="D2337">
        <v>0.0</v>
      </c>
      <c r="F2337" t="s">
        <v>2942</v>
      </c>
      <c r="G2337" t="s">
        <v>2943</v>
      </c>
      <c r="H2337" t="s">
        <v>2944</v>
      </c>
      <c r="I2337" t="s">
        <v>3724</v>
      </c>
    </row>
    <row r="2338" customHeight="1" ht="14.0">
      <c r="A2338" t="s">
        <v>5534</v>
      </c>
      <c r="B2338" s="153" t="s">
        <v>5535</v>
      </c>
      <c r="C2338">
        <v>0.0</v>
      </c>
      <c r="D2338">
        <v>0.0</v>
      </c>
      <c r="F2338" t="s">
        <v>2942</v>
      </c>
      <c r="G2338" t="s">
        <v>2943</v>
      </c>
      <c r="H2338" t="s">
        <v>2944</v>
      </c>
      <c r="I2338" t="s">
        <v>3158</v>
      </c>
    </row>
    <row r="2339" customHeight="1" ht="14.0">
      <c r="A2339" t="s">
        <v>2142</v>
      </c>
      <c r="B2339" s="153" t="s">
        <v>2143</v>
      </c>
      <c r="C2339">
        <v>0.0</v>
      </c>
      <c r="D2339">
        <v>0.0</v>
      </c>
      <c r="F2339" t="s">
        <v>2942</v>
      </c>
      <c r="G2339" t="s">
        <v>2943</v>
      </c>
      <c r="H2339" t="s">
        <v>2944</v>
      </c>
      <c r="I2339" t="s">
        <v>3450</v>
      </c>
    </row>
    <row r="2340" customHeight="1" ht="14.0">
      <c r="A2340" t="s">
        <v>5536</v>
      </c>
      <c r="B2340" s="153" t="s">
        <v>5537</v>
      </c>
      <c r="C2340">
        <v>161.0</v>
      </c>
      <c r="D2340">
        <v>88.55</v>
      </c>
      <c r="E2340">
        <v>0.55</v>
      </c>
      <c r="F2340" t="s">
        <v>2942</v>
      </c>
      <c r="G2340" t="s">
        <v>2962</v>
      </c>
      <c r="H2340" t="s">
        <v>3161</v>
      </c>
      <c r="I2340" t="s">
        <v>3167</v>
      </c>
    </row>
    <row r="2341" customHeight="1" ht="14.0">
      <c r="A2341" t="s">
        <v>5538</v>
      </c>
      <c r="B2341" s="153" t="s">
        <v>5539</v>
      </c>
      <c r="C2341">
        <v>504.0</v>
      </c>
      <c r="D2341">
        <v>252.0</v>
      </c>
      <c r="E2341">
        <v>0.5</v>
      </c>
      <c r="F2341" t="s">
        <v>2942</v>
      </c>
      <c r="G2341" t="s">
        <v>2962</v>
      </c>
      <c r="H2341" t="s">
        <v>3161</v>
      </c>
      <c r="I2341" t="s">
        <v>3447</v>
      </c>
    </row>
    <row r="2342" customHeight="1" ht="14.0">
      <c r="A2342" t="s">
        <v>5540</v>
      </c>
      <c r="B2342" s="153" t="s">
        <v>5541</v>
      </c>
      <c r="C2342">
        <v>5.0</v>
      </c>
      <c r="D2342">
        <v>2.7</v>
      </c>
      <c r="E2342">
        <v>0.54</v>
      </c>
      <c r="F2342" t="s">
        <v>2942</v>
      </c>
      <c r="G2342" t="s">
        <v>2962</v>
      </c>
      <c r="H2342" t="s">
        <v>3161</v>
      </c>
      <c r="I2342" t="s">
        <v>3366</v>
      </c>
    </row>
    <row r="2343" customHeight="1" ht="14.0">
      <c r="A2343" t="s">
        <v>2144</v>
      </c>
      <c r="B2343" s="153" t="s">
        <v>2145</v>
      </c>
      <c r="C2343">
        <v>0.0</v>
      </c>
      <c r="D2343">
        <v>0.0</v>
      </c>
      <c r="F2343" t="s">
        <v>2942</v>
      </c>
      <c r="G2343" t="s">
        <v>2943</v>
      </c>
      <c r="H2343" t="s">
        <v>2944</v>
      </c>
      <c r="I2343" t="s">
        <v>5542</v>
      </c>
    </row>
    <row r="2344" customHeight="1" ht="14.0">
      <c r="A2344" t="s">
        <v>57</v>
      </c>
      <c r="B2344" s="153" t="s">
        <v>58</v>
      </c>
      <c r="C2344">
        <v>30.0</v>
      </c>
      <c r="D2344">
        <v>55.89</v>
      </c>
      <c r="E2344">
        <v>1.863</v>
      </c>
      <c r="F2344" t="s">
        <v>2942</v>
      </c>
      <c r="G2344" t="s">
        <v>2962</v>
      </c>
      <c r="H2344" t="s">
        <v>30</v>
      </c>
      <c r="I2344" t="s">
        <v>46</v>
      </c>
    </row>
    <row r="2345" customHeight="1" ht="14.0">
      <c r="A2345" t="s">
        <v>51</v>
      </c>
      <c r="B2345" s="153" t="s">
        <v>52</v>
      </c>
      <c r="C2345">
        <v>359.0</v>
      </c>
      <c r="D2345">
        <v>767.51</v>
      </c>
      <c r="E2345">
        <v>2.1379</v>
      </c>
      <c r="F2345" t="s">
        <v>2942</v>
      </c>
      <c r="G2345" t="s">
        <v>2962</v>
      </c>
      <c r="H2345" t="s">
        <v>30</v>
      </c>
      <c r="I2345" t="s">
        <v>46</v>
      </c>
    </row>
    <row r="2346" customHeight="1" ht="14.0">
      <c r="A2346" t="s">
        <v>55</v>
      </c>
      <c r="B2346" s="153" t="s">
        <v>56</v>
      </c>
      <c r="C2346">
        <v>503.0</v>
      </c>
      <c r="D2346">
        <v>977.86</v>
      </c>
      <c r="E2346">
        <v>1.9441</v>
      </c>
      <c r="F2346" t="s">
        <v>2942</v>
      </c>
      <c r="G2346" t="s">
        <v>2962</v>
      </c>
      <c r="H2346" t="s">
        <v>30</v>
      </c>
      <c r="I2346" t="s">
        <v>46</v>
      </c>
    </row>
    <row r="2347" customHeight="1" ht="14.0">
      <c r="A2347" t="s">
        <v>49</v>
      </c>
      <c r="B2347" s="153" t="s">
        <v>50</v>
      </c>
      <c r="C2347">
        <v>641.0</v>
      </c>
      <c r="D2347">
        <v>1308.14</v>
      </c>
      <c r="E2347">
        <v>2.0408</v>
      </c>
      <c r="F2347" t="s">
        <v>2942</v>
      </c>
      <c r="G2347" t="s">
        <v>2962</v>
      </c>
      <c r="H2347" t="s">
        <v>30</v>
      </c>
      <c r="I2347" t="s">
        <v>46</v>
      </c>
    </row>
    <row r="2348" customHeight="1" ht="14.0">
      <c r="A2348" t="s">
        <v>53</v>
      </c>
      <c r="B2348" s="153" t="s">
        <v>54</v>
      </c>
      <c r="C2348">
        <v>828.0</v>
      </c>
      <c r="D2348">
        <v>1770.38</v>
      </c>
      <c r="E2348">
        <v>2.1381</v>
      </c>
      <c r="F2348" t="s">
        <v>2942</v>
      </c>
      <c r="G2348" t="s">
        <v>2962</v>
      </c>
      <c r="H2348" t="s">
        <v>30</v>
      </c>
      <c r="I2348" t="s">
        <v>46</v>
      </c>
    </row>
    <row r="2349" customHeight="1" ht="14.0">
      <c r="A2349" t="s">
        <v>47</v>
      </c>
      <c r="B2349" s="153" t="s">
        <v>48</v>
      </c>
      <c r="C2349">
        <v>968.0</v>
      </c>
      <c r="D2349">
        <v>2132.4</v>
      </c>
      <c r="E2349">
        <v>2.2029</v>
      </c>
      <c r="F2349" t="s">
        <v>2942</v>
      </c>
      <c r="G2349" t="s">
        <v>2962</v>
      </c>
      <c r="H2349" t="s">
        <v>30</v>
      </c>
      <c r="I2349" t="s">
        <v>46</v>
      </c>
    </row>
    <row r="2350" customHeight="1" ht="14.0">
      <c r="A2350" t="s">
        <v>5543</v>
      </c>
      <c r="B2350" s="153" t="s">
        <v>2148</v>
      </c>
      <c r="C2350">
        <v>0.0</v>
      </c>
      <c r="D2350">
        <v>0.0</v>
      </c>
      <c r="F2350" t="s">
        <v>2942</v>
      </c>
      <c r="G2350" t="s">
        <v>2943</v>
      </c>
      <c r="H2350" t="s">
        <v>3161</v>
      </c>
      <c r="I2350" t="s">
        <v>5544</v>
      </c>
    </row>
    <row r="2351" customHeight="1" ht="14.0">
      <c r="A2351" t="s">
        <v>61</v>
      </c>
      <c r="B2351" s="153" t="s">
        <v>62</v>
      </c>
      <c r="C2351">
        <v>1.0</v>
      </c>
      <c r="D2351">
        <v>96.91</v>
      </c>
      <c r="E2351">
        <v>96.91</v>
      </c>
      <c r="F2351" t="s">
        <v>2942</v>
      </c>
      <c r="G2351" t="s">
        <v>2962</v>
      </c>
      <c r="H2351" t="s">
        <v>30</v>
      </c>
      <c r="I2351" t="s">
        <v>46</v>
      </c>
    </row>
    <row r="2352" customHeight="1" ht="14.0">
      <c r="A2352" t="s">
        <v>59</v>
      </c>
      <c r="B2352" s="153" t="s">
        <v>60</v>
      </c>
      <c r="C2352">
        <v>4.0</v>
      </c>
      <c r="D2352">
        <v>98.78</v>
      </c>
      <c r="E2352">
        <v>24.695</v>
      </c>
      <c r="F2352" t="s">
        <v>2942</v>
      </c>
      <c r="G2352" t="s">
        <v>2962</v>
      </c>
      <c r="H2352" t="s">
        <v>30</v>
      </c>
      <c r="I2352" t="s">
        <v>46</v>
      </c>
    </row>
    <row r="2353" customHeight="1" ht="14.0">
      <c r="A2353" t="s">
        <v>5545</v>
      </c>
      <c r="B2353" s="153" t="s">
        <v>5546</v>
      </c>
      <c r="C2353">
        <v>0.0</v>
      </c>
      <c r="D2353">
        <v>0.0</v>
      </c>
      <c r="F2353" t="s">
        <v>2942</v>
      </c>
      <c r="G2353" t="s">
        <v>2962</v>
      </c>
      <c r="H2353" t="s">
        <v>2963</v>
      </c>
      <c r="I2353" t="s">
        <v>3153</v>
      </c>
    </row>
    <row r="2354" customHeight="1" ht="14.0">
      <c r="A2354" t="s">
        <v>2149</v>
      </c>
      <c r="B2354" s="153" t="s">
        <v>2150</v>
      </c>
      <c r="C2354">
        <v>1180.0</v>
      </c>
      <c r="D2354">
        <v>1665.63</v>
      </c>
      <c r="E2354">
        <v>1.4116</v>
      </c>
      <c r="F2354" t="s">
        <v>2942</v>
      </c>
      <c r="G2354" t="s">
        <v>2962</v>
      </c>
      <c r="H2354" t="s">
        <v>3155</v>
      </c>
      <c r="I2354" t="s">
        <v>83</v>
      </c>
    </row>
    <row r="2355" customHeight="1" ht="14.0">
      <c r="A2355" t="s">
        <v>2151</v>
      </c>
      <c r="B2355" s="153" t="s">
        <v>2152</v>
      </c>
      <c r="C2355">
        <v>3393.0</v>
      </c>
      <c r="D2355">
        <v>4847.37</v>
      </c>
      <c r="E2355">
        <v>1.4286</v>
      </c>
      <c r="F2355" t="s">
        <v>2942</v>
      </c>
      <c r="G2355" t="s">
        <v>2962</v>
      </c>
      <c r="H2355" t="s">
        <v>3155</v>
      </c>
      <c r="I2355" t="s">
        <v>83</v>
      </c>
    </row>
    <row r="2356" customHeight="1" ht="14.0">
      <c r="A2356" t="s">
        <v>5547</v>
      </c>
      <c r="B2356" s="153" t="s">
        <v>5548</v>
      </c>
      <c r="C2356">
        <v>802.0</v>
      </c>
      <c r="D2356">
        <v>1182.19</v>
      </c>
      <c r="E2356">
        <v>1.4741</v>
      </c>
      <c r="F2356" t="s">
        <v>2942</v>
      </c>
      <c r="G2356" t="s">
        <v>2962</v>
      </c>
      <c r="H2356" t="s">
        <v>3155</v>
      </c>
      <c r="I2356" t="s">
        <v>83</v>
      </c>
    </row>
    <row r="2357" customHeight="1" ht="14.0">
      <c r="A2357" t="s">
        <v>2153</v>
      </c>
      <c r="B2357" s="153" t="s">
        <v>2154</v>
      </c>
      <c r="C2357">
        <v>4687.0</v>
      </c>
      <c r="D2357">
        <v>6696.77</v>
      </c>
      <c r="E2357">
        <v>1.4288</v>
      </c>
      <c r="F2357" t="s">
        <v>2942</v>
      </c>
      <c r="G2357" t="s">
        <v>2962</v>
      </c>
      <c r="H2357" t="s">
        <v>3155</v>
      </c>
      <c r="I2357" t="s">
        <v>83</v>
      </c>
    </row>
    <row r="2358" customHeight="1" ht="14.0">
      <c r="A2358" t="s">
        <v>2155</v>
      </c>
      <c r="B2358" s="153" t="s">
        <v>2156</v>
      </c>
      <c r="C2358">
        <v>4089.0</v>
      </c>
      <c r="D2358">
        <v>5807.01</v>
      </c>
      <c r="E2358">
        <v>1.4202</v>
      </c>
      <c r="F2358" t="s">
        <v>2942</v>
      </c>
      <c r="G2358" t="s">
        <v>2962</v>
      </c>
      <c r="H2358" t="s">
        <v>3155</v>
      </c>
      <c r="I2358" t="s">
        <v>83</v>
      </c>
    </row>
    <row r="2359" customHeight="1" ht="14.0">
      <c r="A2359" t="s">
        <v>2157</v>
      </c>
      <c r="B2359" s="153" t="s">
        <v>2158</v>
      </c>
      <c r="C2359">
        <v>1480.0</v>
      </c>
      <c r="D2359">
        <v>2092.17</v>
      </c>
      <c r="E2359">
        <v>1.4136</v>
      </c>
      <c r="F2359" t="s">
        <v>2942</v>
      </c>
      <c r="G2359" t="s">
        <v>2962</v>
      </c>
      <c r="H2359" t="s">
        <v>3155</v>
      </c>
      <c r="I2359" t="s">
        <v>83</v>
      </c>
    </row>
    <row r="2360" customHeight="1" ht="14.0">
      <c r="A2360" t="s">
        <v>2159</v>
      </c>
      <c r="B2360" s="153" t="s">
        <v>2160</v>
      </c>
      <c r="C2360">
        <v>1925.0</v>
      </c>
      <c r="D2360">
        <v>2772.48</v>
      </c>
      <c r="E2360">
        <v>1.4402</v>
      </c>
      <c r="F2360" t="s">
        <v>2942</v>
      </c>
      <c r="G2360" t="s">
        <v>2962</v>
      </c>
      <c r="H2360" t="s">
        <v>3155</v>
      </c>
      <c r="I2360" t="s">
        <v>83</v>
      </c>
    </row>
    <row r="2361" customHeight="1" ht="14.0">
      <c r="A2361" t="s">
        <v>2161</v>
      </c>
      <c r="B2361" s="153" t="s">
        <v>2162</v>
      </c>
      <c r="C2361">
        <v>1949.0</v>
      </c>
      <c r="D2361">
        <v>2747.18</v>
      </c>
      <c r="E2361">
        <v>1.4095</v>
      </c>
      <c r="F2361" t="s">
        <v>2942</v>
      </c>
      <c r="G2361" t="s">
        <v>2962</v>
      </c>
      <c r="H2361" t="s">
        <v>3155</v>
      </c>
      <c r="I2361" t="s">
        <v>83</v>
      </c>
    </row>
    <row r="2362" customHeight="1" ht="14.0">
      <c r="A2362" t="s">
        <v>5549</v>
      </c>
      <c r="B2362" s="153" t="s">
        <v>5550</v>
      </c>
      <c r="C2362">
        <v>803.0</v>
      </c>
      <c r="D2362">
        <v>1183.65</v>
      </c>
      <c r="E2362">
        <v>1.474</v>
      </c>
      <c r="F2362" t="s">
        <v>2942</v>
      </c>
      <c r="G2362" t="s">
        <v>2962</v>
      </c>
      <c r="H2362" t="s">
        <v>3155</v>
      </c>
      <c r="I2362" t="s">
        <v>83</v>
      </c>
    </row>
    <row r="2363" customHeight="1" ht="14.0">
      <c r="A2363" t="s">
        <v>2163</v>
      </c>
      <c r="B2363" s="153" t="s">
        <v>2164</v>
      </c>
      <c r="C2363">
        <v>1339.0</v>
      </c>
      <c r="D2363">
        <v>1901.75</v>
      </c>
      <c r="E2363">
        <v>1.4203</v>
      </c>
      <c r="F2363" t="s">
        <v>2942</v>
      </c>
      <c r="G2363" t="s">
        <v>2962</v>
      </c>
      <c r="H2363" t="s">
        <v>3155</v>
      </c>
      <c r="I2363" t="s">
        <v>83</v>
      </c>
    </row>
    <row r="2364" customHeight="1" ht="14.0">
      <c r="A2364" t="s">
        <v>2165</v>
      </c>
      <c r="B2364" s="153" t="s">
        <v>2166</v>
      </c>
      <c r="C2364">
        <v>1011.0</v>
      </c>
      <c r="D2364">
        <v>1425.41</v>
      </c>
      <c r="E2364">
        <v>1.4099</v>
      </c>
      <c r="F2364" t="s">
        <v>2942</v>
      </c>
      <c r="G2364" t="s">
        <v>2962</v>
      </c>
      <c r="H2364" t="s">
        <v>3155</v>
      </c>
      <c r="I2364" t="s">
        <v>83</v>
      </c>
    </row>
    <row r="2365" customHeight="1" ht="14.0">
      <c r="A2365" t="s">
        <v>2167</v>
      </c>
      <c r="B2365" s="153" t="s">
        <v>2168</v>
      </c>
      <c r="C2365">
        <v>2215.0</v>
      </c>
      <c r="D2365">
        <v>3122.09</v>
      </c>
      <c r="E2365">
        <v>1.4095</v>
      </c>
      <c r="F2365" t="s">
        <v>2942</v>
      </c>
      <c r="G2365" t="s">
        <v>2962</v>
      </c>
      <c r="H2365" t="s">
        <v>3155</v>
      </c>
      <c r="I2365" t="s">
        <v>83</v>
      </c>
    </row>
    <row r="2366" customHeight="1" ht="14.0">
      <c r="A2366" t="s">
        <v>2169</v>
      </c>
      <c r="B2366" s="153" t="s">
        <v>2170</v>
      </c>
      <c r="C2366">
        <v>864.0</v>
      </c>
      <c r="D2366">
        <v>1228.56</v>
      </c>
      <c r="E2366">
        <v>1.4219</v>
      </c>
      <c r="F2366" t="s">
        <v>2942</v>
      </c>
      <c r="G2366" t="s">
        <v>2962</v>
      </c>
      <c r="H2366" t="s">
        <v>3155</v>
      </c>
      <c r="I2366" t="s">
        <v>83</v>
      </c>
    </row>
    <row r="2367" customHeight="1" ht="14.0">
      <c r="A2367" t="s">
        <v>2171</v>
      </c>
      <c r="B2367" s="153" t="s">
        <v>2172</v>
      </c>
      <c r="C2367">
        <v>3373.0</v>
      </c>
      <c r="D2367">
        <v>4819.19</v>
      </c>
      <c r="E2367">
        <v>1.4288</v>
      </c>
      <c r="F2367" t="s">
        <v>2942</v>
      </c>
      <c r="G2367" t="s">
        <v>2962</v>
      </c>
      <c r="H2367" t="s">
        <v>3155</v>
      </c>
      <c r="I2367" t="s">
        <v>83</v>
      </c>
    </row>
    <row r="2368" customHeight="1" ht="14.0">
      <c r="A2368" t="s">
        <v>5551</v>
      </c>
      <c r="B2368" s="153" t="s">
        <v>5552</v>
      </c>
      <c r="C2368">
        <v>1638.0</v>
      </c>
      <c r="D2368">
        <v>2349.57</v>
      </c>
      <c r="E2368">
        <v>1.4344</v>
      </c>
      <c r="F2368" t="s">
        <v>2942</v>
      </c>
      <c r="G2368" t="s">
        <v>2962</v>
      </c>
      <c r="H2368" t="s">
        <v>3155</v>
      </c>
      <c r="I2368" t="s">
        <v>83</v>
      </c>
    </row>
    <row r="2369" customHeight="1" ht="14.0">
      <c r="A2369" t="s">
        <v>2173</v>
      </c>
      <c r="B2369" s="153" t="s">
        <v>2174</v>
      </c>
      <c r="C2369">
        <v>1184.0</v>
      </c>
      <c r="D2369">
        <v>1687.07</v>
      </c>
      <c r="E2369">
        <v>1.4249</v>
      </c>
      <c r="F2369" t="s">
        <v>2942</v>
      </c>
      <c r="G2369" t="s">
        <v>2962</v>
      </c>
      <c r="H2369" t="s">
        <v>3155</v>
      </c>
      <c r="I2369" t="s">
        <v>83</v>
      </c>
    </row>
    <row r="2370" customHeight="1" ht="14.0">
      <c r="A2370" t="s">
        <v>5553</v>
      </c>
      <c r="B2370" s="153" t="s">
        <v>5554</v>
      </c>
      <c r="C2370">
        <v>1799.0</v>
      </c>
      <c r="D2370">
        <v>2535.64</v>
      </c>
      <c r="E2370">
        <v>1.4095</v>
      </c>
      <c r="F2370" t="s">
        <v>2942</v>
      </c>
      <c r="G2370" t="s">
        <v>2962</v>
      </c>
      <c r="H2370" t="s">
        <v>3155</v>
      </c>
      <c r="I2370" t="s">
        <v>83</v>
      </c>
    </row>
    <row r="2371" customHeight="1" ht="14.0">
      <c r="A2371" t="s">
        <v>5555</v>
      </c>
      <c r="B2371" s="153" t="s">
        <v>5556</v>
      </c>
      <c r="C2371">
        <v>1648.0</v>
      </c>
      <c r="D2371">
        <v>2364.41</v>
      </c>
      <c r="E2371">
        <v>1.4347</v>
      </c>
      <c r="F2371" t="s">
        <v>2942</v>
      </c>
      <c r="G2371" t="s">
        <v>2962</v>
      </c>
      <c r="H2371" t="s">
        <v>3155</v>
      </c>
      <c r="I2371" t="s">
        <v>83</v>
      </c>
    </row>
    <row r="2372" customHeight="1" ht="14.0">
      <c r="A2372" t="s">
        <v>2175</v>
      </c>
      <c r="B2372" s="153" t="s">
        <v>2176</v>
      </c>
      <c r="C2372">
        <v>1356.0</v>
      </c>
      <c r="D2372">
        <v>1947.47</v>
      </c>
      <c r="E2372">
        <v>1.4362</v>
      </c>
      <c r="F2372" t="s">
        <v>2942</v>
      </c>
      <c r="G2372" t="s">
        <v>2962</v>
      </c>
      <c r="H2372" t="s">
        <v>3155</v>
      </c>
      <c r="I2372" t="s">
        <v>83</v>
      </c>
    </row>
    <row r="2373" customHeight="1" ht="14.0">
      <c r="A2373" t="s">
        <v>2177</v>
      </c>
      <c r="B2373" s="153" t="s">
        <v>2178</v>
      </c>
      <c r="C2373">
        <v>2248.0</v>
      </c>
      <c r="D2373">
        <v>3212.35</v>
      </c>
      <c r="E2373">
        <v>1.429</v>
      </c>
      <c r="F2373" t="s">
        <v>2942</v>
      </c>
      <c r="G2373" t="s">
        <v>2962</v>
      </c>
      <c r="H2373" t="s">
        <v>3155</v>
      </c>
      <c r="I2373" t="s">
        <v>83</v>
      </c>
    </row>
    <row r="2374" customHeight="1" ht="14.0">
      <c r="A2374" t="s">
        <v>2179</v>
      </c>
      <c r="B2374" s="153" t="s">
        <v>2180</v>
      </c>
      <c r="C2374">
        <v>5190.0</v>
      </c>
      <c r="D2374">
        <v>7444.91</v>
      </c>
      <c r="E2374">
        <v>1.4345</v>
      </c>
      <c r="F2374" t="s">
        <v>2942</v>
      </c>
      <c r="G2374" t="s">
        <v>2962</v>
      </c>
      <c r="H2374" t="s">
        <v>3155</v>
      </c>
      <c r="I2374" t="s">
        <v>83</v>
      </c>
    </row>
    <row r="2375" customHeight="1" ht="14.0">
      <c r="A2375" t="s">
        <v>2181</v>
      </c>
      <c r="B2375" s="153" t="s">
        <v>2182</v>
      </c>
      <c r="C2375">
        <v>1317.0</v>
      </c>
      <c r="D2375">
        <v>1888.45</v>
      </c>
      <c r="E2375">
        <v>1.4339</v>
      </c>
      <c r="F2375" t="s">
        <v>2942</v>
      </c>
      <c r="G2375" t="s">
        <v>2962</v>
      </c>
      <c r="H2375" t="s">
        <v>3155</v>
      </c>
      <c r="I2375" t="s">
        <v>83</v>
      </c>
    </row>
    <row r="2376" customHeight="1" ht="14.0">
      <c r="A2376" t="s">
        <v>5557</v>
      </c>
      <c r="B2376" s="153" t="s">
        <v>5558</v>
      </c>
      <c r="C2376">
        <v>0.0</v>
      </c>
      <c r="D2376">
        <v>0.0</v>
      </c>
      <c r="F2376" t="s">
        <v>2942</v>
      </c>
      <c r="G2376" t="s">
        <v>2962</v>
      </c>
      <c r="H2376" t="s">
        <v>4425</v>
      </c>
    </row>
    <row r="2377" customHeight="1" ht="14.0">
      <c r="A2377" t="s">
        <v>2183</v>
      </c>
      <c r="B2377" s="153" t="s">
        <v>2184</v>
      </c>
      <c r="C2377">
        <v>2.0</v>
      </c>
      <c r="D2377">
        <v>150.48</v>
      </c>
      <c r="E2377">
        <v>75.24</v>
      </c>
      <c r="F2377" t="s">
        <v>2942</v>
      </c>
      <c r="G2377" t="s">
        <v>2962</v>
      </c>
      <c r="H2377" t="s">
        <v>3155</v>
      </c>
      <c r="I2377" t="s">
        <v>83</v>
      </c>
    </row>
    <row r="2378" customHeight="1" ht="14.0">
      <c r="A2378" t="s">
        <v>2185</v>
      </c>
      <c r="B2378" s="153" t="s">
        <v>2186</v>
      </c>
      <c r="C2378">
        <v>1.0</v>
      </c>
      <c r="D2378">
        <v>74.64</v>
      </c>
      <c r="E2378">
        <v>74.64</v>
      </c>
      <c r="F2378" t="s">
        <v>2942</v>
      </c>
      <c r="G2378" t="s">
        <v>2962</v>
      </c>
      <c r="H2378" t="s">
        <v>3155</v>
      </c>
      <c r="I2378" t="s">
        <v>83</v>
      </c>
    </row>
    <row r="2379" customHeight="1" ht="14.0">
      <c r="A2379" t="s">
        <v>5559</v>
      </c>
      <c r="B2379" s="153" t="s">
        <v>5560</v>
      </c>
      <c r="C2379">
        <v>0.0</v>
      </c>
      <c r="D2379">
        <v>0.0</v>
      </c>
      <c r="F2379" t="s">
        <v>2942</v>
      </c>
      <c r="G2379" t="s">
        <v>2943</v>
      </c>
      <c r="H2379" t="s">
        <v>2944</v>
      </c>
      <c r="I2379" t="s">
        <v>520</v>
      </c>
    </row>
    <row r="2380" customHeight="1" ht="14.0">
      <c r="A2380" t="s">
        <v>5561</v>
      </c>
      <c r="B2380" s="153" t="s">
        <v>5562</v>
      </c>
      <c r="C2380">
        <v>0.0</v>
      </c>
      <c r="D2380">
        <v>0.0</v>
      </c>
      <c r="F2380" t="s">
        <v>2942</v>
      </c>
      <c r="G2380" t="s">
        <v>2943</v>
      </c>
      <c r="H2380" t="s">
        <v>2944</v>
      </c>
      <c r="I2380" t="s">
        <v>520</v>
      </c>
    </row>
    <row r="2381" customHeight="1" ht="14.0">
      <c r="A2381" t="s">
        <v>5563</v>
      </c>
      <c r="B2381" s="153" t="s">
        <v>5564</v>
      </c>
      <c r="C2381">
        <v>0.0</v>
      </c>
      <c r="D2381">
        <v>0.0</v>
      </c>
      <c r="F2381" t="s">
        <v>2942</v>
      </c>
      <c r="G2381" t="s">
        <v>2943</v>
      </c>
      <c r="H2381" t="s">
        <v>2944</v>
      </c>
      <c r="I2381" t="s">
        <v>520</v>
      </c>
    </row>
    <row r="2382" customHeight="1" ht="14.0">
      <c r="A2382" t="s">
        <v>5565</v>
      </c>
      <c r="B2382" s="153" t="s">
        <v>5566</v>
      </c>
      <c r="C2382">
        <v>0.0</v>
      </c>
      <c r="D2382">
        <v>0.0</v>
      </c>
      <c r="F2382" t="s">
        <v>2942</v>
      </c>
      <c r="G2382" t="s">
        <v>2943</v>
      </c>
      <c r="H2382" t="s">
        <v>2944</v>
      </c>
      <c r="I2382" t="s">
        <v>520</v>
      </c>
    </row>
    <row r="2383" customHeight="1" ht="14.0">
      <c r="A2383" t="s">
        <v>5567</v>
      </c>
      <c r="B2383" s="153" t="s">
        <v>5568</v>
      </c>
      <c r="C2383">
        <v>0.0</v>
      </c>
      <c r="D2383">
        <v>0.0</v>
      </c>
      <c r="F2383" t="s">
        <v>2942</v>
      </c>
      <c r="G2383" t="s">
        <v>2943</v>
      </c>
      <c r="H2383" t="s">
        <v>2944</v>
      </c>
      <c r="I2383" t="s">
        <v>520</v>
      </c>
    </row>
    <row r="2384" customHeight="1" ht="14.0">
      <c r="A2384" t="s">
        <v>5569</v>
      </c>
      <c r="B2384" s="153" t="s">
        <v>5570</v>
      </c>
      <c r="C2384">
        <v>0.0</v>
      </c>
      <c r="D2384">
        <v>0.0</v>
      </c>
      <c r="F2384" t="s">
        <v>2942</v>
      </c>
      <c r="G2384" t="s">
        <v>2943</v>
      </c>
      <c r="H2384" t="s">
        <v>2944</v>
      </c>
      <c r="I2384" t="s">
        <v>520</v>
      </c>
    </row>
    <row r="2385" customHeight="1" ht="14.0">
      <c r="A2385" t="s">
        <v>5571</v>
      </c>
      <c r="B2385" s="153" t="s">
        <v>5572</v>
      </c>
      <c r="C2385">
        <v>1.0</v>
      </c>
      <c r="D2385">
        <v>0.0</v>
      </c>
      <c r="E2385">
        <v>0.0</v>
      </c>
      <c r="F2385" t="s">
        <v>2942</v>
      </c>
      <c r="G2385" t="s">
        <v>2943</v>
      </c>
      <c r="H2385" t="s">
        <v>2944</v>
      </c>
      <c r="I2385" t="s">
        <v>520</v>
      </c>
    </row>
    <row r="2386" customHeight="1" ht="14.0">
      <c r="A2386" t="s">
        <v>5573</v>
      </c>
      <c r="B2386" s="153" t="s">
        <v>5574</v>
      </c>
      <c r="C2386">
        <v>0.0</v>
      </c>
      <c r="D2386">
        <v>0.0</v>
      </c>
      <c r="F2386" t="s">
        <v>2942</v>
      </c>
      <c r="G2386" t="s">
        <v>2943</v>
      </c>
      <c r="H2386" t="s">
        <v>2944</v>
      </c>
      <c r="I2386" t="s">
        <v>520</v>
      </c>
    </row>
    <row r="2387" customHeight="1" ht="14.0">
      <c r="A2387" t="s">
        <v>5575</v>
      </c>
      <c r="B2387" s="153" t="s">
        <v>5576</v>
      </c>
      <c r="C2387">
        <v>0.0</v>
      </c>
      <c r="D2387">
        <v>0.0</v>
      </c>
      <c r="F2387" t="s">
        <v>2942</v>
      </c>
      <c r="G2387" t="s">
        <v>2943</v>
      </c>
      <c r="H2387" t="s">
        <v>2944</v>
      </c>
      <c r="I2387" t="s">
        <v>520</v>
      </c>
    </row>
    <row r="2388" customHeight="1" ht="14.0">
      <c r="A2388" t="s">
        <v>5577</v>
      </c>
      <c r="B2388" s="153">
        <v>400402.0</v>
      </c>
      <c r="C2388">
        <v>0.0</v>
      </c>
      <c r="D2388">
        <v>0.0</v>
      </c>
      <c r="F2388" t="s">
        <v>2994</v>
      </c>
      <c r="G2388" t="s">
        <v>2943</v>
      </c>
      <c r="H2388" t="s">
        <v>2944</v>
      </c>
    </row>
    <row r="2389" customHeight="1" ht="14.0">
      <c r="A2389" t="s">
        <v>5578</v>
      </c>
      <c r="B2389" s="153" t="s">
        <v>5579</v>
      </c>
      <c r="C2389">
        <v>0.0</v>
      </c>
      <c r="D2389">
        <v>0.0</v>
      </c>
      <c r="F2389" t="s">
        <v>2942</v>
      </c>
      <c r="G2389" t="s">
        <v>2943</v>
      </c>
      <c r="H2389" t="s">
        <v>2944</v>
      </c>
      <c r="I2389" t="s">
        <v>520</v>
      </c>
    </row>
    <row r="2390" customHeight="1" ht="14.0">
      <c r="A2390" t="s">
        <v>5580</v>
      </c>
      <c r="B2390" s="153" t="s">
        <v>5581</v>
      </c>
      <c r="C2390">
        <v>0.0</v>
      </c>
      <c r="D2390">
        <v>0.0</v>
      </c>
      <c r="F2390" t="s">
        <v>2942</v>
      </c>
      <c r="G2390" t="s">
        <v>2943</v>
      </c>
      <c r="H2390" t="s">
        <v>2944</v>
      </c>
      <c r="I2390" t="s">
        <v>5077</v>
      </c>
    </row>
    <row r="2391" customHeight="1" ht="14.0">
      <c r="A2391" t="s">
        <v>5582</v>
      </c>
      <c r="B2391" s="153" t="s">
        <v>5583</v>
      </c>
      <c r="C2391">
        <v>0.0</v>
      </c>
      <c r="D2391">
        <v>0.0</v>
      </c>
      <c r="F2391" t="s">
        <v>2942</v>
      </c>
      <c r="G2391" t="s">
        <v>2943</v>
      </c>
      <c r="H2391" t="s">
        <v>2944</v>
      </c>
      <c r="I2391" t="s">
        <v>5077</v>
      </c>
    </row>
    <row r="2392" customHeight="1" ht="14.0">
      <c r="A2392" t="s">
        <v>5584</v>
      </c>
      <c r="B2392" s="153" t="s">
        <v>5585</v>
      </c>
      <c r="C2392">
        <v>0.0</v>
      </c>
      <c r="D2392">
        <v>0.0</v>
      </c>
      <c r="F2392" t="s">
        <v>2942</v>
      </c>
      <c r="G2392" t="s">
        <v>2943</v>
      </c>
      <c r="H2392" t="s">
        <v>2944</v>
      </c>
      <c r="I2392" t="s">
        <v>5077</v>
      </c>
    </row>
    <row r="2393" customHeight="1" ht="14.0">
      <c r="A2393" t="s">
        <v>2187</v>
      </c>
      <c r="B2393" s="153" t="s">
        <v>2188</v>
      </c>
      <c r="C2393">
        <v>44.0</v>
      </c>
      <c r="D2393">
        <v>135.68</v>
      </c>
      <c r="E2393">
        <v>3.0836</v>
      </c>
      <c r="F2393" t="s">
        <v>2942</v>
      </c>
      <c r="G2393" t="s">
        <v>2962</v>
      </c>
      <c r="H2393" t="s">
        <v>3865</v>
      </c>
      <c r="I2393" t="s">
        <v>647</v>
      </c>
    </row>
    <row r="2394" customHeight="1" ht="14.0">
      <c r="A2394" t="s">
        <v>2189</v>
      </c>
      <c r="B2394" s="153" t="s">
        <v>2190</v>
      </c>
      <c r="C2394">
        <v>247.0</v>
      </c>
      <c r="D2394">
        <v>793.57</v>
      </c>
      <c r="E2394">
        <v>3.2128</v>
      </c>
      <c r="F2394" t="s">
        <v>2942</v>
      </c>
      <c r="G2394" t="s">
        <v>2962</v>
      </c>
      <c r="H2394" t="s">
        <v>3865</v>
      </c>
      <c r="I2394" t="s">
        <v>647</v>
      </c>
    </row>
    <row r="2395" customHeight="1" ht="14.0">
      <c r="A2395" t="s">
        <v>2753</v>
      </c>
      <c r="B2395" s="153" t="s">
        <v>2754</v>
      </c>
      <c r="C2395">
        <v>369.0</v>
      </c>
      <c r="D2395">
        <v>1277.26</v>
      </c>
      <c r="E2395">
        <v>3.4614</v>
      </c>
      <c r="F2395" t="s">
        <v>2942</v>
      </c>
      <c r="G2395" t="s">
        <v>2962</v>
      </c>
      <c r="H2395" t="s">
        <v>3865</v>
      </c>
      <c r="I2395" t="s">
        <v>647</v>
      </c>
    </row>
    <row r="2396" customHeight="1" ht="14.0">
      <c r="A2396" t="s">
        <v>2191</v>
      </c>
      <c r="B2396" s="153" t="s">
        <v>2192</v>
      </c>
      <c r="C2396">
        <v>406.0</v>
      </c>
      <c r="D2396">
        <v>1109.4</v>
      </c>
      <c r="E2396">
        <v>2.7325</v>
      </c>
      <c r="F2396" t="s">
        <v>2942</v>
      </c>
      <c r="G2396" t="s">
        <v>2962</v>
      </c>
      <c r="H2396" t="s">
        <v>3865</v>
      </c>
      <c r="I2396" t="s">
        <v>647</v>
      </c>
    </row>
    <row r="2397" customHeight="1" ht="14.0">
      <c r="A2397" t="s">
        <v>2193</v>
      </c>
      <c r="B2397" s="153" t="s">
        <v>2194</v>
      </c>
      <c r="C2397">
        <v>184.0</v>
      </c>
      <c r="D2397">
        <v>527.35</v>
      </c>
      <c r="E2397">
        <v>2.866</v>
      </c>
      <c r="F2397" t="s">
        <v>2942</v>
      </c>
      <c r="G2397" t="s">
        <v>2962</v>
      </c>
      <c r="H2397" t="s">
        <v>3865</v>
      </c>
      <c r="I2397" t="s">
        <v>647</v>
      </c>
    </row>
    <row r="2398" customHeight="1" ht="14.0">
      <c r="A2398" t="s">
        <v>5586</v>
      </c>
      <c r="B2398" s="153" t="s">
        <v>2196</v>
      </c>
      <c r="C2398">
        <v>398.0</v>
      </c>
      <c r="D2398">
        <v>1410.85</v>
      </c>
      <c r="E2398">
        <v>3.5448</v>
      </c>
      <c r="F2398" t="s">
        <v>2942</v>
      </c>
      <c r="G2398" t="s">
        <v>2962</v>
      </c>
      <c r="H2398" t="s">
        <v>3865</v>
      </c>
      <c r="I2398" t="s">
        <v>647</v>
      </c>
    </row>
    <row r="2399" customHeight="1" ht="14.0">
      <c r="A2399" t="s">
        <v>5587</v>
      </c>
      <c r="B2399" s="153" t="s">
        <v>5588</v>
      </c>
      <c r="C2399">
        <v>0.0</v>
      </c>
      <c r="D2399">
        <v>0.0</v>
      </c>
      <c r="F2399" t="s">
        <v>2942</v>
      </c>
      <c r="G2399" t="s">
        <v>2943</v>
      </c>
      <c r="H2399" t="s">
        <v>2944</v>
      </c>
      <c r="I2399" t="s">
        <v>5077</v>
      </c>
    </row>
    <row r="2400" customHeight="1" ht="14.0">
      <c r="A2400" t="s">
        <v>5589</v>
      </c>
      <c r="B2400" s="153" t="s">
        <v>5590</v>
      </c>
      <c r="C2400">
        <v>0.0</v>
      </c>
      <c r="D2400">
        <v>0.0</v>
      </c>
      <c r="F2400" t="s">
        <v>2942</v>
      </c>
      <c r="G2400" t="s">
        <v>2943</v>
      </c>
      <c r="H2400" t="s">
        <v>2944</v>
      </c>
      <c r="I2400" t="s">
        <v>5077</v>
      </c>
    </row>
    <row r="2401" customHeight="1" ht="14.0">
      <c r="A2401" t="s">
        <v>2197</v>
      </c>
      <c r="B2401" s="153" t="s">
        <v>2198</v>
      </c>
      <c r="C2401">
        <v>1036.0</v>
      </c>
      <c r="D2401">
        <v>3423.69</v>
      </c>
      <c r="E2401">
        <v>3.3047</v>
      </c>
      <c r="F2401" t="s">
        <v>2942</v>
      </c>
      <c r="G2401" t="s">
        <v>2962</v>
      </c>
      <c r="H2401" t="s">
        <v>3865</v>
      </c>
      <c r="I2401" t="s">
        <v>647</v>
      </c>
    </row>
    <row r="2402" customHeight="1" ht="14.0">
      <c r="A2402" t="s">
        <v>2742</v>
      </c>
      <c r="B2402" s="153" t="s">
        <v>2743</v>
      </c>
      <c r="C2402">
        <v>201.0</v>
      </c>
      <c r="D2402">
        <v>664.08</v>
      </c>
      <c r="E2402">
        <v>3.3039</v>
      </c>
      <c r="F2402" t="s">
        <v>2942</v>
      </c>
      <c r="G2402" t="s">
        <v>2962</v>
      </c>
      <c r="H2402" t="s">
        <v>3865</v>
      </c>
      <c r="I2402" t="s">
        <v>647</v>
      </c>
    </row>
    <row r="2403" customHeight="1" ht="14.0">
      <c r="A2403" t="s">
        <v>2199</v>
      </c>
      <c r="B2403" s="153" t="s">
        <v>2200</v>
      </c>
      <c r="C2403">
        <v>503.0</v>
      </c>
      <c r="D2403">
        <v>1374.45</v>
      </c>
      <c r="E2403">
        <v>2.7325</v>
      </c>
      <c r="F2403" t="s">
        <v>2942</v>
      </c>
      <c r="G2403" t="s">
        <v>2962</v>
      </c>
      <c r="H2403" t="s">
        <v>3865</v>
      </c>
      <c r="I2403" t="s">
        <v>647</v>
      </c>
    </row>
    <row r="2404" customHeight="1" ht="14.0">
      <c r="A2404" t="s">
        <v>2201</v>
      </c>
      <c r="B2404" s="153" t="s">
        <v>2202</v>
      </c>
      <c r="C2404">
        <v>0.0</v>
      </c>
      <c r="D2404">
        <v>0.0</v>
      </c>
      <c r="F2404" t="s">
        <v>2942</v>
      </c>
      <c r="G2404" t="s">
        <v>2943</v>
      </c>
      <c r="H2404" t="s">
        <v>2944</v>
      </c>
      <c r="I2404" t="s">
        <v>5077</v>
      </c>
    </row>
    <row r="2405" customHeight="1" ht="14.0">
      <c r="A2405" t="s">
        <v>2203</v>
      </c>
      <c r="B2405" s="153" t="s">
        <v>2204</v>
      </c>
      <c r="C2405">
        <v>284.0</v>
      </c>
      <c r="D2405">
        <v>951.01</v>
      </c>
      <c r="E2405">
        <v>3.3486</v>
      </c>
      <c r="F2405" t="s">
        <v>2942</v>
      </c>
      <c r="G2405" t="s">
        <v>2962</v>
      </c>
      <c r="H2405" t="s">
        <v>3865</v>
      </c>
      <c r="I2405" t="s">
        <v>647</v>
      </c>
    </row>
    <row r="2406" customHeight="1" ht="14.0">
      <c r="A2406" t="s">
        <v>5591</v>
      </c>
      <c r="B2406" s="153" t="s">
        <v>2206</v>
      </c>
      <c r="C2406">
        <v>0.0</v>
      </c>
      <c r="D2406">
        <v>0.0</v>
      </c>
      <c r="F2406" t="s">
        <v>2942</v>
      </c>
      <c r="G2406" t="s">
        <v>2962</v>
      </c>
      <c r="H2406" t="s">
        <v>2963</v>
      </c>
      <c r="I2406" t="s">
        <v>647</v>
      </c>
    </row>
    <row r="2407" customHeight="1" ht="14.0">
      <c r="A2407" t="s">
        <v>2738</v>
      </c>
      <c r="B2407" s="153" t="s">
        <v>2208</v>
      </c>
      <c r="C2407">
        <v>51.0</v>
      </c>
      <c r="D2407">
        <v>176.15</v>
      </c>
      <c r="E2407">
        <v>3.4539</v>
      </c>
      <c r="F2407" t="s">
        <v>2942</v>
      </c>
      <c r="G2407" t="s">
        <v>2962</v>
      </c>
      <c r="H2407" t="s">
        <v>3865</v>
      </c>
      <c r="I2407" t="s">
        <v>647</v>
      </c>
    </row>
    <row r="2408" customHeight="1" ht="14.0">
      <c r="A2408" t="s">
        <v>2740</v>
      </c>
      <c r="B2408" s="153" t="s">
        <v>2741</v>
      </c>
      <c r="C2408">
        <v>97.0</v>
      </c>
      <c r="D2408">
        <v>335.54</v>
      </c>
      <c r="E2408">
        <v>3.4592</v>
      </c>
      <c r="F2408" t="s">
        <v>2942</v>
      </c>
      <c r="G2408" t="s">
        <v>2962</v>
      </c>
      <c r="H2408" t="s">
        <v>3865</v>
      </c>
      <c r="I2408" t="s">
        <v>647</v>
      </c>
    </row>
    <row r="2409" customHeight="1" ht="14.0">
      <c r="A2409" t="s">
        <v>2750</v>
      </c>
      <c r="B2409" s="153" t="s">
        <v>2210</v>
      </c>
      <c r="C2409">
        <v>533.0</v>
      </c>
      <c r="D2409">
        <v>1919.06</v>
      </c>
      <c r="E2409">
        <v>3.6005</v>
      </c>
      <c r="F2409" t="s">
        <v>2942</v>
      </c>
      <c r="G2409" t="s">
        <v>2962</v>
      </c>
      <c r="H2409" t="s">
        <v>3865</v>
      </c>
      <c r="I2409" t="s">
        <v>647</v>
      </c>
    </row>
    <row r="2410" customHeight="1" ht="14.0">
      <c r="A2410" t="s">
        <v>2751</v>
      </c>
      <c r="B2410" s="153" t="s">
        <v>2752</v>
      </c>
      <c r="C2410">
        <v>252.0</v>
      </c>
      <c r="D2410">
        <v>912.15</v>
      </c>
      <c r="E2410">
        <v>3.6196</v>
      </c>
      <c r="F2410" t="s">
        <v>2942</v>
      </c>
      <c r="G2410" t="s">
        <v>2962</v>
      </c>
      <c r="H2410" t="s">
        <v>3865</v>
      </c>
      <c r="I2410" t="s">
        <v>647</v>
      </c>
    </row>
    <row r="2411" customHeight="1" ht="14.0">
      <c r="A2411" t="s">
        <v>2211</v>
      </c>
      <c r="B2411" s="153" t="s">
        <v>2212</v>
      </c>
      <c r="C2411">
        <v>307.0</v>
      </c>
      <c r="D2411">
        <v>838.88</v>
      </c>
      <c r="E2411">
        <v>2.7325</v>
      </c>
      <c r="F2411" t="s">
        <v>2942</v>
      </c>
      <c r="G2411" t="s">
        <v>2962</v>
      </c>
      <c r="H2411" t="s">
        <v>3865</v>
      </c>
      <c r="I2411" t="s">
        <v>647</v>
      </c>
    </row>
    <row r="2412" customHeight="1" ht="14.0">
      <c r="A2412" t="s">
        <v>2213</v>
      </c>
      <c r="B2412" s="153" t="s">
        <v>2214</v>
      </c>
      <c r="C2412">
        <v>434.0</v>
      </c>
      <c r="D2412">
        <v>1338.19</v>
      </c>
      <c r="E2412">
        <v>3.0834</v>
      </c>
      <c r="F2412" t="s">
        <v>2942</v>
      </c>
      <c r="G2412" t="s">
        <v>2962</v>
      </c>
      <c r="H2412" t="s">
        <v>3865</v>
      </c>
      <c r="I2412" t="s">
        <v>647</v>
      </c>
    </row>
    <row r="2413" customHeight="1" ht="14.0">
      <c r="A2413" t="s">
        <v>2215</v>
      </c>
      <c r="B2413" s="153" t="s">
        <v>2216</v>
      </c>
      <c r="C2413">
        <v>0.0</v>
      </c>
      <c r="D2413">
        <v>0.0</v>
      </c>
      <c r="F2413" t="s">
        <v>2942</v>
      </c>
      <c r="G2413" t="s">
        <v>2943</v>
      </c>
      <c r="H2413" t="s">
        <v>2963</v>
      </c>
      <c r="I2413" t="s">
        <v>647</v>
      </c>
    </row>
    <row r="2414" customHeight="1" ht="14.0">
      <c r="A2414" t="s">
        <v>2217</v>
      </c>
      <c r="B2414" s="153" t="s">
        <v>2218</v>
      </c>
      <c r="C2414">
        <v>0.0</v>
      </c>
      <c r="D2414">
        <v>0.0</v>
      </c>
      <c r="F2414" t="s">
        <v>2942</v>
      </c>
      <c r="G2414" t="s">
        <v>2943</v>
      </c>
      <c r="H2414" t="s">
        <v>2944</v>
      </c>
      <c r="I2414" t="s">
        <v>647</v>
      </c>
    </row>
    <row r="2415" customHeight="1" ht="14.0">
      <c r="A2415" t="s">
        <v>2219</v>
      </c>
      <c r="B2415" s="153" t="s">
        <v>2220</v>
      </c>
      <c r="C2415">
        <v>0.0</v>
      </c>
      <c r="D2415">
        <v>0.0</v>
      </c>
      <c r="F2415" t="s">
        <v>2942</v>
      </c>
      <c r="G2415" t="s">
        <v>2943</v>
      </c>
      <c r="H2415" t="s">
        <v>2963</v>
      </c>
      <c r="I2415" t="s">
        <v>647</v>
      </c>
    </row>
    <row r="2416" customHeight="1" ht="14.0">
      <c r="A2416" t="s">
        <v>2221</v>
      </c>
      <c r="B2416" s="153" t="s">
        <v>2222</v>
      </c>
      <c r="C2416">
        <v>285.0</v>
      </c>
      <c r="D2416">
        <v>1047.06</v>
      </c>
      <c r="E2416">
        <v>3.6739</v>
      </c>
      <c r="F2416" t="s">
        <v>2942</v>
      </c>
      <c r="G2416" t="s">
        <v>2962</v>
      </c>
      <c r="H2416" t="s">
        <v>3865</v>
      </c>
      <c r="I2416" t="s">
        <v>647</v>
      </c>
    </row>
    <row r="2417" customHeight="1" ht="14.0">
      <c r="A2417" t="s">
        <v>2223</v>
      </c>
      <c r="B2417" s="153" t="s">
        <v>2224</v>
      </c>
      <c r="C2417">
        <v>0.0</v>
      </c>
      <c r="D2417">
        <v>0.0</v>
      </c>
      <c r="F2417" t="s">
        <v>2942</v>
      </c>
      <c r="G2417" t="s">
        <v>2943</v>
      </c>
      <c r="H2417" t="s">
        <v>2963</v>
      </c>
      <c r="I2417" t="s">
        <v>647</v>
      </c>
    </row>
    <row r="2418" customHeight="1" ht="14.0">
      <c r="A2418" t="s">
        <v>5592</v>
      </c>
      <c r="B2418" s="153" t="s">
        <v>5593</v>
      </c>
      <c r="C2418">
        <v>0.0</v>
      </c>
      <c r="D2418">
        <v>0.0</v>
      </c>
      <c r="F2418" t="s">
        <v>2942</v>
      </c>
      <c r="G2418" t="s">
        <v>2943</v>
      </c>
      <c r="H2418" t="s">
        <v>2944</v>
      </c>
      <c r="I2418" t="s">
        <v>5077</v>
      </c>
    </row>
    <row r="2419" customHeight="1" ht="14.0">
      <c r="A2419" t="s">
        <v>2744</v>
      </c>
      <c r="B2419" s="153" t="s">
        <v>2226</v>
      </c>
      <c r="C2419">
        <v>568.0</v>
      </c>
      <c r="D2419">
        <v>1971.91</v>
      </c>
      <c r="E2419">
        <v>3.4717</v>
      </c>
      <c r="F2419" t="s">
        <v>2942</v>
      </c>
      <c r="G2419" t="s">
        <v>2962</v>
      </c>
      <c r="H2419" t="s">
        <v>3865</v>
      </c>
      <c r="I2419" t="s">
        <v>647</v>
      </c>
    </row>
    <row r="2420" customHeight="1" ht="14.0">
      <c r="A2420" t="s">
        <v>2745</v>
      </c>
      <c r="B2420" s="153" t="s">
        <v>2746</v>
      </c>
      <c r="C2420">
        <v>0.0</v>
      </c>
      <c r="D2420">
        <v>0.0</v>
      </c>
      <c r="F2420" t="s">
        <v>2942</v>
      </c>
      <c r="G2420" t="s">
        <v>2962</v>
      </c>
      <c r="H2420" t="s">
        <v>3865</v>
      </c>
      <c r="I2420" t="s">
        <v>647</v>
      </c>
    </row>
    <row r="2421" customHeight="1" ht="14.0">
      <c r="A2421" t="s">
        <v>2747</v>
      </c>
      <c r="B2421" s="153" t="s">
        <v>2228</v>
      </c>
      <c r="C2421">
        <v>228.0</v>
      </c>
      <c r="D2421">
        <v>821.09</v>
      </c>
      <c r="E2421">
        <v>3.6013</v>
      </c>
      <c r="F2421" t="s">
        <v>2942</v>
      </c>
      <c r="G2421" t="s">
        <v>2962</v>
      </c>
      <c r="H2421" t="s">
        <v>3865</v>
      </c>
      <c r="I2421" t="s">
        <v>647</v>
      </c>
    </row>
    <row r="2422" customHeight="1" ht="14.0">
      <c r="A2422" t="s">
        <v>2748</v>
      </c>
      <c r="B2422" s="153" t="s">
        <v>2749</v>
      </c>
      <c r="C2422">
        <v>164.0</v>
      </c>
      <c r="D2422">
        <v>593.59</v>
      </c>
      <c r="E2422">
        <v>3.6195</v>
      </c>
      <c r="F2422" t="s">
        <v>2942</v>
      </c>
      <c r="G2422" t="s">
        <v>2962</v>
      </c>
      <c r="H2422" t="s">
        <v>3865</v>
      </c>
      <c r="I2422" t="s">
        <v>647</v>
      </c>
    </row>
    <row r="2423" customHeight="1" ht="14.0">
      <c r="A2423" t="s">
        <v>2229</v>
      </c>
      <c r="B2423" s="153" t="s">
        <v>2230</v>
      </c>
      <c r="C2423">
        <v>132.0</v>
      </c>
      <c r="D2423">
        <v>482.66</v>
      </c>
      <c r="E2423">
        <v>3.6565</v>
      </c>
      <c r="F2423" t="s">
        <v>2942</v>
      </c>
      <c r="G2423" t="s">
        <v>2962</v>
      </c>
      <c r="H2423" t="s">
        <v>3865</v>
      </c>
      <c r="I2423" t="s">
        <v>647</v>
      </c>
    </row>
    <row r="2424" customHeight="1" ht="14.0">
      <c r="A2424" t="s">
        <v>2231</v>
      </c>
      <c r="B2424" s="153" t="s">
        <v>2232</v>
      </c>
      <c r="C2424">
        <v>0.0</v>
      </c>
      <c r="D2424">
        <v>0.0</v>
      </c>
      <c r="F2424" t="s">
        <v>2942</v>
      </c>
      <c r="G2424" t="s">
        <v>2943</v>
      </c>
      <c r="H2424" t="s">
        <v>3865</v>
      </c>
      <c r="I2424" t="s">
        <v>647</v>
      </c>
    </row>
    <row r="2425" customHeight="1" ht="14.0">
      <c r="A2425" t="s">
        <v>2233</v>
      </c>
      <c r="B2425" s="153" t="s">
        <v>2234</v>
      </c>
      <c r="C2425">
        <v>0.0</v>
      </c>
      <c r="D2425">
        <v>0.0</v>
      </c>
      <c r="F2425" t="s">
        <v>2942</v>
      </c>
      <c r="G2425" t="s">
        <v>2943</v>
      </c>
      <c r="H2425" t="s">
        <v>2944</v>
      </c>
      <c r="I2425" t="s">
        <v>647</v>
      </c>
    </row>
    <row r="2426" customHeight="1" ht="14.0">
      <c r="A2426" t="s">
        <v>2235</v>
      </c>
      <c r="B2426" s="153" t="s">
        <v>2236</v>
      </c>
      <c r="C2426">
        <v>3.0</v>
      </c>
      <c r="D2426">
        <v>225.69</v>
      </c>
      <c r="E2426">
        <v>75.23</v>
      </c>
      <c r="F2426" t="s">
        <v>2942</v>
      </c>
      <c r="G2426" t="s">
        <v>2962</v>
      </c>
      <c r="H2426" t="s">
        <v>2963</v>
      </c>
      <c r="I2426" t="s">
        <v>197</v>
      </c>
    </row>
    <row r="2427" customHeight="1" ht="14.0">
      <c r="A2427" t="s">
        <v>2237</v>
      </c>
      <c r="B2427" s="153" t="s">
        <v>2238</v>
      </c>
      <c r="C2427">
        <v>0.0</v>
      </c>
      <c r="D2427">
        <v>0.0</v>
      </c>
      <c r="F2427" t="s">
        <v>2942</v>
      </c>
      <c r="G2427" t="s">
        <v>2943</v>
      </c>
      <c r="H2427" t="s">
        <v>2944</v>
      </c>
      <c r="I2427" t="s">
        <v>5077</v>
      </c>
    </row>
    <row r="2428" customHeight="1" ht="14.0">
      <c r="A2428" t="s">
        <v>2239</v>
      </c>
      <c r="B2428" s="153" t="s">
        <v>2240</v>
      </c>
      <c r="C2428">
        <v>0.0</v>
      </c>
      <c r="D2428">
        <v>0.0</v>
      </c>
      <c r="F2428" t="s">
        <v>2942</v>
      </c>
      <c r="G2428" t="s">
        <v>2943</v>
      </c>
      <c r="H2428" t="s">
        <v>2944</v>
      </c>
      <c r="I2428" t="s">
        <v>647</v>
      </c>
    </row>
    <row r="2429" customHeight="1" ht="14.0">
      <c r="A2429" t="s">
        <v>2241</v>
      </c>
      <c r="B2429" s="153" t="s">
        <v>2242</v>
      </c>
      <c r="C2429">
        <v>0.0</v>
      </c>
      <c r="D2429">
        <v>0.0</v>
      </c>
      <c r="F2429" t="s">
        <v>2942</v>
      </c>
      <c r="G2429" t="s">
        <v>2943</v>
      </c>
      <c r="H2429" t="s">
        <v>3865</v>
      </c>
      <c r="I2429" t="s">
        <v>647</v>
      </c>
    </row>
    <row r="2430" customHeight="1" ht="14.0">
      <c r="A2430" t="s">
        <v>5594</v>
      </c>
      <c r="B2430" s="153" t="s">
        <v>5595</v>
      </c>
      <c r="C2430">
        <v>2.0</v>
      </c>
      <c r="D2430">
        <v>903.75</v>
      </c>
      <c r="E2430">
        <v>451.875</v>
      </c>
      <c r="F2430" t="s">
        <v>2942</v>
      </c>
      <c r="G2430" t="s">
        <v>2962</v>
      </c>
      <c r="H2430" t="s">
        <v>3865</v>
      </c>
      <c r="I2430" t="s">
        <v>647</v>
      </c>
    </row>
    <row r="2431" customHeight="1" ht="14.0">
      <c r="A2431" t="s">
        <v>2243</v>
      </c>
      <c r="B2431" s="153" t="s">
        <v>2244</v>
      </c>
      <c r="C2431">
        <v>0.0</v>
      </c>
      <c r="D2431">
        <v>0.0</v>
      </c>
      <c r="F2431" t="s">
        <v>2942</v>
      </c>
      <c r="G2431" t="s">
        <v>2943</v>
      </c>
      <c r="H2431" t="s">
        <v>2944</v>
      </c>
      <c r="I2431" t="s">
        <v>647</v>
      </c>
    </row>
    <row r="2432" customHeight="1" ht="14.0">
      <c r="A2432" t="s">
        <v>2245</v>
      </c>
      <c r="B2432" s="153" t="s">
        <v>2246</v>
      </c>
      <c r="C2432">
        <v>0.0</v>
      </c>
      <c r="D2432">
        <v>0.0</v>
      </c>
      <c r="F2432" t="s">
        <v>2942</v>
      </c>
      <c r="G2432" t="s">
        <v>2943</v>
      </c>
      <c r="H2432" t="s">
        <v>3865</v>
      </c>
      <c r="I2432" t="s">
        <v>647</v>
      </c>
    </row>
    <row r="2433" customHeight="1" ht="14.0">
      <c r="A2433" t="s">
        <v>5596</v>
      </c>
      <c r="B2433" s="153" t="s">
        <v>5597</v>
      </c>
      <c r="C2433">
        <v>1.0</v>
      </c>
      <c r="D2433">
        <v>503.72</v>
      </c>
      <c r="E2433">
        <v>503.72</v>
      </c>
      <c r="F2433" t="s">
        <v>2942</v>
      </c>
      <c r="G2433" t="s">
        <v>2962</v>
      </c>
      <c r="H2433" t="s">
        <v>3865</v>
      </c>
      <c r="I2433" t="s">
        <v>647</v>
      </c>
    </row>
    <row r="2434" customHeight="1" ht="14.0">
      <c r="A2434" t="s">
        <v>2247</v>
      </c>
      <c r="B2434" s="153" t="s">
        <v>2248</v>
      </c>
      <c r="C2434">
        <v>0.0</v>
      </c>
      <c r="D2434">
        <v>0.0</v>
      </c>
      <c r="F2434" t="s">
        <v>2942</v>
      </c>
      <c r="G2434" t="s">
        <v>2943</v>
      </c>
      <c r="H2434" t="s">
        <v>2944</v>
      </c>
      <c r="I2434" t="s">
        <v>647</v>
      </c>
    </row>
    <row r="2435" customHeight="1" ht="14.0">
      <c r="A2435" t="s">
        <v>2249</v>
      </c>
      <c r="B2435" s="153" t="s">
        <v>2250</v>
      </c>
      <c r="C2435">
        <v>0.0</v>
      </c>
      <c r="D2435">
        <v>0.0</v>
      </c>
      <c r="F2435" t="s">
        <v>2942</v>
      </c>
      <c r="G2435" t="s">
        <v>2943</v>
      </c>
      <c r="H2435" t="s">
        <v>3865</v>
      </c>
      <c r="I2435" t="s">
        <v>647</v>
      </c>
    </row>
    <row r="2436" customHeight="1" ht="14.0">
      <c r="A2436" t="s">
        <v>5598</v>
      </c>
      <c r="B2436" s="153" t="s">
        <v>5599</v>
      </c>
      <c r="C2436">
        <v>0.0</v>
      </c>
      <c r="D2436">
        <v>0.0</v>
      </c>
      <c r="F2436" t="s">
        <v>2942</v>
      </c>
      <c r="G2436" t="s">
        <v>2962</v>
      </c>
      <c r="H2436" t="s">
        <v>3865</v>
      </c>
      <c r="I2436" t="s">
        <v>647</v>
      </c>
    </row>
    <row r="2437" customHeight="1" ht="14.0">
      <c r="A2437" t="s">
        <v>5600</v>
      </c>
      <c r="B2437" s="153" t="s">
        <v>5601</v>
      </c>
      <c r="C2437">
        <v>2.0</v>
      </c>
      <c r="D2437">
        <v>644.47</v>
      </c>
      <c r="E2437">
        <v>322.235</v>
      </c>
      <c r="F2437" t="s">
        <v>2942</v>
      </c>
      <c r="G2437" t="s">
        <v>2962</v>
      </c>
      <c r="H2437" t="s">
        <v>3865</v>
      </c>
      <c r="I2437" t="s">
        <v>647</v>
      </c>
    </row>
    <row r="2438" customHeight="1" ht="14.0">
      <c r="A2438" t="s">
        <v>5602</v>
      </c>
      <c r="B2438" s="153" t="s">
        <v>5603</v>
      </c>
      <c r="C2438">
        <v>1.0</v>
      </c>
      <c r="D2438">
        <v>1596.96</v>
      </c>
      <c r="E2438">
        <v>1596.96</v>
      </c>
      <c r="F2438" t="s">
        <v>2942</v>
      </c>
      <c r="G2438" t="s">
        <v>2962</v>
      </c>
      <c r="H2438" t="s">
        <v>3865</v>
      </c>
      <c r="I2438" t="s">
        <v>5077</v>
      </c>
    </row>
    <row r="2439" customHeight="1" ht="14.0">
      <c r="A2439" t="s">
        <v>2251</v>
      </c>
      <c r="B2439" s="153" t="s">
        <v>2252</v>
      </c>
      <c r="C2439">
        <v>0.0</v>
      </c>
      <c r="D2439">
        <v>0.0</v>
      </c>
      <c r="F2439" t="s">
        <v>2942</v>
      </c>
      <c r="G2439" t="s">
        <v>2943</v>
      </c>
      <c r="H2439" t="s">
        <v>3865</v>
      </c>
      <c r="I2439" t="s">
        <v>647</v>
      </c>
    </row>
    <row r="2440" customHeight="1" ht="14.0">
      <c r="A2440" t="s">
        <v>5604</v>
      </c>
      <c r="B2440" s="153" t="s">
        <v>5605</v>
      </c>
      <c r="C2440">
        <v>0.0</v>
      </c>
      <c r="D2440">
        <v>0.0</v>
      </c>
      <c r="F2440" t="s">
        <v>2942</v>
      </c>
      <c r="G2440" t="s">
        <v>2962</v>
      </c>
      <c r="H2440" t="s">
        <v>3865</v>
      </c>
      <c r="I2440" t="s">
        <v>5077</v>
      </c>
    </row>
    <row r="2441" customHeight="1" ht="14.0">
      <c r="A2441" t="s">
        <v>5606</v>
      </c>
      <c r="B2441" s="153">
        <v>5111.0</v>
      </c>
      <c r="C2441">
        <v>0.0</v>
      </c>
      <c r="D2441">
        <v>0.0</v>
      </c>
      <c r="F2441" t="s">
        <v>2942</v>
      </c>
      <c r="G2441" t="s">
        <v>2943</v>
      </c>
      <c r="H2441" t="s">
        <v>2944</v>
      </c>
      <c r="I2441" t="s">
        <v>3153</v>
      </c>
    </row>
    <row r="2442" customHeight="1" ht="14.0">
      <c r="A2442" t="s">
        <v>5607</v>
      </c>
      <c r="B2442" s="153">
        <v>5107.0</v>
      </c>
      <c r="C2442">
        <v>0.0</v>
      </c>
      <c r="D2442">
        <v>0.0</v>
      </c>
      <c r="F2442" t="s">
        <v>2942</v>
      </c>
      <c r="G2442" t="s">
        <v>2943</v>
      </c>
      <c r="H2442" t="s">
        <v>2944</v>
      </c>
      <c r="I2442" t="s">
        <v>3153</v>
      </c>
    </row>
    <row r="2443" customHeight="1" ht="14.0">
      <c r="A2443" t="s">
        <v>5608</v>
      </c>
      <c r="B2443" s="153">
        <v>5113.0</v>
      </c>
      <c r="C2443">
        <v>0.0</v>
      </c>
      <c r="D2443">
        <v>0.0</v>
      </c>
      <c r="F2443" t="s">
        <v>2942</v>
      </c>
      <c r="G2443" t="s">
        <v>2943</v>
      </c>
      <c r="H2443" t="s">
        <v>2944</v>
      </c>
      <c r="I2443" t="s">
        <v>3153</v>
      </c>
    </row>
    <row r="2444" customHeight="1" ht="14.0">
      <c r="A2444" t="s">
        <v>5609</v>
      </c>
      <c r="B2444" s="153">
        <v>5102.0</v>
      </c>
      <c r="C2444">
        <v>0.0</v>
      </c>
      <c r="D2444">
        <v>0.0</v>
      </c>
      <c r="F2444" t="s">
        <v>2942</v>
      </c>
      <c r="G2444" t="s">
        <v>2943</v>
      </c>
      <c r="H2444" t="s">
        <v>2944</v>
      </c>
      <c r="I2444" t="s">
        <v>3153</v>
      </c>
    </row>
    <row r="2445" customHeight="1" ht="14.0">
      <c r="A2445" t="s">
        <v>5610</v>
      </c>
      <c r="B2445" s="153">
        <v>5101.0</v>
      </c>
      <c r="C2445">
        <v>0.0</v>
      </c>
      <c r="D2445">
        <v>0.0</v>
      </c>
      <c r="F2445" t="s">
        <v>2942</v>
      </c>
      <c r="G2445" t="s">
        <v>2943</v>
      </c>
      <c r="H2445" t="s">
        <v>2944</v>
      </c>
      <c r="I2445" t="s">
        <v>3153</v>
      </c>
    </row>
    <row r="2446" customHeight="1" ht="14.0">
      <c r="A2446" t="s">
        <v>5611</v>
      </c>
      <c r="B2446" s="153">
        <v>5115.0</v>
      </c>
      <c r="C2446">
        <v>0.0</v>
      </c>
      <c r="D2446">
        <v>0.0</v>
      </c>
      <c r="F2446" t="s">
        <v>2942</v>
      </c>
      <c r="G2446" t="s">
        <v>2943</v>
      </c>
      <c r="H2446" t="s">
        <v>2944</v>
      </c>
      <c r="I2446" t="s">
        <v>3153</v>
      </c>
    </row>
    <row r="2447" customHeight="1" ht="14.0">
      <c r="A2447" t="s">
        <v>5612</v>
      </c>
      <c r="B2447" s="153" t="s">
        <v>5613</v>
      </c>
      <c r="C2447">
        <v>0.0</v>
      </c>
      <c r="D2447">
        <v>0.0</v>
      </c>
      <c r="F2447" t="s">
        <v>2994</v>
      </c>
      <c r="G2447" t="s">
        <v>2943</v>
      </c>
      <c r="H2447" t="s">
        <v>2944</v>
      </c>
      <c r="I2447" t="s">
        <v>3153</v>
      </c>
    </row>
    <row r="2448" customHeight="1" ht="14.0">
      <c r="A2448" t="s">
        <v>5614</v>
      </c>
      <c r="B2448" s="153" t="s">
        <v>5615</v>
      </c>
      <c r="C2448">
        <v>0.0</v>
      </c>
      <c r="D2448">
        <v>0.0</v>
      </c>
      <c r="F2448" t="s">
        <v>2942</v>
      </c>
      <c r="G2448" t="s">
        <v>2943</v>
      </c>
      <c r="H2448" t="s">
        <v>2944</v>
      </c>
      <c r="I2448" t="s">
        <v>197</v>
      </c>
    </row>
    <row r="2449" customHeight="1" ht="14.0">
      <c r="A2449" t="s">
        <v>2253</v>
      </c>
      <c r="B2449" s="153" t="s">
        <v>2254</v>
      </c>
      <c r="C2449">
        <v>0.0</v>
      </c>
      <c r="D2449">
        <v>0.0</v>
      </c>
      <c r="F2449" t="s">
        <v>2942</v>
      </c>
      <c r="G2449" t="s">
        <v>2943</v>
      </c>
      <c r="H2449" t="s">
        <v>2944</v>
      </c>
      <c r="I2449" t="s">
        <v>228</v>
      </c>
    </row>
    <row r="2450" customHeight="1" ht="14.0">
      <c r="A2450" t="s">
        <v>5616</v>
      </c>
      <c r="B2450" s="153" t="s">
        <v>5617</v>
      </c>
      <c r="C2450">
        <v>448.0</v>
      </c>
      <c r="D2450">
        <v>900.96</v>
      </c>
      <c r="E2450">
        <v>2.0111</v>
      </c>
      <c r="F2450" t="s">
        <v>2942</v>
      </c>
      <c r="G2450" t="s">
        <v>2962</v>
      </c>
      <c r="H2450" t="s">
        <v>2984</v>
      </c>
      <c r="I2450" t="s">
        <v>2985</v>
      </c>
    </row>
    <row r="2451" customHeight="1" ht="14.0">
      <c r="A2451" t="s">
        <v>5618</v>
      </c>
      <c r="B2451" s="153" t="s">
        <v>5619</v>
      </c>
      <c r="C2451">
        <v>881.0</v>
      </c>
      <c r="D2451">
        <v>1855.81</v>
      </c>
      <c r="E2451">
        <v>2.1065</v>
      </c>
      <c r="F2451" t="s">
        <v>2942</v>
      </c>
      <c r="G2451" t="s">
        <v>2962</v>
      </c>
      <c r="H2451" t="s">
        <v>2984</v>
      </c>
      <c r="I2451" t="s">
        <v>2985</v>
      </c>
    </row>
    <row r="2452" customHeight="1" ht="14.0">
      <c r="A2452" t="s">
        <v>5620</v>
      </c>
      <c r="B2452" s="153" t="s">
        <v>5621</v>
      </c>
      <c r="C2452">
        <v>998.0</v>
      </c>
      <c r="D2452">
        <v>2008.16</v>
      </c>
      <c r="E2452">
        <v>2.0122</v>
      </c>
      <c r="F2452" t="s">
        <v>2942</v>
      </c>
      <c r="G2452" t="s">
        <v>2962</v>
      </c>
      <c r="H2452" t="s">
        <v>2984</v>
      </c>
      <c r="I2452" t="s">
        <v>2985</v>
      </c>
    </row>
    <row r="2453" customHeight="1" ht="14.0">
      <c r="A2453" t="s">
        <v>5622</v>
      </c>
      <c r="B2453" s="153" t="s">
        <v>5623</v>
      </c>
      <c r="C2453">
        <v>26.0</v>
      </c>
      <c r="D2453">
        <v>52.05</v>
      </c>
      <c r="E2453">
        <v>2.0019</v>
      </c>
      <c r="F2453" t="s">
        <v>2942</v>
      </c>
      <c r="G2453" t="s">
        <v>2962</v>
      </c>
      <c r="H2453" t="s">
        <v>2984</v>
      </c>
      <c r="I2453" t="s">
        <v>2985</v>
      </c>
    </row>
    <row r="2454" customHeight="1" ht="14.0">
      <c r="A2454" t="s">
        <v>5624</v>
      </c>
      <c r="B2454" s="153" t="s">
        <v>5625</v>
      </c>
      <c r="C2454">
        <v>635.0</v>
      </c>
      <c r="D2454">
        <v>1337.57</v>
      </c>
      <c r="E2454">
        <v>2.1064</v>
      </c>
      <c r="F2454" t="s">
        <v>2942</v>
      </c>
      <c r="G2454" t="s">
        <v>2962</v>
      </c>
      <c r="H2454" t="s">
        <v>2984</v>
      </c>
      <c r="I2454" t="s">
        <v>2985</v>
      </c>
    </row>
    <row r="2455" customHeight="1" ht="14.0">
      <c r="A2455" t="s">
        <v>5626</v>
      </c>
      <c r="B2455" s="153" t="s">
        <v>5627</v>
      </c>
      <c r="C2455">
        <v>110.0</v>
      </c>
      <c r="D2455">
        <v>231.54</v>
      </c>
      <c r="E2455">
        <v>2.1049</v>
      </c>
      <c r="F2455" t="s">
        <v>2942</v>
      </c>
      <c r="G2455" t="s">
        <v>2962</v>
      </c>
      <c r="H2455" t="s">
        <v>2984</v>
      </c>
      <c r="I2455" t="s">
        <v>2985</v>
      </c>
    </row>
    <row r="2456" customHeight="1" ht="14.0">
      <c r="A2456" t="s">
        <v>5628</v>
      </c>
      <c r="B2456" s="153" t="s">
        <v>5629</v>
      </c>
      <c r="C2456">
        <v>77.0</v>
      </c>
      <c r="D2456">
        <v>155.12</v>
      </c>
      <c r="E2456">
        <v>2.0145</v>
      </c>
      <c r="F2456" t="s">
        <v>2942</v>
      </c>
      <c r="G2456" t="s">
        <v>2962</v>
      </c>
      <c r="H2456" t="s">
        <v>2963</v>
      </c>
      <c r="I2456" t="s">
        <v>2985</v>
      </c>
    </row>
    <row r="2457" customHeight="1" ht="14.0">
      <c r="A2457" t="s">
        <v>5630</v>
      </c>
      <c r="B2457" s="153" t="s">
        <v>5631</v>
      </c>
      <c r="C2457">
        <v>350.0</v>
      </c>
      <c r="D2457">
        <v>737.17</v>
      </c>
      <c r="E2457">
        <v>2.1062</v>
      </c>
      <c r="F2457" t="s">
        <v>2942</v>
      </c>
      <c r="G2457" t="s">
        <v>2962</v>
      </c>
      <c r="H2457" t="s">
        <v>2963</v>
      </c>
      <c r="I2457" t="s">
        <v>2985</v>
      </c>
    </row>
    <row r="2458" customHeight="1" ht="14.0">
      <c r="A2458" t="s">
        <v>5632</v>
      </c>
      <c r="B2458" s="153" t="s">
        <v>5633</v>
      </c>
      <c r="C2458">
        <v>688.0</v>
      </c>
      <c r="D2458">
        <v>2091.5</v>
      </c>
      <c r="E2458">
        <v>3.04</v>
      </c>
      <c r="F2458" t="s">
        <v>2942</v>
      </c>
      <c r="G2458" t="s">
        <v>2962</v>
      </c>
      <c r="H2458" t="s">
        <v>2984</v>
      </c>
      <c r="I2458" t="s">
        <v>2985</v>
      </c>
    </row>
    <row r="2459" customHeight="1" ht="14.0">
      <c r="A2459" t="s">
        <v>5634</v>
      </c>
      <c r="B2459" s="153" t="s">
        <v>5635</v>
      </c>
      <c r="C2459">
        <v>362.0</v>
      </c>
      <c r="D2459">
        <v>762.45</v>
      </c>
      <c r="E2459">
        <v>2.1062</v>
      </c>
      <c r="F2459" t="s">
        <v>2942</v>
      </c>
      <c r="G2459" t="s">
        <v>2962</v>
      </c>
      <c r="H2459" t="s">
        <v>2984</v>
      </c>
      <c r="I2459" t="s">
        <v>2985</v>
      </c>
    </row>
    <row r="2460" customHeight="1" ht="14.0">
      <c r="A2460" t="s">
        <v>5636</v>
      </c>
      <c r="B2460" s="153" t="s">
        <v>5637</v>
      </c>
      <c r="C2460">
        <v>4.0</v>
      </c>
      <c r="D2460">
        <v>212.34</v>
      </c>
      <c r="E2460">
        <v>53.085</v>
      </c>
      <c r="F2460" t="s">
        <v>2942</v>
      </c>
      <c r="G2460" t="s">
        <v>2962</v>
      </c>
      <c r="H2460" t="s">
        <v>2984</v>
      </c>
      <c r="I2460" t="s">
        <v>2985</v>
      </c>
    </row>
    <row r="2461" customHeight="1" ht="14.0">
      <c r="A2461" t="s">
        <v>5638</v>
      </c>
      <c r="B2461" s="153" t="s">
        <v>5639</v>
      </c>
      <c r="C2461">
        <v>5.0</v>
      </c>
      <c r="D2461">
        <v>16.63</v>
      </c>
      <c r="E2461">
        <v>3.326</v>
      </c>
      <c r="F2461" t="s">
        <v>2942</v>
      </c>
      <c r="G2461" t="s">
        <v>2962</v>
      </c>
      <c r="I2461" t="s">
        <v>197</v>
      </c>
    </row>
    <row r="2462" customHeight="1" ht="14.0">
      <c r="A2462" t="s">
        <v>2257</v>
      </c>
      <c r="B2462" s="153" t="s">
        <v>2258</v>
      </c>
      <c r="C2462">
        <v>1.0</v>
      </c>
      <c r="D2462">
        <v>60.28</v>
      </c>
      <c r="E2462">
        <v>60.28</v>
      </c>
      <c r="F2462" t="s">
        <v>2942</v>
      </c>
      <c r="G2462" t="s">
        <v>2962</v>
      </c>
      <c r="H2462" t="s">
        <v>2963</v>
      </c>
      <c r="I2462" t="s">
        <v>3691</v>
      </c>
    </row>
    <row r="2463" customHeight="1" ht="14.0">
      <c r="A2463" t="s">
        <v>5640</v>
      </c>
      <c r="B2463" s="153" t="s">
        <v>2256</v>
      </c>
      <c r="C2463">
        <v>0.0</v>
      </c>
      <c r="D2463">
        <v>0.0</v>
      </c>
      <c r="F2463" t="s">
        <v>2942</v>
      </c>
      <c r="G2463" t="s">
        <v>2962</v>
      </c>
      <c r="I2463" t="s">
        <v>197</v>
      </c>
    </row>
    <row r="2464" customHeight="1" ht="14.0">
      <c r="A2464" t="s">
        <v>5641</v>
      </c>
      <c r="B2464" s="153" t="s">
        <v>5642</v>
      </c>
      <c r="C2464">
        <v>0.0</v>
      </c>
      <c r="D2464">
        <v>0.0</v>
      </c>
      <c r="F2464" t="s">
        <v>2994</v>
      </c>
      <c r="G2464" t="s">
        <v>2962</v>
      </c>
      <c r="H2464" t="s">
        <v>2984</v>
      </c>
      <c r="I2464" t="s">
        <v>5643</v>
      </c>
    </row>
    <row r="2465" customHeight="1" ht="14.0">
      <c r="A2465" t="s">
        <v>2865</v>
      </c>
      <c r="B2465" s="153" t="s">
        <v>2866</v>
      </c>
      <c r="C2465">
        <v>301.0</v>
      </c>
      <c r="D2465">
        <v>1436.08</v>
      </c>
      <c r="E2465">
        <v>4.771</v>
      </c>
      <c r="F2465" t="s">
        <v>2942</v>
      </c>
      <c r="G2465" t="s">
        <v>2962</v>
      </c>
      <c r="H2465" t="s">
        <v>2984</v>
      </c>
      <c r="I2465" t="s">
        <v>682</v>
      </c>
    </row>
    <row r="2466" customHeight="1" ht="14.0">
      <c r="A2466" t="s">
        <v>2861</v>
      </c>
      <c r="B2466" s="153" t="s">
        <v>2862</v>
      </c>
      <c r="C2466">
        <v>330.0</v>
      </c>
      <c r="D2466">
        <v>1574.45</v>
      </c>
      <c r="E2466">
        <v>4.7711</v>
      </c>
      <c r="F2466" t="s">
        <v>2942</v>
      </c>
      <c r="G2466" t="s">
        <v>2962</v>
      </c>
      <c r="H2466" t="s">
        <v>2984</v>
      </c>
      <c r="I2466" t="s">
        <v>682</v>
      </c>
    </row>
    <row r="2467" customHeight="1" ht="14.0">
      <c r="A2467" t="s">
        <v>2867</v>
      </c>
      <c r="B2467" s="153" t="s">
        <v>2868</v>
      </c>
      <c r="C2467">
        <v>375.0</v>
      </c>
      <c r="D2467">
        <v>1789.11</v>
      </c>
      <c r="E2467">
        <v>4.771</v>
      </c>
      <c r="F2467" t="s">
        <v>2942</v>
      </c>
      <c r="G2467" t="s">
        <v>2962</v>
      </c>
      <c r="H2467" t="s">
        <v>2984</v>
      </c>
      <c r="I2467" t="s">
        <v>682</v>
      </c>
    </row>
    <row r="2468" customHeight="1" ht="14.0">
      <c r="A2468" t="s">
        <v>2863</v>
      </c>
      <c r="B2468" s="153" t="s">
        <v>2864</v>
      </c>
      <c r="C2468">
        <v>342.0</v>
      </c>
      <c r="D2468">
        <v>1631.68</v>
      </c>
      <c r="E2468">
        <v>4.771</v>
      </c>
      <c r="F2468" t="s">
        <v>2942</v>
      </c>
      <c r="G2468" t="s">
        <v>2962</v>
      </c>
      <c r="H2468" t="s">
        <v>2984</v>
      </c>
      <c r="I2468" t="s">
        <v>682</v>
      </c>
    </row>
    <row r="2469" customHeight="1" ht="14.0">
      <c r="A2469" t="s">
        <v>2859</v>
      </c>
      <c r="B2469" s="153" t="s">
        <v>2860</v>
      </c>
      <c r="C2469">
        <v>128.0</v>
      </c>
      <c r="D2469">
        <v>610.71</v>
      </c>
      <c r="E2469">
        <v>4.7712</v>
      </c>
      <c r="F2469" t="s">
        <v>2942</v>
      </c>
      <c r="G2469" t="s">
        <v>2962</v>
      </c>
      <c r="H2469" t="s">
        <v>2984</v>
      </c>
      <c r="I2469" t="s">
        <v>682</v>
      </c>
    </row>
    <row r="2470" customHeight="1" ht="14.0">
      <c r="A2470" t="s">
        <v>5644</v>
      </c>
      <c r="B2470" s="153" t="s">
        <v>5645</v>
      </c>
      <c r="C2470">
        <v>327.0</v>
      </c>
      <c r="D2470">
        <v>1560.18</v>
      </c>
      <c r="E2470">
        <v>4.7712</v>
      </c>
      <c r="F2470" t="s">
        <v>2942</v>
      </c>
      <c r="G2470" t="s">
        <v>2962</v>
      </c>
      <c r="H2470" t="s">
        <v>2984</v>
      </c>
      <c r="I2470" t="s">
        <v>682</v>
      </c>
    </row>
    <row r="2471" customHeight="1" ht="14.0">
      <c r="A2471" t="s">
        <v>5646</v>
      </c>
      <c r="B2471" s="153" t="s">
        <v>5647</v>
      </c>
      <c r="C2471">
        <v>418.0</v>
      </c>
      <c r="D2471">
        <v>229.9</v>
      </c>
      <c r="E2471">
        <v>0.55</v>
      </c>
      <c r="F2471" t="s">
        <v>2942</v>
      </c>
      <c r="G2471" t="s">
        <v>2962</v>
      </c>
      <c r="H2471" t="s">
        <v>3161</v>
      </c>
      <c r="I2471" t="s">
        <v>3167</v>
      </c>
    </row>
    <row r="2472" customHeight="1" ht="14.0">
      <c r="A2472" t="s">
        <v>5648</v>
      </c>
      <c r="B2472" s="153" t="s">
        <v>5649</v>
      </c>
      <c r="C2472">
        <v>232.0</v>
      </c>
      <c r="D2472">
        <v>116.0</v>
      </c>
      <c r="E2472">
        <v>0.5</v>
      </c>
      <c r="F2472" t="s">
        <v>2942</v>
      </c>
      <c r="G2472" t="s">
        <v>2962</v>
      </c>
      <c r="H2472" t="s">
        <v>3161</v>
      </c>
      <c r="I2472" t="s">
        <v>3447</v>
      </c>
    </row>
    <row r="2473" customHeight="1" ht="14.0">
      <c r="A2473" t="s">
        <v>5650</v>
      </c>
      <c r="B2473" s="153" t="s">
        <v>5651</v>
      </c>
      <c r="C2473">
        <v>0.0</v>
      </c>
      <c r="D2473">
        <v>0.0</v>
      </c>
      <c r="F2473" t="s">
        <v>2942</v>
      </c>
      <c r="G2473" t="s">
        <v>2943</v>
      </c>
      <c r="H2473" t="s">
        <v>2944</v>
      </c>
      <c r="I2473" t="s">
        <v>3158</v>
      </c>
    </row>
    <row r="2474" customHeight="1" ht="14.0">
      <c r="A2474" t="s">
        <v>5652</v>
      </c>
      <c r="B2474" s="153" t="s">
        <v>5653</v>
      </c>
      <c r="C2474">
        <v>0.0</v>
      </c>
      <c r="D2474">
        <v>0.0</v>
      </c>
      <c r="F2474" t="s">
        <v>2994</v>
      </c>
      <c r="G2474" t="s">
        <v>2943</v>
      </c>
      <c r="H2474" t="s">
        <v>2944</v>
      </c>
      <c r="I2474" t="s">
        <v>5077</v>
      </c>
    </row>
    <row r="2475" customHeight="1" ht="14.0">
      <c r="A2475" t="s">
        <v>2259</v>
      </c>
      <c r="B2475" s="153" t="s">
        <v>2260</v>
      </c>
      <c r="C2475">
        <v>0.0</v>
      </c>
      <c r="D2475">
        <v>0.0</v>
      </c>
      <c r="F2475" t="s">
        <v>2942</v>
      </c>
      <c r="G2475" t="s">
        <v>2943</v>
      </c>
      <c r="H2475" t="s">
        <v>2944</v>
      </c>
      <c r="I2475" t="s">
        <v>289</v>
      </c>
    </row>
    <row r="2476" customHeight="1" ht="14.0">
      <c r="A2476" t="s">
        <v>2261</v>
      </c>
      <c r="B2476" s="153" t="s">
        <v>2262</v>
      </c>
      <c r="C2476">
        <v>0.0</v>
      </c>
      <c r="D2476">
        <v>0.0</v>
      </c>
      <c r="F2476" t="s">
        <v>2942</v>
      </c>
      <c r="G2476" t="s">
        <v>2943</v>
      </c>
      <c r="H2476" t="s">
        <v>2944</v>
      </c>
      <c r="I2476" t="s">
        <v>289</v>
      </c>
    </row>
    <row r="2477" customHeight="1" ht="14.0">
      <c r="A2477" t="s">
        <v>5654</v>
      </c>
      <c r="B2477" s="153" t="s">
        <v>5655</v>
      </c>
      <c r="C2477">
        <v>0.0</v>
      </c>
      <c r="D2477">
        <v>0.0</v>
      </c>
      <c r="F2477" t="s">
        <v>2942</v>
      </c>
      <c r="G2477" t="s">
        <v>2943</v>
      </c>
      <c r="H2477" t="s">
        <v>2944</v>
      </c>
      <c r="I2477" t="s">
        <v>289</v>
      </c>
    </row>
    <row r="2478" customHeight="1" ht="14.0">
      <c r="A2478" t="s">
        <v>2263</v>
      </c>
      <c r="B2478" s="153" t="s">
        <v>2264</v>
      </c>
      <c r="C2478">
        <v>0.0</v>
      </c>
      <c r="D2478">
        <v>0.0</v>
      </c>
      <c r="F2478" t="s">
        <v>2942</v>
      </c>
      <c r="G2478" t="s">
        <v>2943</v>
      </c>
      <c r="H2478" t="s">
        <v>2944</v>
      </c>
      <c r="I2478" t="s">
        <v>289</v>
      </c>
    </row>
    <row r="2479" customHeight="1" ht="14.0">
      <c r="A2479" t="s">
        <v>2265</v>
      </c>
      <c r="B2479" s="153" t="s">
        <v>2266</v>
      </c>
      <c r="C2479">
        <v>0.0</v>
      </c>
      <c r="D2479">
        <v>0.0</v>
      </c>
      <c r="F2479" t="s">
        <v>2942</v>
      </c>
      <c r="G2479" t="s">
        <v>2943</v>
      </c>
      <c r="H2479" t="s">
        <v>2944</v>
      </c>
      <c r="I2479" t="s">
        <v>289</v>
      </c>
    </row>
    <row r="2480" customHeight="1" ht="14.0">
      <c r="A2480" t="s">
        <v>2267</v>
      </c>
      <c r="B2480" s="153" t="s">
        <v>2268</v>
      </c>
      <c r="C2480">
        <v>0.0</v>
      </c>
      <c r="D2480">
        <v>0.0</v>
      </c>
      <c r="F2480" t="s">
        <v>2942</v>
      </c>
      <c r="G2480" t="s">
        <v>2943</v>
      </c>
      <c r="H2480" t="s">
        <v>2944</v>
      </c>
      <c r="I2480" t="s">
        <v>289</v>
      </c>
    </row>
    <row r="2481" customHeight="1" ht="14.0">
      <c r="A2481" t="s">
        <v>2269</v>
      </c>
      <c r="B2481" s="153" t="s">
        <v>2270</v>
      </c>
      <c r="C2481">
        <v>0.0</v>
      </c>
      <c r="D2481">
        <v>0.0</v>
      </c>
      <c r="F2481" t="s">
        <v>2942</v>
      </c>
      <c r="G2481" t="s">
        <v>2943</v>
      </c>
      <c r="H2481" t="s">
        <v>2944</v>
      </c>
      <c r="I2481" t="s">
        <v>289</v>
      </c>
    </row>
    <row r="2482" customHeight="1" ht="14.0">
      <c r="A2482" t="s">
        <v>5656</v>
      </c>
      <c r="B2482" s="153" t="s">
        <v>5657</v>
      </c>
      <c r="C2482">
        <v>0.0</v>
      </c>
      <c r="D2482">
        <v>0.0</v>
      </c>
      <c r="F2482" t="s">
        <v>2942</v>
      </c>
      <c r="G2482" t="s">
        <v>2943</v>
      </c>
      <c r="H2482" t="s">
        <v>2944</v>
      </c>
      <c r="I2482" t="s">
        <v>289</v>
      </c>
    </row>
    <row r="2483" customHeight="1" ht="14.0">
      <c r="A2483" t="s">
        <v>5658</v>
      </c>
      <c r="B2483" s="153" t="s">
        <v>5659</v>
      </c>
      <c r="C2483">
        <v>0.0</v>
      </c>
      <c r="D2483">
        <v>0.0</v>
      </c>
      <c r="F2483" t="s">
        <v>2994</v>
      </c>
      <c r="G2483" t="s">
        <v>2962</v>
      </c>
      <c r="H2483" t="s">
        <v>3161</v>
      </c>
      <c r="I2483" t="s">
        <v>289</v>
      </c>
    </row>
    <row r="2484" customHeight="1" ht="14.0">
      <c r="A2484" t="s">
        <v>5660</v>
      </c>
      <c r="B2484" s="153" t="s">
        <v>5661</v>
      </c>
      <c r="C2484">
        <v>306.0</v>
      </c>
      <c r="D2484">
        <v>165.24</v>
      </c>
      <c r="E2484">
        <v>0.54</v>
      </c>
      <c r="F2484" t="s">
        <v>2942</v>
      </c>
      <c r="G2484" t="s">
        <v>2962</v>
      </c>
      <c r="H2484" t="s">
        <v>3161</v>
      </c>
      <c r="I2484" t="s">
        <v>3366</v>
      </c>
    </row>
    <row r="2485" customHeight="1" ht="14.0">
      <c r="A2485" t="s">
        <v>5662</v>
      </c>
      <c r="B2485" s="153" t="s">
        <v>5663</v>
      </c>
      <c r="C2485">
        <v>24.0</v>
      </c>
      <c r="D2485">
        <v>12.96</v>
      </c>
      <c r="E2485">
        <v>0.54</v>
      </c>
      <c r="F2485" t="s">
        <v>2942</v>
      </c>
      <c r="G2485" t="s">
        <v>2962</v>
      </c>
      <c r="H2485" t="s">
        <v>3161</v>
      </c>
      <c r="I2485" t="s">
        <v>3366</v>
      </c>
    </row>
    <row r="2486" customHeight="1" ht="14.0">
      <c r="A2486" t="s">
        <v>2271</v>
      </c>
      <c r="B2486" s="153" t="s">
        <v>2272</v>
      </c>
      <c r="C2486">
        <v>280.0</v>
      </c>
      <c r="D2486">
        <v>1354.51</v>
      </c>
      <c r="E2486">
        <v>4.8375</v>
      </c>
      <c r="F2486" t="s">
        <v>2942</v>
      </c>
      <c r="G2486" t="s">
        <v>2962</v>
      </c>
      <c r="H2486" t="s">
        <v>2963</v>
      </c>
      <c r="I2486" t="s">
        <v>5664</v>
      </c>
    </row>
    <row r="2487" customHeight="1" ht="14.0">
      <c r="A2487" t="s">
        <v>2273</v>
      </c>
      <c r="B2487" s="153" t="s">
        <v>2274</v>
      </c>
      <c r="C2487">
        <v>0.0</v>
      </c>
      <c r="D2487">
        <v>0.0</v>
      </c>
      <c r="F2487" t="s">
        <v>2942</v>
      </c>
      <c r="G2487" t="s">
        <v>2962</v>
      </c>
      <c r="H2487" t="s">
        <v>2963</v>
      </c>
      <c r="I2487" t="s">
        <v>5664</v>
      </c>
    </row>
    <row r="2488" customHeight="1" ht="14.0">
      <c r="A2488" t="s">
        <v>2275</v>
      </c>
      <c r="B2488" s="153" t="s">
        <v>2276</v>
      </c>
      <c r="C2488">
        <v>0.0</v>
      </c>
      <c r="D2488">
        <v>0.0</v>
      </c>
      <c r="F2488" t="s">
        <v>2942</v>
      </c>
      <c r="G2488" t="s">
        <v>2943</v>
      </c>
      <c r="H2488" t="s">
        <v>2944</v>
      </c>
      <c r="I2488" t="s">
        <v>5664</v>
      </c>
    </row>
    <row r="2489" customHeight="1" ht="14.0">
      <c r="A2489" t="s">
        <v>5665</v>
      </c>
      <c r="B2489" s="153" t="s">
        <v>5666</v>
      </c>
      <c r="C2489">
        <v>0.0</v>
      </c>
      <c r="D2489">
        <v>0.0</v>
      </c>
      <c r="F2489" t="s">
        <v>2942</v>
      </c>
      <c r="G2489" t="s">
        <v>2943</v>
      </c>
      <c r="H2489" t="s">
        <v>2944</v>
      </c>
      <c r="I2489" t="s">
        <v>5664</v>
      </c>
    </row>
    <row r="2490" customHeight="1" ht="14.0">
      <c r="A2490" t="s">
        <v>2277</v>
      </c>
      <c r="B2490" s="153" t="s">
        <v>2278</v>
      </c>
      <c r="C2490">
        <v>152.0</v>
      </c>
      <c r="D2490">
        <v>731.59</v>
      </c>
      <c r="E2490">
        <v>4.8131</v>
      </c>
      <c r="F2490" t="s">
        <v>2942</v>
      </c>
      <c r="G2490" t="s">
        <v>2962</v>
      </c>
      <c r="H2490" t="s">
        <v>2963</v>
      </c>
      <c r="I2490" t="s">
        <v>5664</v>
      </c>
    </row>
    <row r="2491" customHeight="1" ht="14.0">
      <c r="A2491" t="s">
        <v>5667</v>
      </c>
      <c r="B2491" s="153" t="s">
        <v>5668</v>
      </c>
      <c r="C2491">
        <v>0.0</v>
      </c>
      <c r="D2491">
        <v>0.0</v>
      </c>
      <c r="F2491" t="s">
        <v>2942</v>
      </c>
      <c r="G2491" t="s">
        <v>2943</v>
      </c>
      <c r="H2491" t="s">
        <v>2944</v>
      </c>
      <c r="I2491" t="s">
        <v>5664</v>
      </c>
    </row>
    <row r="2492" customHeight="1" ht="14.0">
      <c r="A2492" t="s">
        <v>2279</v>
      </c>
      <c r="B2492" s="153" t="s">
        <v>2280</v>
      </c>
      <c r="C2492">
        <v>0.0</v>
      </c>
      <c r="D2492">
        <v>0.0</v>
      </c>
      <c r="F2492" t="s">
        <v>2942</v>
      </c>
      <c r="G2492" t="s">
        <v>2943</v>
      </c>
      <c r="H2492" t="s">
        <v>2944</v>
      </c>
      <c r="I2492" t="s">
        <v>207</v>
      </c>
    </row>
    <row r="2493" customHeight="1" ht="14.0">
      <c r="A2493" t="s">
        <v>2281</v>
      </c>
      <c r="B2493" s="153" t="s">
        <v>2282</v>
      </c>
      <c r="C2493">
        <v>84.0</v>
      </c>
      <c r="D2493">
        <v>229.84</v>
      </c>
      <c r="E2493">
        <v>2.7362</v>
      </c>
      <c r="F2493" t="s">
        <v>2942</v>
      </c>
      <c r="G2493" t="s">
        <v>2962</v>
      </c>
      <c r="H2493" t="s">
        <v>2963</v>
      </c>
      <c r="I2493" t="s">
        <v>207</v>
      </c>
    </row>
    <row r="2494" customHeight="1" ht="14.0">
      <c r="A2494" t="s">
        <v>2283</v>
      </c>
      <c r="B2494" s="153" t="s">
        <v>2284</v>
      </c>
      <c r="C2494">
        <v>0.0</v>
      </c>
      <c r="D2494">
        <v>0.0</v>
      </c>
      <c r="F2494" t="s">
        <v>2942</v>
      </c>
      <c r="G2494" t="s">
        <v>2943</v>
      </c>
      <c r="H2494" t="s">
        <v>2963</v>
      </c>
      <c r="I2494" t="s">
        <v>207</v>
      </c>
    </row>
    <row r="2495" customHeight="1" ht="14.0">
      <c r="A2495" t="s">
        <v>510</v>
      </c>
      <c r="B2495" s="153" t="s">
        <v>511</v>
      </c>
      <c r="C2495">
        <v>123.0</v>
      </c>
      <c r="D2495">
        <v>695.3</v>
      </c>
      <c r="E2495">
        <v>5.6528</v>
      </c>
      <c r="F2495" t="s">
        <v>2942</v>
      </c>
      <c r="G2495" t="s">
        <v>2962</v>
      </c>
      <c r="H2495" t="s">
        <v>2963</v>
      </c>
      <c r="I2495" t="s">
        <v>502</v>
      </c>
    </row>
    <row r="2496" customHeight="1" ht="14.0">
      <c r="A2496" t="s">
        <v>512</v>
      </c>
      <c r="B2496" s="153" t="s">
        <v>513</v>
      </c>
      <c r="C2496">
        <v>163.0</v>
      </c>
      <c r="D2496">
        <v>921.41</v>
      </c>
      <c r="E2496">
        <v>5.6528</v>
      </c>
      <c r="F2496" t="s">
        <v>2942</v>
      </c>
      <c r="G2496" t="s">
        <v>2962</v>
      </c>
      <c r="H2496" t="s">
        <v>30</v>
      </c>
      <c r="I2496" t="s">
        <v>502</v>
      </c>
    </row>
    <row r="2497" customHeight="1" ht="14.0">
      <c r="A2497" t="s">
        <v>507</v>
      </c>
      <c r="B2497" s="153" t="s">
        <v>508</v>
      </c>
      <c r="C2497">
        <v>15.0</v>
      </c>
      <c r="D2497">
        <v>77.82</v>
      </c>
      <c r="E2497">
        <v>5.188</v>
      </c>
      <c r="F2497" t="s">
        <v>2942</v>
      </c>
      <c r="G2497" t="s">
        <v>2962</v>
      </c>
      <c r="H2497" t="s">
        <v>30</v>
      </c>
      <c r="I2497" t="s">
        <v>502</v>
      </c>
    </row>
    <row r="2498" customHeight="1" ht="14.0">
      <c r="A2498" t="s">
        <v>516</v>
      </c>
      <c r="B2498" s="153" t="s">
        <v>517</v>
      </c>
      <c r="C2498">
        <v>70.0</v>
      </c>
      <c r="D2498">
        <v>395.73</v>
      </c>
      <c r="E2498">
        <v>5.6533</v>
      </c>
      <c r="F2498" t="s">
        <v>2942</v>
      </c>
      <c r="G2498" t="s">
        <v>2962</v>
      </c>
      <c r="H2498" t="s">
        <v>2963</v>
      </c>
      <c r="I2498" t="s">
        <v>502</v>
      </c>
    </row>
    <row r="2499" customHeight="1" ht="14.0">
      <c r="A2499" t="s">
        <v>514</v>
      </c>
      <c r="B2499" s="153" t="s">
        <v>515</v>
      </c>
      <c r="C2499">
        <v>256.0</v>
      </c>
      <c r="D2499">
        <v>1447.1</v>
      </c>
      <c r="E2499">
        <v>5.6527</v>
      </c>
      <c r="F2499" t="s">
        <v>2942</v>
      </c>
      <c r="G2499" t="s">
        <v>2962</v>
      </c>
      <c r="H2499" t="s">
        <v>2963</v>
      </c>
      <c r="I2499" t="s">
        <v>502</v>
      </c>
    </row>
    <row r="2500" customHeight="1" ht="14.0">
      <c r="A2500" t="s">
        <v>518</v>
      </c>
      <c r="B2500" s="153" t="s">
        <v>519</v>
      </c>
      <c r="C2500">
        <v>3.0</v>
      </c>
      <c r="D2500">
        <v>435.74</v>
      </c>
      <c r="E2500">
        <v>145.2467</v>
      </c>
      <c r="F2500" t="s">
        <v>2942</v>
      </c>
      <c r="G2500" t="s">
        <v>2962</v>
      </c>
      <c r="H2500" t="s">
        <v>30</v>
      </c>
      <c r="I2500" t="s">
        <v>502</v>
      </c>
    </row>
    <row r="2501" customHeight="1" ht="14.0">
      <c r="A2501" t="s">
        <v>5669</v>
      </c>
      <c r="B2501" s="153" t="s">
        <v>2286</v>
      </c>
      <c r="C2501">
        <v>0.0</v>
      </c>
      <c r="D2501">
        <v>0.0</v>
      </c>
      <c r="F2501" t="s">
        <v>2942</v>
      </c>
      <c r="G2501" t="s">
        <v>2943</v>
      </c>
      <c r="H2501" t="s">
        <v>3161</v>
      </c>
      <c r="I2501" t="s">
        <v>197</v>
      </c>
    </row>
    <row r="2502" customHeight="1" ht="14.0">
      <c r="A2502" t="s">
        <v>2289</v>
      </c>
      <c r="B2502" s="153" t="s">
        <v>2290</v>
      </c>
      <c r="C2502">
        <v>0.0</v>
      </c>
      <c r="D2502">
        <v>0.0</v>
      </c>
      <c r="F2502" t="s">
        <v>2942</v>
      </c>
      <c r="G2502" t="s">
        <v>2943</v>
      </c>
      <c r="H2502" t="s">
        <v>2963</v>
      </c>
      <c r="I2502" t="s">
        <v>3689</v>
      </c>
    </row>
    <row r="2503" customHeight="1" ht="14.0">
      <c r="A2503" t="s">
        <v>5670</v>
      </c>
      <c r="B2503" s="153" t="s">
        <v>2288</v>
      </c>
      <c r="C2503">
        <v>2.0</v>
      </c>
      <c r="D2503">
        <v>0.02</v>
      </c>
      <c r="E2503">
        <v>0.01</v>
      </c>
      <c r="F2503" t="s">
        <v>2942</v>
      </c>
      <c r="G2503" t="s">
        <v>2943</v>
      </c>
      <c r="H2503" t="s">
        <v>3161</v>
      </c>
      <c r="I2503" t="s">
        <v>197</v>
      </c>
    </row>
    <row r="2504" customHeight="1" ht="14.0">
      <c r="A2504" t="s">
        <v>5671</v>
      </c>
      <c r="B2504" s="153" t="s">
        <v>5672</v>
      </c>
      <c r="C2504">
        <v>0.0</v>
      </c>
      <c r="D2504">
        <v>0.0</v>
      </c>
      <c r="F2504" t="s">
        <v>2942</v>
      </c>
      <c r="G2504" t="s">
        <v>2943</v>
      </c>
      <c r="H2504" t="s">
        <v>2944</v>
      </c>
      <c r="I2504" t="s">
        <v>450</v>
      </c>
    </row>
    <row r="2505" customHeight="1" ht="14.0">
      <c r="A2505" t="s">
        <v>5673</v>
      </c>
      <c r="B2505" s="153" t="s">
        <v>5674</v>
      </c>
      <c r="C2505">
        <v>0.0</v>
      </c>
      <c r="D2505">
        <v>0.0</v>
      </c>
      <c r="F2505" t="s">
        <v>2942</v>
      </c>
      <c r="G2505" t="s">
        <v>2943</v>
      </c>
      <c r="H2505" t="s">
        <v>2944</v>
      </c>
      <c r="I2505" t="s">
        <v>450</v>
      </c>
    </row>
    <row r="2506" customHeight="1" ht="14.0">
      <c r="A2506" t="s">
        <v>2291</v>
      </c>
      <c r="B2506" s="153" t="s">
        <v>2292</v>
      </c>
      <c r="C2506">
        <v>0.0</v>
      </c>
      <c r="D2506">
        <v>0.0</v>
      </c>
      <c r="F2506" t="s">
        <v>2942</v>
      </c>
      <c r="G2506" t="s">
        <v>2943</v>
      </c>
      <c r="H2506" t="s">
        <v>2944</v>
      </c>
      <c r="I2506" t="s">
        <v>401</v>
      </c>
    </row>
    <row r="2507" customHeight="1" ht="14.0">
      <c r="A2507" t="s">
        <v>2293</v>
      </c>
      <c r="B2507" s="153" t="s">
        <v>2294</v>
      </c>
      <c r="C2507">
        <v>0.0</v>
      </c>
      <c r="D2507">
        <v>0.0</v>
      </c>
      <c r="F2507" t="s">
        <v>2942</v>
      </c>
      <c r="G2507" t="s">
        <v>2943</v>
      </c>
      <c r="H2507" t="s">
        <v>2944</v>
      </c>
      <c r="I2507" t="s">
        <v>401</v>
      </c>
    </row>
    <row r="2508" customHeight="1" ht="14.0">
      <c r="A2508" t="s">
        <v>5675</v>
      </c>
      <c r="B2508" s="153" t="s">
        <v>5676</v>
      </c>
      <c r="C2508">
        <v>0.0</v>
      </c>
      <c r="D2508">
        <v>0.0</v>
      </c>
      <c r="F2508" t="s">
        <v>2942</v>
      </c>
      <c r="G2508" t="s">
        <v>2943</v>
      </c>
      <c r="H2508" t="s">
        <v>2944</v>
      </c>
      <c r="I2508" t="s">
        <v>401</v>
      </c>
    </row>
    <row r="2509" customHeight="1" ht="14.0">
      <c r="A2509" t="s">
        <v>2295</v>
      </c>
      <c r="B2509" s="153" t="s">
        <v>2296</v>
      </c>
      <c r="C2509">
        <v>0.0</v>
      </c>
      <c r="D2509">
        <v>0.0</v>
      </c>
      <c r="F2509" t="s">
        <v>2942</v>
      </c>
      <c r="G2509" t="s">
        <v>2943</v>
      </c>
      <c r="H2509" t="s">
        <v>2944</v>
      </c>
      <c r="I2509" t="s">
        <v>401</v>
      </c>
    </row>
    <row r="2510" customHeight="1" ht="14.0">
      <c r="A2510" t="s">
        <v>5677</v>
      </c>
      <c r="B2510" s="153" t="s">
        <v>5678</v>
      </c>
      <c r="C2510">
        <v>0.0</v>
      </c>
      <c r="D2510">
        <v>0.0</v>
      </c>
      <c r="F2510" t="s">
        <v>2942</v>
      </c>
      <c r="G2510" t="s">
        <v>2943</v>
      </c>
      <c r="H2510" t="s">
        <v>2944</v>
      </c>
      <c r="I2510" t="s">
        <v>401</v>
      </c>
    </row>
    <row r="2511" customHeight="1" ht="14.0">
      <c r="A2511" t="s">
        <v>5679</v>
      </c>
      <c r="B2511" s="153" t="s">
        <v>5680</v>
      </c>
      <c r="C2511">
        <v>0.0</v>
      </c>
      <c r="D2511">
        <v>0.0</v>
      </c>
      <c r="F2511" t="s">
        <v>2942</v>
      </c>
      <c r="G2511" t="s">
        <v>2943</v>
      </c>
      <c r="H2511" t="s">
        <v>2944</v>
      </c>
      <c r="I2511" t="s">
        <v>401</v>
      </c>
    </row>
    <row r="2512" customHeight="1" ht="14.0">
      <c r="A2512" t="s">
        <v>5681</v>
      </c>
      <c r="B2512" s="153" t="s">
        <v>5682</v>
      </c>
      <c r="C2512">
        <v>0.0</v>
      </c>
      <c r="D2512">
        <v>0.0</v>
      </c>
      <c r="F2512" t="s">
        <v>2942</v>
      </c>
      <c r="G2512" t="s">
        <v>2943</v>
      </c>
      <c r="H2512" t="s">
        <v>2944</v>
      </c>
      <c r="I2512" t="s">
        <v>401</v>
      </c>
    </row>
    <row r="2513" customHeight="1" ht="14.0">
      <c r="A2513" t="s">
        <v>5683</v>
      </c>
      <c r="B2513" s="153" t="s">
        <v>5684</v>
      </c>
      <c r="C2513">
        <v>0.0</v>
      </c>
      <c r="D2513">
        <v>0.0</v>
      </c>
      <c r="F2513" t="s">
        <v>2942</v>
      </c>
      <c r="G2513" t="s">
        <v>2943</v>
      </c>
      <c r="H2513" t="s">
        <v>2944</v>
      </c>
      <c r="I2513" t="s">
        <v>401</v>
      </c>
    </row>
    <row r="2514" customHeight="1" ht="14.0">
      <c r="A2514" t="s">
        <v>2798</v>
      </c>
      <c r="B2514" s="153" t="s">
        <v>2799</v>
      </c>
      <c r="C2514">
        <v>271.0</v>
      </c>
      <c r="D2514">
        <v>914.26</v>
      </c>
      <c r="E2514">
        <v>3.3737</v>
      </c>
      <c r="F2514" t="s">
        <v>2942</v>
      </c>
      <c r="G2514" t="s">
        <v>2962</v>
      </c>
      <c r="H2514" t="s">
        <v>2984</v>
      </c>
      <c r="I2514" t="s">
        <v>597</v>
      </c>
    </row>
    <row r="2515" customHeight="1" ht="14.0">
      <c r="A2515" t="s">
        <v>618</v>
      </c>
      <c r="B2515" s="153" t="s">
        <v>619</v>
      </c>
      <c r="C2515">
        <v>262.0</v>
      </c>
      <c r="D2515">
        <v>870.64</v>
      </c>
      <c r="E2515">
        <v>3.3231</v>
      </c>
      <c r="F2515" t="s">
        <v>2942</v>
      </c>
      <c r="G2515" t="s">
        <v>2962</v>
      </c>
      <c r="H2515" t="s">
        <v>2963</v>
      </c>
      <c r="I2515" t="s">
        <v>597</v>
      </c>
    </row>
    <row r="2516" customHeight="1" ht="14.0">
      <c r="A2516" t="s">
        <v>2682</v>
      </c>
      <c r="B2516" s="153" t="s">
        <v>2683</v>
      </c>
      <c r="C2516">
        <v>0.0</v>
      </c>
      <c r="D2516">
        <v>0.0</v>
      </c>
      <c r="F2516" t="s">
        <v>2942</v>
      </c>
      <c r="G2516" t="s">
        <v>2943</v>
      </c>
      <c r="H2516" t="s">
        <v>2963</v>
      </c>
      <c r="I2516" t="s">
        <v>597</v>
      </c>
    </row>
    <row r="2517" customHeight="1" ht="14.0">
      <c r="A2517" t="s">
        <v>5685</v>
      </c>
      <c r="B2517" s="153" t="s">
        <v>5686</v>
      </c>
      <c r="C2517">
        <v>30.0</v>
      </c>
      <c r="D2517">
        <v>99.84</v>
      </c>
      <c r="E2517">
        <v>3.328</v>
      </c>
      <c r="F2517" t="s">
        <v>2942</v>
      </c>
      <c r="G2517" t="s">
        <v>2962</v>
      </c>
      <c r="H2517" t="s">
        <v>2963</v>
      </c>
      <c r="I2517" t="s">
        <v>597</v>
      </c>
    </row>
    <row r="2518" customHeight="1" ht="14.0">
      <c r="A2518" t="s">
        <v>600</v>
      </c>
      <c r="B2518" s="153" t="s">
        <v>601</v>
      </c>
      <c r="C2518">
        <v>0.0</v>
      </c>
      <c r="D2518">
        <v>0.0</v>
      </c>
      <c r="F2518" t="s">
        <v>2942</v>
      </c>
      <c r="G2518" t="s">
        <v>2962</v>
      </c>
      <c r="H2518" t="s">
        <v>2963</v>
      </c>
      <c r="I2518" t="s">
        <v>597</v>
      </c>
    </row>
    <row r="2519" customHeight="1" ht="14.0">
      <c r="A2519" t="s">
        <v>5687</v>
      </c>
      <c r="B2519" s="153" t="s">
        <v>5688</v>
      </c>
      <c r="C2519">
        <v>775.0</v>
      </c>
      <c r="D2519">
        <v>2615.16</v>
      </c>
      <c r="E2519">
        <v>3.3744</v>
      </c>
      <c r="F2519" t="s">
        <v>2942</v>
      </c>
      <c r="G2519" t="s">
        <v>2962</v>
      </c>
      <c r="H2519" t="s">
        <v>2984</v>
      </c>
      <c r="I2519" t="s">
        <v>597</v>
      </c>
    </row>
    <row r="2520" customHeight="1" ht="14.0">
      <c r="A2520" t="s">
        <v>610</v>
      </c>
      <c r="B2520" s="153" t="s">
        <v>611</v>
      </c>
      <c r="C2520">
        <v>81.0</v>
      </c>
      <c r="D2520">
        <v>251.29</v>
      </c>
      <c r="E2520">
        <v>3.1023</v>
      </c>
      <c r="F2520" t="s">
        <v>2942</v>
      </c>
      <c r="G2520" t="s">
        <v>2962</v>
      </c>
      <c r="H2520" t="s">
        <v>2963</v>
      </c>
      <c r="I2520" t="s">
        <v>597</v>
      </c>
    </row>
    <row r="2521" customHeight="1" ht="14.0">
      <c r="A2521" t="s">
        <v>608</v>
      </c>
      <c r="B2521" s="153" t="s">
        <v>609</v>
      </c>
      <c r="C2521">
        <v>163.0</v>
      </c>
      <c r="D2521">
        <v>541.72</v>
      </c>
      <c r="E2521">
        <v>3.3234</v>
      </c>
      <c r="F2521" t="s">
        <v>2942</v>
      </c>
      <c r="G2521" t="s">
        <v>2962</v>
      </c>
      <c r="H2521" t="s">
        <v>2963</v>
      </c>
      <c r="I2521" t="s">
        <v>597</v>
      </c>
    </row>
    <row r="2522" customHeight="1" ht="14.0">
      <c r="A2522" t="s">
        <v>2684</v>
      </c>
      <c r="B2522" s="153" t="s">
        <v>2685</v>
      </c>
      <c r="C2522">
        <v>0.0</v>
      </c>
      <c r="D2522">
        <v>0.0</v>
      </c>
      <c r="F2522" t="s">
        <v>2942</v>
      </c>
      <c r="G2522" t="s">
        <v>2943</v>
      </c>
      <c r="H2522" t="s">
        <v>2963</v>
      </c>
      <c r="I2522" t="s">
        <v>597</v>
      </c>
    </row>
    <row r="2523" customHeight="1" ht="14.0">
      <c r="A2523" t="s">
        <v>602</v>
      </c>
      <c r="B2523" s="153" t="s">
        <v>603</v>
      </c>
      <c r="C2523">
        <v>338.0</v>
      </c>
      <c r="D2523">
        <v>1123.16</v>
      </c>
      <c r="E2523">
        <v>3.323</v>
      </c>
      <c r="F2523" t="s">
        <v>2942</v>
      </c>
      <c r="G2523" t="s">
        <v>2962</v>
      </c>
      <c r="H2523" t="s">
        <v>30</v>
      </c>
      <c r="I2523" t="s">
        <v>597</v>
      </c>
    </row>
    <row r="2524" customHeight="1" ht="14.0">
      <c r="A2524" t="s">
        <v>616</v>
      </c>
      <c r="B2524" s="153" t="s">
        <v>617</v>
      </c>
      <c r="C2524">
        <v>341.0</v>
      </c>
      <c r="D2524">
        <v>1199.3</v>
      </c>
      <c r="E2524">
        <v>3.517</v>
      </c>
      <c r="F2524" t="s">
        <v>2942</v>
      </c>
      <c r="G2524" t="s">
        <v>2962</v>
      </c>
      <c r="H2524" t="s">
        <v>2963</v>
      </c>
      <c r="I2524" t="s">
        <v>597</v>
      </c>
    </row>
    <row r="2525" customHeight="1" ht="14.0">
      <c r="A2525" t="s">
        <v>598</v>
      </c>
      <c r="B2525" s="153" t="s">
        <v>599</v>
      </c>
      <c r="C2525">
        <v>233.0</v>
      </c>
      <c r="D2525">
        <v>786.12</v>
      </c>
      <c r="E2525">
        <v>3.3739</v>
      </c>
      <c r="F2525" t="s">
        <v>2942</v>
      </c>
      <c r="G2525" t="s">
        <v>2962</v>
      </c>
      <c r="H2525" t="s">
        <v>30</v>
      </c>
      <c r="I2525" t="s">
        <v>597</v>
      </c>
    </row>
    <row r="2526" customHeight="1" ht="14.0">
      <c r="A2526" t="s">
        <v>5689</v>
      </c>
      <c r="B2526" s="153" t="s">
        <v>5690</v>
      </c>
      <c r="C2526">
        <v>0.0</v>
      </c>
      <c r="D2526">
        <v>0.0</v>
      </c>
      <c r="F2526" t="s">
        <v>2942</v>
      </c>
      <c r="G2526" t="s">
        <v>2943</v>
      </c>
      <c r="H2526" t="s">
        <v>2944</v>
      </c>
      <c r="I2526" t="s">
        <v>3059</v>
      </c>
    </row>
    <row r="2527" customHeight="1" ht="14.0">
      <c r="A2527" t="s">
        <v>2297</v>
      </c>
      <c r="B2527" s="153" t="s">
        <v>2298</v>
      </c>
      <c r="C2527">
        <v>0.0</v>
      </c>
      <c r="D2527">
        <v>0.0</v>
      </c>
      <c r="F2527" t="s">
        <v>2942</v>
      </c>
      <c r="G2527" t="s">
        <v>2943</v>
      </c>
      <c r="H2527" t="s">
        <v>2944</v>
      </c>
      <c r="I2527" t="s">
        <v>3059</v>
      </c>
    </row>
    <row r="2528" customHeight="1" ht="14.0">
      <c r="A2528" t="s">
        <v>5691</v>
      </c>
      <c r="B2528" s="153" t="s">
        <v>5692</v>
      </c>
      <c r="C2528">
        <v>0.0</v>
      </c>
      <c r="D2528">
        <v>0.0</v>
      </c>
      <c r="F2528" t="s">
        <v>2942</v>
      </c>
      <c r="G2528" t="s">
        <v>2943</v>
      </c>
      <c r="H2528" t="s">
        <v>2944</v>
      </c>
      <c r="I2528" t="s">
        <v>3059</v>
      </c>
    </row>
    <row r="2529" customHeight="1" ht="14.0">
      <c r="A2529" t="s">
        <v>606</v>
      </c>
      <c r="B2529" s="153" t="s">
        <v>607</v>
      </c>
      <c r="C2529">
        <v>233.0</v>
      </c>
      <c r="D2529">
        <v>771.03</v>
      </c>
      <c r="E2529">
        <v>3.3091</v>
      </c>
      <c r="F2529" t="s">
        <v>2942</v>
      </c>
      <c r="G2529" t="s">
        <v>2962</v>
      </c>
      <c r="H2529" t="s">
        <v>30</v>
      </c>
      <c r="I2529" t="s">
        <v>597</v>
      </c>
    </row>
    <row r="2530" customHeight="1" ht="14.0">
      <c r="A2530" t="s">
        <v>612</v>
      </c>
      <c r="B2530" s="153" t="s">
        <v>613</v>
      </c>
      <c r="C2530">
        <v>776.0</v>
      </c>
      <c r="D2530">
        <v>2571.97</v>
      </c>
      <c r="E2530">
        <v>3.3144</v>
      </c>
      <c r="F2530" t="s">
        <v>2942</v>
      </c>
      <c r="G2530" t="s">
        <v>2962</v>
      </c>
      <c r="H2530" t="s">
        <v>2963</v>
      </c>
      <c r="I2530" t="s">
        <v>597</v>
      </c>
    </row>
    <row r="2531" customHeight="1" ht="14.0">
      <c r="A2531" t="s">
        <v>5693</v>
      </c>
      <c r="B2531" s="153" t="s">
        <v>5694</v>
      </c>
      <c r="C2531">
        <v>330.0</v>
      </c>
      <c r="D2531">
        <v>1113.53</v>
      </c>
      <c r="E2531">
        <v>3.3743</v>
      </c>
      <c r="F2531" t="s">
        <v>2942</v>
      </c>
      <c r="G2531" t="s">
        <v>2962</v>
      </c>
      <c r="H2531" t="s">
        <v>2984</v>
      </c>
      <c r="I2531" t="s">
        <v>597</v>
      </c>
    </row>
    <row r="2532" customHeight="1" ht="14.0">
      <c r="A2532" t="s">
        <v>614</v>
      </c>
      <c r="B2532" s="153" t="s">
        <v>615</v>
      </c>
      <c r="C2532">
        <v>80.0</v>
      </c>
      <c r="D2532">
        <v>264.6</v>
      </c>
      <c r="E2532">
        <v>3.3075</v>
      </c>
      <c r="F2532" t="s">
        <v>2942</v>
      </c>
      <c r="G2532" t="s">
        <v>2962</v>
      </c>
      <c r="H2532" t="s">
        <v>2963</v>
      </c>
      <c r="I2532" t="s">
        <v>597</v>
      </c>
    </row>
    <row r="2533" customHeight="1" ht="14.0">
      <c r="A2533" t="s">
        <v>604</v>
      </c>
      <c r="B2533" s="153" t="s">
        <v>605</v>
      </c>
      <c r="C2533">
        <v>346.0</v>
      </c>
      <c r="D2533">
        <v>1180.32</v>
      </c>
      <c r="E2533">
        <v>3.4113</v>
      </c>
      <c r="F2533" t="s">
        <v>2942</v>
      </c>
      <c r="G2533" t="s">
        <v>2962</v>
      </c>
      <c r="H2533" t="s">
        <v>2963</v>
      </c>
      <c r="I2533" t="s">
        <v>597</v>
      </c>
    </row>
    <row r="2534" customHeight="1" ht="14.0">
      <c r="A2534" t="s">
        <v>5695</v>
      </c>
      <c r="B2534" s="153" t="s">
        <v>5696</v>
      </c>
      <c r="C2534">
        <v>0.0</v>
      </c>
      <c r="D2534">
        <v>0.0</v>
      </c>
      <c r="F2534" t="s">
        <v>2942</v>
      </c>
      <c r="G2534" t="s">
        <v>2943</v>
      </c>
      <c r="H2534" t="s">
        <v>2944</v>
      </c>
      <c r="I2534" t="s">
        <v>3024</v>
      </c>
    </row>
    <row r="2535" customHeight="1" ht="14.0">
      <c r="A2535" t="s">
        <v>5697</v>
      </c>
      <c r="B2535" s="153" t="s">
        <v>5698</v>
      </c>
      <c r="C2535">
        <v>0.0</v>
      </c>
      <c r="D2535">
        <v>0.0</v>
      </c>
      <c r="F2535" t="s">
        <v>2942</v>
      </c>
      <c r="G2535" t="s">
        <v>2943</v>
      </c>
      <c r="H2535" t="s">
        <v>2944</v>
      </c>
      <c r="I2535" t="s">
        <v>3024</v>
      </c>
    </row>
    <row r="2536" customHeight="1" ht="14.0">
      <c r="A2536" t="s">
        <v>620</v>
      </c>
      <c r="B2536" s="153" t="s">
        <v>621</v>
      </c>
      <c r="C2536">
        <v>1.0</v>
      </c>
      <c r="D2536">
        <v>154.96</v>
      </c>
      <c r="E2536">
        <v>154.96</v>
      </c>
      <c r="F2536" t="s">
        <v>2942</v>
      </c>
      <c r="G2536" t="s">
        <v>2962</v>
      </c>
      <c r="H2536" t="s">
        <v>30</v>
      </c>
      <c r="I2536" t="s">
        <v>597</v>
      </c>
    </row>
    <row r="2537" customHeight="1" ht="14.0">
      <c r="A2537" t="s">
        <v>2301</v>
      </c>
      <c r="B2537" s="153" t="s">
        <v>2302</v>
      </c>
      <c r="C2537">
        <v>3.0</v>
      </c>
      <c r="D2537">
        <v>108.15</v>
      </c>
      <c r="E2537">
        <v>36.05</v>
      </c>
      <c r="F2537" t="s">
        <v>2942</v>
      </c>
      <c r="G2537" t="s">
        <v>2962</v>
      </c>
      <c r="H2537" t="s">
        <v>2963</v>
      </c>
      <c r="I2537" t="s">
        <v>3687</v>
      </c>
    </row>
    <row r="2538" customHeight="1" ht="14.0">
      <c r="A2538" t="s">
        <v>5699</v>
      </c>
      <c r="B2538" s="153" t="s">
        <v>2300</v>
      </c>
      <c r="C2538">
        <v>3.0</v>
      </c>
      <c r="D2538">
        <v>13.5</v>
      </c>
      <c r="E2538">
        <v>4.5</v>
      </c>
      <c r="F2538" t="s">
        <v>2942</v>
      </c>
      <c r="G2538" t="s">
        <v>2962</v>
      </c>
      <c r="I2538" t="s">
        <v>197</v>
      </c>
    </row>
    <row r="2539" customHeight="1" ht="14.0">
      <c r="A2539" t="s">
        <v>5700</v>
      </c>
      <c r="B2539" s="153" t="s">
        <v>5701</v>
      </c>
      <c r="C2539">
        <v>500.0</v>
      </c>
      <c r="D2539">
        <v>193.95</v>
      </c>
      <c r="E2539">
        <v>0.3879</v>
      </c>
      <c r="F2539" t="s">
        <v>3197</v>
      </c>
      <c r="G2539" t="s">
        <v>2962</v>
      </c>
      <c r="H2539" t="s">
        <v>3455</v>
      </c>
    </row>
    <row r="2540" customHeight="1" ht="14.0">
      <c r="A2540" t="s">
        <v>5702</v>
      </c>
      <c r="B2540" s="153" t="s">
        <v>5703</v>
      </c>
      <c r="C2540">
        <v>500.0</v>
      </c>
      <c r="D2540">
        <v>193.95</v>
      </c>
      <c r="E2540">
        <v>0.3879</v>
      </c>
      <c r="F2540" t="s">
        <v>3197</v>
      </c>
      <c r="G2540" t="s">
        <v>2962</v>
      </c>
      <c r="H2540" t="s">
        <v>3455</v>
      </c>
    </row>
    <row r="2541" customHeight="1" ht="14.0">
      <c r="A2541" t="s">
        <v>5704</v>
      </c>
      <c r="B2541" s="153" t="s">
        <v>5705</v>
      </c>
      <c r="C2541">
        <v>500.0</v>
      </c>
      <c r="D2541">
        <v>193.95</v>
      </c>
      <c r="E2541">
        <v>0.3879</v>
      </c>
      <c r="F2541" t="s">
        <v>3197</v>
      </c>
      <c r="G2541" t="s">
        <v>2962</v>
      </c>
      <c r="H2541" t="s">
        <v>3455</v>
      </c>
    </row>
    <row r="2542" customHeight="1" ht="14.0">
      <c r="A2542" t="s">
        <v>5706</v>
      </c>
      <c r="B2542" s="153" t="s">
        <v>5707</v>
      </c>
      <c r="C2542">
        <v>500.0</v>
      </c>
      <c r="D2542">
        <v>193.95</v>
      </c>
      <c r="E2542">
        <v>0.3879</v>
      </c>
      <c r="F2542" t="s">
        <v>3197</v>
      </c>
      <c r="G2542" t="s">
        <v>2962</v>
      </c>
      <c r="H2542" t="s">
        <v>3455</v>
      </c>
    </row>
    <row r="2543" customHeight="1" ht="14.0">
      <c r="A2543" t="s">
        <v>5708</v>
      </c>
      <c r="B2543" s="153" t="s">
        <v>5709</v>
      </c>
      <c r="C2543">
        <v>500.0</v>
      </c>
      <c r="D2543">
        <v>193.95</v>
      </c>
      <c r="E2543">
        <v>0.3879</v>
      </c>
      <c r="F2543" t="s">
        <v>3197</v>
      </c>
      <c r="G2543" t="s">
        <v>2962</v>
      </c>
      <c r="H2543" t="s">
        <v>3455</v>
      </c>
    </row>
    <row r="2544" customHeight="1" ht="14.0">
      <c r="A2544" t="s">
        <v>5710</v>
      </c>
      <c r="B2544" s="153" t="s">
        <v>5711</v>
      </c>
      <c r="C2544">
        <v>500.0</v>
      </c>
      <c r="D2544">
        <v>193.95</v>
      </c>
      <c r="E2544">
        <v>0.3879</v>
      </c>
      <c r="F2544" t="s">
        <v>3197</v>
      </c>
      <c r="G2544" t="s">
        <v>2962</v>
      </c>
      <c r="H2544" t="s">
        <v>3455</v>
      </c>
    </row>
    <row r="2545" customHeight="1" ht="14.0">
      <c r="A2545" t="s">
        <v>5712</v>
      </c>
      <c r="B2545" s="153" t="s">
        <v>5713</v>
      </c>
      <c r="C2545">
        <v>500.0</v>
      </c>
      <c r="D2545">
        <v>193.95</v>
      </c>
      <c r="E2545">
        <v>0.3879</v>
      </c>
      <c r="F2545" t="s">
        <v>3197</v>
      </c>
      <c r="G2545" t="s">
        <v>2962</v>
      </c>
      <c r="H2545" t="s">
        <v>3455</v>
      </c>
    </row>
    <row r="2546" customHeight="1" ht="14.0">
      <c r="A2546" t="s">
        <v>5714</v>
      </c>
      <c r="B2546" s="153" t="s">
        <v>5715</v>
      </c>
      <c r="C2546">
        <v>500.0</v>
      </c>
      <c r="D2546">
        <v>193.95</v>
      </c>
      <c r="E2546">
        <v>0.3879</v>
      </c>
      <c r="F2546" t="s">
        <v>3197</v>
      </c>
      <c r="G2546" t="s">
        <v>2962</v>
      </c>
      <c r="H2546" t="s">
        <v>3455</v>
      </c>
    </row>
    <row r="2547" customHeight="1" ht="14.0">
      <c r="A2547" t="s">
        <v>5716</v>
      </c>
      <c r="B2547" s="153" t="s">
        <v>5717</v>
      </c>
      <c r="C2547">
        <v>500.0</v>
      </c>
      <c r="D2547">
        <v>193.95</v>
      </c>
      <c r="E2547">
        <v>0.3879</v>
      </c>
      <c r="F2547" t="s">
        <v>3197</v>
      </c>
      <c r="G2547" t="s">
        <v>2962</v>
      </c>
      <c r="H2547" t="s">
        <v>3455</v>
      </c>
    </row>
    <row r="2548" customHeight="1" ht="14.0">
      <c r="A2548" t="s">
        <v>5718</v>
      </c>
      <c r="B2548" s="153" t="s">
        <v>5719</v>
      </c>
      <c r="C2548">
        <v>0.0</v>
      </c>
      <c r="D2548">
        <v>0.0</v>
      </c>
      <c r="F2548" t="s">
        <v>2942</v>
      </c>
      <c r="G2548" t="s">
        <v>2943</v>
      </c>
      <c r="H2548" t="s">
        <v>2944</v>
      </c>
      <c r="I2548" t="s">
        <v>401</v>
      </c>
    </row>
    <row r="2549" customHeight="1" ht="14.0">
      <c r="A2549" t="s">
        <v>5720</v>
      </c>
      <c r="B2549" s="153" t="s">
        <v>5721</v>
      </c>
      <c r="C2549">
        <v>0.0</v>
      </c>
      <c r="D2549">
        <v>0.0</v>
      </c>
      <c r="F2549" t="s">
        <v>2942</v>
      </c>
      <c r="G2549" t="s">
        <v>2943</v>
      </c>
      <c r="H2549" t="s">
        <v>2944</v>
      </c>
      <c r="I2549" t="s">
        <v>3179</v>
      </c>
    </row>
    <row r="2550" customHeight="1" ht="14.0">
      <c r="A2550" t="s">
        <v>5722</v>
      </c>
      <c r="B2550" s="153" t="s">
        <v>5723</v>
      </c>
      <c r="C2550">
        <v>0.0</v>
      </c>
      <c r="D2550">
        <v>0.0</v>
      </c>
      <c r="F2550" t="s">
        <v>2942</v>
      </c>
      <c r="G2550" t="s">
        <v>2943</v>
      </c>
      <c r="H2550" t="s">
        <v>2944</v>
      </c>
      <c r="I2550" t="s">
        <v>197</v>
      </c>
    </row>
    <row r="2551" customHeight="1" ht="14.0">
      <c r="A2551" t="s">
        <v>5724</v>
      </c>
      <c r="B2551" s="153">
        <v>32719.0</v>
      </c>
      <c r="C2551">
        <v>0.0</v>
      </c>
      <c r="D2551">
        <v>0.0</v>
      </c>
      <c r="F2551" t="s">
        <v>2942</v>
      </c>
      <c r="G2551" t="s">
        <v>2943</v>
      </c>
      <c r="H2551" t="s">
        <v>2944</v>
      </c>
      <c r="I2551" t="s">
        <v>3447</v>
      </c>
    </row>
    <row r="2552" customHeight="1" ht="14.0">
      <c r="A2552" t="s">
        <v>5725</v>
      </c>
      <c r="B2552" s="153">
        <v>32701.0</v>
      </c>
      <c r="C2552">
        <v>0.0</v>
      </c>
      <c r="D2552">
        <v>0.0</v>
      </c>
      <c r="F2552" t="s">
        <v>2942</v>
      </c>
      <c r="G2552" t="s">
        <v>2943</v>
      </c>
      <c r="H2552" t="s">
        <v>2944</v>
      </c>
      <c r="I2552" t="s">
        <v>3447</v>
      </c>
    </row>
    <row r="2553" customHeight="1" ht="14.0">
      <c r="A2553" t="s">
        <v>5726</v>
      </c>
      <c r="B2553" s="153">
        <v>32702.0</v>
      </c>
      <c r="C2553">
        <v>0.0</v>
      </c>
      <c r="D2553">
        <v>0.0</v>
      </c>
      <c r="F2553" t="s">
        <v>2942</v>
      </c>
      <c r="G2553" t="s">
        <v>2943</v>
      </c>
      <c r="H2553" t="s">
        <v>2944</v>
      </c>
      <c r="I2553" t="s">
        <v>3447</v>
      </c>
    </row>
    <row r="2554" customHeight="1" ht="14.0">
      <c r="A2554" t="s">
        <v>5727</v>
      </c>
      <c r="B2554" s="153">
        <v>32720.0</v>
      </c>
      <c r="C2554">
        <v>0.0</v>
      </c>
      <c r="D2554">
        <v>0.0</v>
      </c>
      <c r="F2554" t="s">
        <v>2942</v>
      </c>
      <c r="G2554" t="s">
        <v>2943</v>
      </c>
      <c r="H2554" t="s">
        <v>2944</v>
      </c>
      <c r="I2554" t="s">
        <v>3447</v>
      </c>
    </row>
    <row r="2555" customHeight="1" ht="14.0">
      <c r="A2555" t="s">
        <v>5728</v>
      </c>
      <c r="B2555" s="153">
        <v>32703.0</v>
      </c>
      <c r="C2555">
        <v>0.0</v>
      </c>
      <c r="D2555">
        <v>0.0</v>
      </c>
      <c r="F2555" t="s">
        <v>2942</v>
      </c>
      <c r="G2555" t="s">
        <v>2943</v>
      </c>
      <c r="H2555" t="s">
        <v>2944</v>
      </c>
      <c r="I2555" t="s">
        <v>3447</v>
      </c>
    </row>
    <row r="2556" customHeight="1" ht="14.0">
      <c r="A2556" t="s">
        <v>5729</v>
      </c>
      <c r="B2556" s="153">
        <v>32722.0</v>
      </c>
      <c r="C2556">
        <v>0.0</v>
      </c>
      <c r="D2556">
        <v>0.0</v>
      </c>
      <c r="F2556" t="s">
        <v>2942</v>
      </c>
      <c r="G2556" t="s">
        <v>2943</v>
      </c>
      <c r="H2556" t="s">
        <v>2944</v>
      </c>
      <c r="I2556" t="s">
        <v>3447</v>
      </c>
    </row>
    <row r="2557" customHeight="1" ht="14.0">
      <c r="A2557" t="s">
        <v>5730</v>
      </c>
      <c r="B2557" s="153">
        <v>32723.0</v>
      </c>
      <c r="C2557">
        <v>0.0</v>
      </c>
      <c r="D2557">
        <v>0.0</v>
      </c>
      <c r="F2557" t="s">
        <v>2942</v>
      </c>
      <c r="G2557" t="s">
        <v>2943</v>
      </c>
      <c r="H2557" t="s">
        <v>2944</v>
      </c>
      <c r="I2557" t="s">
        <v>3447</v>
      </c>
    </row>
    <row r="2558" customHeight="1" ht="14.0">
      <c r="A2558" t="s">
        <v>5731</v>
      </c>
      <c r="B2558" s="153">
        <v>32705.0</v>
      </c>
      <c r="C2558">
        <v>0.0</v>
      </c>
      <c r="D2558">
        <v>0.0</v>
      </c>
      <c r="F2558" t="s">
        <v>2942</v>
      </c>
      <c r="G2558" t="s">
        <v>2943</v>
      </c>
      <c r="H2558" t="s">
        <v>2944</v>
      </c>
      <c r="I2558" t="s">
        <v>3447</v>
      </c>
    </row>
    <row r="2559" customHeight="1" ht="14.0">
      <c r="A2559" t="s">
        <v>5732</v>
      </c>
      <c r="B2559" s="153">
        <v>32724.0</v>
      </c>
      <c r="C2559">
        <v>0.0</v>
      </c>
      <c r="D2559">
        <v>0.0</v>
      </c>
      <c r="F2559" t="s">
        <v>2942</v>
      </c>
      <c r="G2559" t="s">
        <v>2943</v>
      </c>
      <c r="H2559" t="s">
        <v>2944</v>
      </c>
      <c r="I2559" t="s">
        <v>3447</v>
      </c>
    </row>
    <row r="2560" customHeight="1" ht="14.0">
      <c r="A2560" t="s">
        <v>5733</v>
      </c>
      <c r="B2560" s="153">
        <v>32708.0</v>
      </c>
      <c r="C2560">
        <v>0.0</v>
      </c>
      <c r="D2560">
        <v>0.0</v>
      </c>
      <c r="F2560" t="s">
        <v>2942</v>
      </c>
      <c r="G2560" t="s">
        <v>2943</v>
      </c>
      <c r="H2560" t="s">
        <v>2944</v>
      </c>
      <c r="I2560" t="s">
        <v>3447</v>
      </c>
    </row>
    <row r="2561" customHeight="1" ht="14.0">
      <c r="A2561" t="s">
        <v>5734</v>
      </c>
      <c r="B2561" s="153">
        <v>32725.0</v>
      </c>
      <c r="C2561">
        <v>0.0</v>
      </c>
      <c r="D2561">
        <v>0.0</v>
      </c>
      <c r="F2561" t="s">
        <v>2942</v>
      </c>
      <c r="G2561" t="s">
        <v>2943</v>
      </c>
      <c r="H2561" t="s">
        <v>2944</v>
      </c>
      <c r="I2561" t="s">
        <v>3447</v>
      </c>
    </row>
    <row r="2562" customHeight="1" ht="14.0">
      <c r="A2562" t="s">
        <v>5735</v>
      </c>
      <c r="B2562" s="153">
        <v>32726.0</v>
      </c>
      <c r="C2562">
        <v>0.0</v>
      </c>
      <c r="D2562">
        <v>0.0</v>
      </c>
      <c r="F2562" t="s">
        <v>2942</v>
      </c>
      <c r="G2562" t="s">
        <v>2943</v>
      </c>
      <c r="H2562" t="s">
        <v>2944</v>
      </c>
      <c r="I2562" t="s">
        <v>3447</v>
      </c>
    </row>
    <row r="2563" customHeight="1" ht="14.0">
      <c r="A2563" t="s">
        <v>5736</v>
      </c>
      <c r="B2563" s="153">
        <v>32727.0</v>
      </c>
      <c r="C2563">
        <v>0.0</v>
      </c>
      <c r="D2563">
        <v>0.0</v>
      </c>
      <c r="F2563" t="s">
        <v>2942</v>
      </c>
      <c r="G2563" t="s">
        <v>2943</v>
      </c>
      <c r="H2563" t="s">
        <v>2944</v>
      </c>
      <c r="I2563" t="s">
        <v>3447</v>
      </c>
    </row>
    <row r="2564" customHeight="1" ht="14.0">
      <c r="A2564" t="s">
        <v>5737</v>
      </c>
      <c r="B2564" s="153">
        <v>32728.0</v>
      </c>
      <c r="C2564">
        <v>0.0</v>
      </c>
      <c r="D2564">
        <v>0.0</v>
      </c>
      <c r="F2564" t="s">
        <v>2942</v>
      </c>
      <c r="G2564" t="s">
        <v>2943</v>
      </c>
      <c r="H2564" t="s">
        <v>2944</v>
      </c>
      <c r="I2564" t="s">
        <v>3447</v>
      </c>
    </row>
    <row r="2565" customHeight="1" ht="14.0">
      <c r="A2565" t="s">
        <v>5738</v>
      </c>
      <c r="B2565" s="153">
        <v>32709.0</v>
      </c>
      <c r="C2565">
        <v>0.0</v>
      </c>
      <c r="D2565">
        <v>0.0</v>
      </c>
      <c r="F2565" t="s">
        <v>2942</v>
      </c>
      <c r="G2565" t="s">
        <v>2943</v>
      </c>
      <c r="H2565" t="s">
        <v>2944</v>
      </c>
      <c r="I2565" t="s">
        <v>3447</v>
      </c>
    </row>
    <row r="2566" customHeight="1" ht="14.0">
      <c r="A2566" t="s">
        <v>5739</v>
      </c>
      <c r="B2566" s="153">
        <v>32710.0</v>
      </c>
      <c r="C2566">
        <v>0.0</v>
      </c>
      <c r="D2566">
        <v>0.0</v>
      </c>
      <c r="F2566" t="s">
        <v>2942</v>
      </c>
      <c r="G2566" t="s">
        <v>2943</v>
      </c>
      <c r="H2566" t="s">
        <v>2944</v>
      </c>
      <c r="I2566" t="s">
        <v>3447</v>
      </c>
    </row>
    <row r="2567" customHeight="1" ht="14.0">
      <c r="A2567" t="s">
        <v>5740</v>
      </c>
      <c r="B2567" s="153">
        <v>32729.0</v>
      </c>
      <c r="C2567">
        <v>0.0</v>
      </c>
      <c r="D2567">
        <v>0.0</v>
      </c>
      <c r="F2567" t="s">
        <v>2942</v>
      </c>
      <c r="G2567" t="s">
        <v>2943</v>
      </c>
      <c r="H2567" t="s">
        <v>2944</v>
      </c>
      <c r="I2567" t="s">
        <v>3447</v>
      </c>
    </row>
    <row r="2568" customHeight="1" ht="14.0">
      <c r="A2568" t="s">
        <v>5741</v>
      </c>
      <c r="B2568" s="153">
        <v>32711.0</v>
      </c>
      <c r="C2568">
        <v>0.0</v>
      </c>
      <c r="D2568">
        <v>0.0</v>
      </c>
      <c r="F2568" t="s">
        <v>2942</v>
      </c>
      <c r="G2568" t="s">
        <v>2943</v>
      </c>
      <c r="H2568" t="s">
        <v>2944</v>
      </c>
      <c r="I2568" t="s">
        <v>3447</v>
      </c>
    </row>
    <row r="2569" customHeight="1" ht="14.0">
      <c r="A2569" t="s">
        <v>5742</v>
      </c>
      <c r="B2569" s="153" t="s">
        <v>5743</v>
      </c>
      <c r="C2569">
        <v>0.0</v>
      </c>
      <c r="D2569">
        <v>0.0</v>
      </c>
      <c r="F2569" t="s">
        <v>2994</v>
      </c>
      <c r="G2569" t="s">
        <v>2943</v>
      </c>
      <c r="H2569" t="s">
        <v>2944</v>
      </c>
    </row>
    <row r="2570" customHeight="1" ht="14.0">
      <c r="A2570" t="s">
        <v>5744</v>
      </c>
      <c r="B2570" s="153">
        <v>32730.0</v>
      </c>
      <c r="C2570">
        <v>0.0</v>
      </c>
      <c r="D2570">
        <v>0.0</v>
      </c>
      <c r="F2570" t="s">
        <v>2942</v>
      </c>
      <c r="G2570" t="s">
        <v>2943</v>
      </c>
      <c r="H2570" t="s">
        <v>2944</v>
      </c>
      <c r="I2570" t="s">
        <v>3447</v>
      </c>
    </row>
    <row r="2571" customHeight="1" ht="14.0">
      <c r="A2571" t="s">
        <v>5745</v>
      </c>
      <c r="B2571" s="153">
        <v>32714.0</v>
      </c>
      <c r="C2571">
        <v>0.0</v>
      </c>
      <c r="D2571">
        <v>0.0</v>
      </c>
      <c r="F2571" t="s">
        <v>2942</v>
      </c>
      <c r="G2571" t="s">
        <v>2943</v>
      </c>
      <c r="H2571" t="s">
        <v>2944</v>
      </c>
      <c r="I2571" t="s">
        <v>3447</v>
      </c>
    </row>
    <row r="2572" customHeight="1" ht="14.0">
      <c r="A2572" t="s">
        <v>5746</v>
      </c>
      <c r="B2572" s="153">
        <v>32721.0</v>
      </c>
      <c r="C2572">
        <v>0.0</v>
      </c>
      <c r="D2572">
        <v>0.0</v>
      </c>
      <c r="F2572" t="s">
        <v>2942</v>
      </c>
      <c r="G2572" t="s">
        <v>2943</v>
      </c>
      <c r="H2572" t="s">
        <v>2944</v>
      </c>
      <c r="I2572" t="s">
        <v>3447</v>
      </c>
    </row>
    <row r="2573" customHeight="1" ht="14.0">
      <c r="A2573" t="s">
        <v>5747</v>
      </c>
      <c r="B2573" s="153">
        <v>32718.0</v>
      </c>
      <c r="C2573">
        <v>0.0</v>
      </c>
      <c r="D2573">
        <v>0.0</v>
      </c>
      <c r="F2573" t="s">
        <v>2942</v>
      </c>
      <c r="G2573" t="s">
        <v>2943</v>
      </c>
      <c r="H2573" t="s">
        <v>2944</v>
      </c>
      <c r="I2573" t="s">
        <v>3447</v>
      </c>
    </row>
    <row r="2574" customHeight="1" ht="14.0">
      <c r="A2574" t="s">
        <v>5748</v>
      </c>
      <c r="B2574" s="153">
        <v>32715.0</v>
      </c>
      <c r="C2574">
        <v>0.0</v>
      </c>
      <c r="D2574">
        <v>0.0</v>
      </c>
      <c r="F2574" t="s">
        <v>2942</v>
      </c>
      <c r="G2574" t="s">
        <v>2943</v>
      </c>
      <c r="H2574" t="s">
        <v>2944</v>
      </c>
      <c r="I2574" t="s">
        <v>3447</v>
      </c>
    </row>
    <row r="2575" customHeight="1" ht="14.0">
      <c r="A2575" t="s">
        <v>5749</v>
      </c>
      <c r="B2575" s="153">
        <v>32716.0</v>
      </c>
      <c r="C2575">
        <v>0.0</v>
      </c>
      <c r="D2575">
        <v>0.0</v>
      </c>
      <c r="F2575" t="s">
        <v>2942</v>
      </c>
      <c r="G2575" t="s">
        <v>2943</v>
      </c>
      <c r="H2575" t="s">
        <v>2944</v>
      </c>
      <c r="I2575" t="s">
        <v>3447</v>
      </c>
    </row>
    <row r="2576" customHeight="1" ht="14.0">
      <c r="A2576" t="s">
        <v>5750</v>
      </c>
      <c r="B2576" s="153">
        <v>32731.0</v>
      </c>
      <c r="C2576">
        <v>0.0</v>
      </c>
      <c r="D2576">
        <v>0.0</v>
      </c>
      <c r="F2576" t="s">
        <v>2942</v>
      </c>
      <c r="G2576" t="s">
        <v>2943</v>
      </c>
      <c r="H2576" t="s">
        <v>2944</v>
      </c>
      <c r="I2576" t="s">
        <v>3447</v>
      </c>
    </row>
    <row r="2577" customHeight="1" ht="14.0">
      <c r="A2577" t="s">
        <v>5751</v>
      </c>
      <c r="B2577" s="153" t="s">
        <v>5752</v>
      </c>
      <c r="C2577">
        <v>0.0</v>
      </c>
      <c r="D2577">
        <v>0.0</v>
      </c>
      <c r="F2577" t="s">
        <v>2994</v>
      </c>
      <c r="G2577" t="s">
        <v>2943</v>
      </c>
      <c r="H2577" t="s">
        <v>2944</v>
      </c>
      <c r="I2577" t="s">
        <v>3447</v>
      </c>
    </row>
    <row r="2578" customHeight="1" ht="14.0">
      <c r="A2578" t="s">
        <v>2307</v>
      </c>
      <c r="B2578" s="153" t="s">
        <v>2308</v>
      </c>
      <c r="C2578">
        <v>1.0</v>
      </c>
      <c r="D2578">
        <v>78.59</v>
      </c>
      <c r="E2578">
        <v>78.59</v>
      </c>
      <c r="F2578" t="s">
        <v>2942</v>
      </c>
      <c r="G2578" t="s">
        <v>2962</v>
      </c>
      <c r="H2578" t="s">
        <v>2963</v>
      </c>
      <c r="I2578" t="s">
        <v>3690</v>
      </c>
    </row>
    <row r="2579" customHeight="1" ht="14.0">
      <c r="A2579" t="s">
        <v>5753</v>
      </c>
      <c r="B2579" s="153" t="s">
        <v>2306</v>
      </c>
      <c r="C2579">
        <v>0.0</v>
      </c>
      <c r="D2579">
        <v>0.0</v>
      </c>
      <c r="F2579" t="s">
        <v>2942</v>
      </c>
      <c r="G2579" t="s">
        <v>2943</v>
      </c>
      <c r="H2579" t="s">
        <v>3161</v>
      </c>
      <c r="I2579" t="s">
        <v>3690</v>
      </c>
    </row>
    <row r="2580" customHeight="1" ht="14.0">
      <c r="A2580" t="s">
        <v>5754</v>
      </c>
      <c r="B2580" s="153" t="s">
        <v>5755</v>
      </c>
      <c r="C2580">
        <v>0.0</v>
      </c>
      <c r="D2580">
        <v>0.0</v>
      </c>
      <c r="F2580" t="s">
        <v>2942</v>
      </c>
      <c r="G2580" t="s">
        <v>2962</v>
      </c>
      <c r="H2580" t="s">
        <v>3455</v>
      </c>
      <c r="I2580" t="s">
        <v>3153</v>
      </c>
    </row>
    <row r="2581" customHeight="1" ht="14.0">
      <c r="A2581" t="s">
        <v>5756</v>
      </c>
      <c r="B2581" s="153" t="s">
        <v>5757</v>
      </c>
      <c r="C2581">
        <v>0.0</v>
      </c>
      <c r="D2581">
        <v>0.0</v>
      </c>
      <c r="F2581" t="s">
        <v>2942</v>
      </c>
      <c r="G2581" t="s">
        <v>2962</v>
      </c>
      <c r="H2581" t="s">
        <v>3455</v>
      </c>
      <c r="I2581" t="s">
        <v>3153</v>
      </c>
    </row>
    <row r="2582" customHeight="1" ht="14.0">
      <c r="A2582" t="s">
        <v>5758</v>
      </c>
      <c r="B2582" s="153" t="s">
        <v>5759</v>
      </c>
      <c r="C2582">
        <v>0.0</v>
      </c>
      <c r="D2582">
        <v>0.0</v>
      </c>
      <c r="F2582" t="s">
        <v>2942</v>
      </c>
      <c r="G2582" t="s">
        <v>2962</v>
      </c>
      <c r="H2582" t="s">
        <v>3455</v>
      </c>
      <c r="I2582" t="s">
        <v>3153</v>
      </c>
    </row>
    <row r="2583" customHeight="1" ht="14.0">
      <c r="A2583" t="s">
        <v>5760</v>
      </c>
      <c r="B2583" s="153" t="s">
        <v>5761</v>
      </c>
      <c r="C2583">
        <v>138.0</v>
      </c>
      <c r="D2583">
        <v>745.6</v>
      </c>
      <c r="E2583">
        <v>5.4029</v>
      </c>
      <c r="F2583" t="s">
        <v>2942</v>
      </c>
      <c r="G2583" t="s">
        <v>2962</v>
      </c>
      <c r="H2583" t="s">
        <v>2984</v>
      </c>
      <c r="I2583" t="s">
        <v>5762</v>
      </c>
    </row>
    <row r="2584" customHeight="1" ht="14.0">
      <c r="A2584" t="s">
        <v>5763</v>
      </c>
      <c r="B2584" s="153" t="s">
        <v>5764</v>
      </c>
      <c r="C2584">
        <v>13.0</v>
      </c>
      <c r="D2584">
        <v>70.62</v>
      </c>
      <c r="E2584">
        <v>5.4323</v>
      </c>
      <c r="F2584" t="s">
        <v>2942</v>
      </c>
      <c r="G2584" t="s">
        <v>2962</v>
      </c>
      <c r="H2584" t="s">
        <v>2984</v>
      </c>
      <c r="I2584" t="s">
        <v>5762</v>
      </c>
    </row>
    <row r="2585" customHeight="1" ht="14.0">
      <c r="A2585" t="s">
        <v>5765</v>
      </c>
      <c r="B2585" s="153" t="s">
        <v>5766</v>
      </c>
      <c r="C2585">
        <v>0.0</v>
      </c>
      <c r="D2585">
        <v>0.0</v>
      </c>
      <c r="F2585" t="s">
        <v>2942</v>
      </c>
      <c r="G2585" t="s">
        <v>2962</v>
      </c>
      <c r="H2585" t="s">
        <v>2984</v>
      </c>
      <c r="I2585" t="s">
        <v>5762</v>
      </c>
    </row>
    <row r="2586" customHeight="1" ht="14.0">
      <c r="A2586" t="s">
        <v>5767</v>
      </c>
      <c r="B2586" s="153" t="s">
        <v>5768</v>
      </c>
      <c r="C2586">
        <v>61.0</v>
      </c>
      <c r="D2586">
        <v>329.79</v>
      </c>
      <c r="E2586">
        <v>5.4064</v>
      </c>
      <c r="F2586" t="s">
        <v>2942</v>
      </c>
      <c r="G2586" t="s">
        <v>2962</v>
      </c>
      <c r="H2586" t="s">
        <v>2963</v>
      </c>
      <c r="I2586" t="s">
        <v>5762</v>
      </c>
    </row>
    <row r="2587" customHeight="1" ht="14.0">
      <c r="A2587" t="s">
        <v>5769</v>
      </c>
      <c r="B2587" s="153" t="s">
        <v>5770</v>
      </c>
      <c r="C2587">
        <v>0.0</v>
      </c>
      <c r="D2587">
        <v>0.0</v>
      </c>
      <c r="F2587" t="s">
        <v>2942</v>
      </c>
      <c r="G2587" t="s">
        <v>2962</v>
      </c>
      <c r="H2587" t="s">
        <v>3455</v>
      </c>
      <c r="I2587" t="s">
        <v>3153</v>
      </c>
    </row>
    <row r="2588" customHeight="1" ht="14.0">
      <c r="A2588" t="s">
        <v>5771</v>
      </c>
      <c r="B2588" s="153" t="s">
        <v>5772</v>
      </c>
      <c r="C2588">
        <v>0.0</v>
      </c>
      <c r="D2588">
        <v>0.0</v>
      </c>
      <c r="F2588" t="s">
        <v>2942</v>
      </c>
      <c r="G2588" t="s">
        <v>2962</v>
      </c>
      <c r="H2588" t="s">
        <v>3455</v>
      </c>
      <c r="I2588" t="s">
        <v>3153</v>
      </c>
    </row>
    <row r="2589" customHeight="1" ht="14.0">
      <c r="A2589" t="s">
        <v>5771</v>
      </c>
      <c r="B2589" s="153" t="s">
        <v>5773</v>
      </c>
      <c r="C2589">
        <v>0.0</v>
      </c>
      <c r="D2589">
        <v>0.0</v>
      </c>
      <c r="F2589" t="s">
        <v>2942</v>
      </c>
      <c r="G2589" t="s">
        <v>2962</v>
      </c>
      <c r="H2589" t="s">
        <v>3455</v>
      </c>
      <c r="I2589" t="s">
        <v>3153</v>
      </c>
    </row>
    <row r="2590" customHeight="1" ht="14.0">
      <c r="A2590" t="s">
        <v>5774</v>
      </c>
      <c r="B2590" s="153" t="s">
        <v>5775</v>
      </c>
      <c r="C2590">
        <v>60.0</v>
      </c>
      <c r="D2590">
        <v>28.8</v>
      </c>
      <c r="E2590">
        <v>0.48</v>
      </c>
      <c r="F2590" t="s">
        <v>2942</v>
      </c>
      <c r="G2590" t="s">
        <v>2962</v>
      </c>
      <c r="H2590" t="s">
        <v>3161</v>
      </c>
      <c r="I2590" t="s">
        <v>3366</v>
      </c>
    </row>
    <row r="2591" customHeight="1" ht="14.0">
      <c r="A2591" t="s">
        <v>5776</v>
      </c>
      <c r="B2591" s="153" t="s">
        <v>5777</v>
      </c>
      <c r="C2591">
        <v>0.0</v>
      </c>
      <c r="D2591">
        <v>0.0</v>
      </c>
      <c r="F2591" t="s">
        <v>2942</v>
      </c>
      <c r="G2591" t="s">
        <v>2943</v>
      </c>
      <c r="H2591" t="s">
        <v>2944</v>
      </c>
      <c r="I2591" t="s">
        <v>3179</v>
      </c>
    </row>
    <row r="2592" customHeight="1" ht="14.0">
      <c r="A2592" t="s">
        <v>5778</v>
      </c>
      <c r="B2592" s="153" t="s">
        <v>5779</v>
      </c>
      <c r="C2592">
        <v>0.0</v>
      </c>
      <c r="D2592">
        <v>0.0</v>
      </c>
      <c r="F2592" t="s">
        <v>2942</v>
      </c>
      <c r="G2592" t="s">
        <v>2943</v>
      </c>
      <c r="H2592" t="s">
        <v>2944</v>
      </c>
      <c r="I2592" t="s">
        <v>228</v>
      </c>
    </row>
    <row r="2593" customHeight="1" ht="14.0">
      <c r="A2593" t="s">
        <v>5780</v>
      </c>
      <c r="B2593" s="153" t="s">
        <v>5781</v>
      </c>
      <c r="C2593">
        <v>0.0</v>
      </c>
      <c r="D2593">
        <v>0.0</v>
      </c>
      <c r="F2593" t="s">
        <v>2942</v>
      </c>
      <c r="G2593" t="s">
        <v>2943</v>
      </c>
      <c r="H2593" t="s">
        <v>2944</v>
      </c>
      <c r="I2593" t="s">
        <v>228</v>
      </c>
    </row>
    <row r="2594" customHeight="1" ht="14.0">
      <c r="A2594" t="s">
        <v>5782</v>
      </c>
      <c r="B2594" s="153" t="s">
        <v>5783</v>
      </c>
      <c r="C2594">
        <v>0.0</v>
      </c>
      <c r="D2594">
        <v>0.0</v>
      </c>
      <c r="F2594" t="s">
        <v>2942</v>
      </c>
      <c r="G2594" t="s">
        <v>2943</v>
      </c>
      <c r="H2594" t="s">
        <v>2944</v>
      </c>
      <c r="I2594" t="s">
        <v>401</v>
      </c>
    </row>
    <row r="2595" customHeight="1" ht="14.0">
      <c r="A2595" t="s">
        <v>5784</v>
      </c>
      <c r="B2595" s="153" t="s">
        <v>5785</v>
      </c>
      <c r="C2595">
        <v>735.0</v>
      </c>
      <c r="D2595">
        <v>979.98</v>
      </c>
      <c r="E2595">
        <v>1.3333</v>
      </c>
      <c r="F2595" t="s">
        <v>2942</v>
      </c>
      <c r="G2595" t="s">
        <v>2962</v>
      </c>
      <c r="H2595" t="s">
        <v>2984</v>
      </c>
      <c r="I2595" t="s">
        <v>138</v>
      </c>
    </row>
    <row r="2596" customHeight="1" ht="14.0">
      <c r="A2596" t="s">
        <v>181</v>
      </c>
      <c r="B2596" s="153" t="s">
        <v>182</v>
      </c>
      <c r="C2596">
        <v>691.0</v>
      </c>
      <c r="D2596">
        <v>954.11</v>
      </c>
      <c r="E2596">
        <v>1.3808</v>
      </c>
      <c r="F2596" t="s">
        <v>2942</v>
      </c>
      <c r="G2596" t="s">
        <v>2962</v>
      </c>
      <c r="H2596" t="s">
        <v>30</v>
      </c>
      <c r="I2596" t="s">
        <v>138</v>
      </c>
    </row>
    <row r="2597" customHeight="1" ht="14.0">
      <c r="A2597" t="s">
        <v>5786</v>
      </c>
      <c r="B2597" s="153" t="s">
        <v>5787</v>
      </c>
      <c r="C2597">
        <v>872.0</v>
      </c>
      <c r="D2597">
        <v>1162.54</v>
      </c>
      <c r="E2597">
        <v>1.3332</v>
      </c>
      <c r="F2597" t="s">
        <v>2942</v>
      </c>
      <c r="G2597" t="s">
        <v>2962</v>
      </c>
      <c r="H2597" t="s">
        <v>2984</v>
      </c>
      <c r="I2597" t="s">
        <v>138</v>
      </c>
    </row>
    <row r="2598" customHeight="1" ht="14.0">
      <c r="A2598" t="s">
        <v>185</v>
      </c>
      <c r="B2598" s="153" t="s">
        <v>186</v>
      </c>
      <c r="C2598">
        <v>495.0</v>
      </c>
      <c r="D2598">
        <v>683.62</v>
      </c>
      <c r="E2598">
        <v>1.3811</v>
      </c>
      <c r="F2598" t="s">
        <v>2942</v>
      </c>
      <c r="G2598" t="s">
        <v>2962</v>
      </c>
      <c r="H2598" t="s">
        <v>30</v>
      </c>
      <c r="I2598" t="s">
        <v>138</v>
      </c>
    </row>
    <row r="2599" customHeight="1" ht="14.0">
      <c r="A2599" t="s">
        <v>179</v>
      </c>
      <c r="B2599" s="153" t="s">
        <v>180</v>
      </c>
      <c r="C2599">
        <v>314.0</v>
      </c>
      <c r="D2599">
        <v>433.83</v>
      </c>
      <c r="E2599">
        <v>1.3816</v>
      </c>
      <c r="F2599" t="s">
        <v>2942</v>
      </c>
      <c r="G2599" t="s">
        <v>2962</v>
      </c>
      <c r="H2599" t="s">
        <v>30</v>
      </c>
      <c r="I2599" t="s">
        <v>138</v>
      </c>
    </row>
    <row r="2600" customHeight="1" ht="14.0">
      <c r="A2600" t="s">
        <v>5788</v>
      </c>
      <c r="B2600" s="153" t="s">
        <v>5789</v>
      </c>
      <c r="C2600">
        <v>952.0</v>
      </c>
      <c r="D2600">
        <v>1269.17</v>
      </c>
      <c r="E2600">
        <v>1.3332</v>
      </c>
      <c r="F2600" t="s">
        <v>2942</v>
      </c>
      <c r="G2600" t="s">
        <v>2962</v>
      </c>
      <c r="H2600" t="s">
        <v>2984</v>
      </c>
      <c r="I2600" t="s">
        <v>138</v>
      </c>
    </row>
    <row r="2601" customHeight="1" ht="14.0">
      <c r="A2601" t="s">
        <v>183</v>
      </c>
      <c r="B2601" s="153" t="s">
        <v>184</v>
      </c>
      <c r="C2601">
        <v>486.0</v>
      </c>
      <c r="D2601">
        <v>671.21</v>
      </c>
      <c r="E2601">
        <v>1.3811</v>
      </c>
      <c r="F2601" t="s">
        <v>2942</v>
      </c>
      <c r="G2601" t="s">
        <v>2962</v>
      </c>
      <c r="H2601" t="s">
        <v>2963</v>
      </c>
      <c r="I2601" t="s">
        <v>138</v>
      </c>
    </row>
    <row r="2602" customHeight="1" ht="14.0">
      <c r="A2602" t="s">
        <v>42</v>
      </c>
      <c r="B2602" s="153" t="s">
        <v>43</v>
      </c>
      <c r="C2602">
        <v>370.0</v>
      </c>
      <c r="D2602">
        <v>1496.67</v>
      </c>
      <c r="E2602">
        <v>4.0451</v>
      </c>
      <c r="F2602" t="s">
        <v>2942</v>
      </c>
      <c r="G2602" t="s">
        <v>2962</v>
      </c>
      <c r="H2602" t="s">
        <v>30</v>
      </c>
      <c r="I2602" t="s">
        <v>31</v>
      </c>
    </row>
    <row r="2603" customHeight="1" ht="14.0">
      <c r="A2603" t="s">
        <v>36</v>
      </c>
      <c r="B2603" s="153" t="s">
        <v>37</v>
      </c>
      <c r="C2603">
        <v>650.0</v>
      </c>
      <c r="D2603">
        <v>2969.23</v>
      </c>
      <c r="E2603">
        <v>4.568</v>
      </c>
      <c r="F2603" t="s">
        <v>2942</v>
      </c>
      <c r="G2603" t="s">
        <v>2962</v>
      </c>
      <c r="H2603" t="s">
        <v>30</v>
      </c>
      <c r="I2603" t="s">
        <v>31</v>
      </c>
    </row>
    <row r="2604" customHeight="1" ht="14.0">
      <c r="A2604" t="s">
        <v>40</v>
      </c>
      <c r="B2604" s="153" t="s">
        <v>41</v>
      </c>
      <c r="C2604">
        <v>620.0</v>
      </c>
      <c r="D2604">
        <v>2590.81</v>
      </c>
      <c r="E2604">
        <v>4.1787</v>
      </c>
      <c r="F2604" t="s">
        <v>2942</v>
      </c>
      <c r="G2604" t="s">
        <v>2962</v>
      </c>
      <c r="H2604" t="s">
        <v>30</v>
      </c>
      <c r="I2604" t="s">
        <v>31</v>
      </c>
    </row>
    <row r="2605" customHeight="1" ht="14.0">
      <c r="A2605" t="s">
        <v>34</v>
      </c>
      <c r="B2605" s="153" t="s">
        <v>35</v>
      </c>
      <c r="C2605">
        <v>771.0</v>
      </c>
      <c r="D2605">
        <v>3384.42</v>
      </c>
      <c r="E2605">
        <v>4.3896</v>
      </c>
      <c r="F2605" t="s">
        <v>2942</v>
      </c>
      <c r="G2605" t="s">
        <v>2962</v>
      </c>
      <c r="H2605" t="s">
        <v>30</v>
      </c>
      <c r="I2605" t="s">
        <v>31</v>
      </c>
    </row>
    <row r="2606" customHeight="1" ht="14.0">
      <c r="A2606" t="s">
        <v>38</v>
      </c>
      <c r="B2606" s="153" t="s">
        <v>39</v>
      </c>
      <c r="C2606">
        <v>103.0</v>
      </c>
      <c r="D2606">
        <v>454.01</v>
      </c>
      <c r="E2606">
        <v>4.4079</v>
      </c>
      <c r="F2606" t="s">
        <v>2942</v>
      </c>
      <c r="G2606" t="s">
        <v>2962</v>
      </c>
      <c r="H2606" t="s">
        <v>30</v>
      </c>
      <c r="I2606" t="s">
        <v>31</v>
      </c>
    </row>
    <row r="2607" customHeight="1" ht="14.0">
      <c r="A2607" t="s">
        <v>32</v>
      </c>
      <c r="B2607" s="153" t="s">
        <v>33</v>
      </c>
      <c r="C2607">
        <v>256.0</v>
      </c>
      <c r="D2607">
        <v>1200.14</v>
      </c>
      <c r="E2607">
        <v>4.688</v>
      </c>
      <c r="F2607" t="s">
        <v>2942</v>
      </c>
      <c r="G2607" t="s">
        <v>2962</v>
      </c>
      <c r="H2607" t="s">
        <v>30</v>
      </c>
      <c r="I2607" t="s">
        <v>31</v>
      </c>
    </row>
    <row r="2608" customHeight="1" ht="14.0">
      <c r="A2608" t="s">
        <v>44</v>
      </c>
      <c r="B2608" s="153" t="s">
        <v>45</v>
      </c>
      <c r="C2608">
        <v>2.0</v>
      </c>
      <c r="D2608">
        <v>105.23</v>
      </c>
      <c r="E2608">
        <v>52.615</v>
      </c>
      <c r="F2608" t="s">
        <v>2942</v>
      </c>
      <c r="G2608" t="s">
        <v>2962</v>
      </c>
      <c r="H2608" t="s">
        <v>30</v>
      </c>
      <c r="I2608" t="s">
        <v>31</v>
      </c>
    </row>
    <row r="2609" customHeight="1" ht="14.0">
      <c r="A2609" t="s">
        <v>5790</v>
      </c>
      <c r="B2609" s="153" t="s">
        <v>5791</v>
      </c>
      <c r="C2609">
        <v>135.0</v>
      </c>
      <c r="D2609">
        <v>441.79</v>
      </c>
      <c r="E2609">
        <v>3.2725</v>
      </c>
      <c r="F2609" t="s">
        <v>2942</v>
      </c>
      <c r="G2609" t="s">
        <v>2962</v>
      </c>
      <c r="H2609" t="s">
        <v>2984</v>
      </c>
      <c r="I2609" t="s">
        <v>3695</v>
      </c>
    </row>
    <row r="2610" customHeight="1" ht="14.0">
      <c r="A2610" t="s">
        <v>5792</v>
      </c>
      <c r="B2610" s="153" t="s">
        <v>5793</v>
      </c>
      <c r="C2610">
        <v>167.0</v>
      </c>
      <c r="D2610">
        <v>553.64</v>
      </c>
      <c r="E2610">
        <v>3.3152</v>
      </c>
      <c r="F2610" t="s">
        <v>2942</v>
      </c>
      <c r="G2610" t="s">
        <v>2962</v>
      </c>
      <c r="H2610" t="s">
        <v>2984</v>
      </c>
      <c r="I2610" t="s">
        <v>3695</v>
      </c>
    </row>
    <row r="2611" customHeight="1" ht="14.0">
      <c r="A2611" t="s">
        <v>5794</v>
      </c>
      <c r="B2611" s="153" t="s">
        <v>5795</v>
      </c>
      <c r="C2611">
        <v>564.0</v>
      </c>
      <c r="D2611">
        <v>1843.31</v>
      </c>
      <c r="E2611">
        <v>3.2683</v>
      </c>
      <c r="F2611" t="s">
        <v>2942</v>
      </c>
      <c r="G2611" t="s">
        <v>2962</v>
      </c>
      <c r="H2611" t="s">
        <v>2984</v>
      </c>
      <c r="I2611" t="s">
        <v>3695</v>
      </c>
    </row>
    <row r="2612" customHeight="1" ht="14.0">
      <c r="A2612" t="s">
        <v>5796</v>
      </c>
      <c r="B2612" s="153" t="s">
        <v>5797</v>
      </c>
      <c r="C2612">
        <v>238.0</v>
      </c>
      <c r="D2612">
        <v>789.13</v>
      </c>
      <c r="E2612">
        <v>3.3157</v>
      </c>
      <c r="F2612" t="s">
        <v>2942</v>
      </c>
      <c r="G2612" t="s">
        <v>2962</v>
      </c>
      <c r="H2612" t="s">
        <v>2984</v>
      </c>
      <c r="I2612" t="s">
        <v>3695</v>
      </c>
    </row>
    <row r="2613" customHeight="1" ht="14.0">
      <c r="A2613" t="s">
        <v>5798</v>
      </c>
      <c r="B2613" s="153" t="s">
        <v>5799</v>
      </c>
      <c r="C2613">
        <v>94.0</v>
      </c>
      <c r="D2613">
        <v>311.53</v>
      </c>
      <c r="E2613">
        <v>3.3141</v>
      </c>
      <c r="F2613" t="s">
        <v>2942</v>
      </c>
      <c r="G2613" t="s">
        <v>2962</v>
      </c>
      <c r="H2613" t="s">
        <v>2984</v>
      </c>
      <c r="I2613" t="s">
        <v>3695</v>
      </c>
    </row>
    <row r="2614" customHeight="1" ht="14.0">
      <c r="A2614" t="s">
        <v>5800</v>
      </c>
      <c r="B2614" s="153" t="s">
        <v>5801</v>
      </c>
      <c r="C2614">
        <v>129.0</v>
      </c>
      <c r="D2614">
        <v>453.02</v>
      </c>
      <c r="E2614">
        <v>3.5118</v>
      </c>
      <c r="F2614" t="s">
        <v>2942</v>
      </c>
      <c r="G2614" t="s">
        <v>2962</v>
      </c>
      <c r="H2614" t="s">
        <v>2984</v>
      </c>
      <c r="I2614" t="s">
        <v>3695</v>
      </c>
    </row>
    <row r="2615" customHeight="1" ht="14.0">
      <c r="A2615" t="s">
        <v>5802</v>
      </c>
      <c r="B2615" s="153" t="s">
        <v>5803</v>
      </c>
      <c r="C2615">
        <v>188.0</v>
      </c>
      <c r="D2615">
        <v>660.32</v>
      </c>
      <c r="E2615">
        <v>3.5123</v>
      </c>
      <c r="F2615" t="s">
        <v>2942</v>
      </c>
      <c r="G2615" t="s">
        <v>2962</v>
      </c>
      <c r="H2615" t="s">
        <v>2963</v>
      </c>
      <c r="I2615" t="s">
        <v>3695</v>
      </c>
    </row>
    <row r="2616" customHeight="1" ht="14.0">
      <c r="A2616" t="s">
        <v>5804</v>
      </c>
      <c r="B2616" s="153" t="s">
        <v>5805</v>
      </c>
      <c r="C2616">
        <v>296.0</v>
      </c>
      <c r="D2616">
        <v>967.78</v>
      </c>
      <c r="E2616">
        <v>3.2695</v>
      </c>
      <c r="F2616" t="s">
        <v>2942</v>
      </c>
      <c r="G2616" t="s">
        <v>2962</v>
      </c>
      <c r="H2616" t="s">
        <v>2984</v>
      </c>
      <c r="I2616" t="s">
        <v>3695</v>
      </c>
    </row>
    <row r="2617" customHeight="1" ht="14.0">
      <c r="A2617" t="s">
        <v>5806</v>
      </c>
      <c r="B2617" s="153" t="s">
        <v>5807</v>
      </c>
      <c r="C2617">
        <v>421.0</v>
      </c>
      <c r="D2617">
        <v>1479.7</v>
      </c>
      <c r="E2617">
        <v>3.5147</v>
      </c>
      <c r="F2617" t="s">
        <v>2942</v>
      </c>
      <c r="G2617" t="s">
        <v>2962</v>
      </c>
      <c r="H2617" t="s">
        <v>2984</v>
      </c>
      <c r="I2617" t="s">
        <v>3695</v>
      </c>
    </row>
    <row r="2618" customHeight="1" ht="14.0">
      <c r="A2618" t="s">
        <v>2309</v>
      </c>
      <c r="B2618" s="153" t="s">
        <v>2310</v>
      </c>
      <c r="C2618">
        <v>155.0</v>
      </c>
      <c r="D2618">
        <v>932.98</v>
      </c>
      <c r="E2618">
        <v>6.0192</v>
      </c>
      <c r="F2618" t="s">
        <v>2942</v>
      </c>
      <c r="G2618" t="s">
        <v>2962</v>
      </c>
      <c r="H2618" t="s">
        <v>2963</v>
      </c>
      <c r="I2618" t="s">
        <v>5808</v>
      </c>
    </row>
    <row r="2619" customHeight="1" ht="14.0">
      <c r="A2619" t="s">
        <v>2311</v>
      </c>
      <c r="B2619" s="153" t="s">
        <v>2312</v>
      </c>
      <c r="C2619">
        <v>77.0</v>
      </c>
      <c r="D2619">
        <v>463.22</v>
      </c>
      <c r="E2619">
        <v>6.0158</v>
      </c>
      <c r="F2619" t="s">
        <v>2942</v>
      </c>
      <c r="G2619" t="s">
        <v>2962</v>
      </c>
      <c r="H2619" t="s">
        <v>2963</v>
      </c>
      <c r="I2619" t="s">
        <v>5808</v>
      </c>
    </row>
    <row r="2620" customHeight="1" ht="14.0">
      <c r="A2620" t="s">
        <v>2313</v>
      </c>
      <c r="B2620" s="153" t="s">
        <v>2314</v>
      </c>
      <c r="C2620">
        <v>87.0</v>
      </c>
      <c r="D2620">
        <v>523.74</v>
      </c>
      <c r="E2620">
        <v>6.02</v>
      </c>
      <c r="F2620" t="s">
        <v>2942</v>
      </c>
      <c r="G2620" t="s">
        <v>2962</v>
      </c>
      <c r="H2620" t="s">
        <v>2963</v>
      </c>
      <c r="I2620" t="s">
        <v>5808</v>
      </c>
    </row>
    <row r="2621" customHeight="1" ht="14.0">
      <c r="A2621" t="s">
        <v>2315</v>
      </c>
      <c r="B2621" s="153" t="s">
        <v>2316</v>
      </c>
      <c r="C2621">
        <v>127.0</v>
      </c>
      <c r="D2621">
        <v>764.36</v>
      </c>
      <c r="E2621">
        <v>6.0186</v>
      </c>
      <c r="F2621" t="s">
        <v>2942</v>
      </c>
      <c r="G2621" t="s">
        <v>2962</v>
      </c>
      <c r="H2621" t="s">
        <v>2963</v>
      </c>
      <c r="I2621" t="s">
        <v>5808</v>
      </c>
    </row>
    <row r="2622" customHeight="1" ht="14.0">
      <c r="A2622" t="s">
        <v>2317</v>
      </c>
      <c r="B2622" s="153" t="s">
        <v>2318</v>
      </c>
      <c r="C2622">
        <v>187.0</v>
      </c>
      <c r="D2622">
        <v>1125.7</v>
      </c>
      <c r="E2622">
        <v>6.0198</v>
      </c>
      <c r="F2622" t="s">
        <v>2942</v>
      </c>
      <c r="G2622" t="s">
        <v>2962</v>
      </c>
      <c r="H2622" t="s">
        <v>2963</v>
      </c>
      <c r="I2622" t="s">
        <v>5808</v>
      </c>
    </row>
    <row r="2623" customHeight="1" ht="14.0">
      <c r="A2623" t="s">
        <v>2319</v>
      </c>
      <c r="B2623" s="153" t="s">
        <v>2320</v>
      </c>
      <c r="C2623">
        <v>1.0</v>
      </c>
      <c r="D2623">
        <v>144.51</v>
      </c>
      <c r="E2623">
        <v>144.51</v>
      </c>
      <c r="F2623" t="s">
        <v>2942</v>
      </c>
      <c r="G2623" t="s">
        <v>2962</v>
      </c>
      <c r="H2623" t="s">
        <v>2963</v>
      </c>
      <c r="I2623" t="s">
        <v>5808</v>
      </c>
    </row>
    <row r="2624" customHeight="1" ht="14.0">
      <c r="A2624" t="s">
        <v>2321</v>
      </c>
      <c r="B2624" s="153" t="s">
        <v>2322</v>
      </c>
      <c r="C2624">
        <v>170.0</v>
      </c>
      <c r="D2624">
        <v>1023.31</v>
      </c>
      <c r="E2624">
        <v>6.0195</v>
      </c>
      <c r="F2624" t="s">
        <v>2942</v>
      </c>
      <c r="G2624" t="s">
        <v>2962</v>
      </c>
      <c r="H2624" t="s">
        <v>2963</v>
      </c>
      <c r="I2624" t="s">
        <v>5808</v>
      </c>
    </row>
    <row r="2625" customHeight="1" ht="14.0">
      <c r="A2625" t="s">
        <v>2323</v>
      </c>
      <c r="B2625" s="153" t="s">
        <v>2324</v>
      </c>
      <c r="C2625">
        <v>123.0</v>
      </c>
      <c r="D2625">
        <v>194.9</v>
      </c>
      <c r="E2625">
        <v>1.5846</v>
      </c>
      <c r="F2625" t="s">
        <v>2942</v>
      </c>
      <c r="G2625" t="s">
        <v>2962</v>
      </c>
      <c r="H2625" t="s">
        <v>2963</v>
      </c>
      <c r="I2625" t="s">
        <v>647</v>
      </c>
    </row>
    <row r="2626" customHeight="1" ht="14.0">
      <c r="A2626" t="s">
        <v>2325</v>
      </c>
      <c r="B2626" s="153" t="s">
        <v>2326</v>
      </c>
      <c r="C2626">
        <v>370.0</v>
      </c>
      <c r="D2626">
        <v>586.77</v>
      </c>
      <c r="E2626">
        <v>1.5859</v>
      </c>
      <c r="F2626" t="s">
        <v>2942</v>
      </c>
      <c r="G2626" t="s">
        <v>2962</v>
      </c>
      <c r="H2626" t="s">
        <v>2963</v>
      </c>
      <c r="I2626" t="s">
        <v>647</v>
      </c>
    </row>
    <row r="2627" customHeight="1" ht="14.0">
      <c r="A2627" t="s">
        <v>2327</v>
      </c>
      <c r="B2627" s="153" t="s">
        <v>2328</v>
      </c>
      <c r="C2627">
        <v>0.0</v>
      </c>
      <c r="D2627">
        <v>0.0</v>
      </c>
      <c r="F2627" t="s">
        <v>2942</v>
      </c>
      <c r="G2627" t="s">
        <v>2943</v>
      </c>
      <c r="H2627" t="s">
        <v>2963</v>
      </c>
      <c r="I2627" t="s">
        <v>647</v>
      </c>
    </row>
    <row r="2628" customHeight="1" ht="14.0">
      <c r="A2628" t="s">
        <v>2329</v>
      </c>
      <c r="B2628" s="153" t="s">
        <v>2330</v>
      </c>
      <c r="C2628">
        <v>0.0</v>
      </c>
      <c r="D2628">
        <v>0.0</v>
      </c>
      <c r="F2628" t="s">
        <v>2942</v>
      </c>
      <c r="G2628" t="s">
        <v>2943</v>
      </c>
      <c r="H2628" t="s">
        <v>2963</v>
      </c>
      <c r="I2628" t="s">
        <v>647</v>
      </c>
    </row>
    <row r="2629" customHeight="1" ht="14.0">
      <c r="A2629" t="s">
        <v>2331</v>
      </c>
      <c r="B2629" s="153" t="s">
        <v>2332</v>
      </c>
      <c r="C2629">
        <v>454.0</v>
      </c>
      <c r="D2629">
        <v>720.07</v>
      </c>
      <c r="E2629">
        <v>1.5861</v>
      </c>
      <c r="F2629" t="s">
        <v>2942</v>
      </c>
      <c r="G2629" t="s">
        <v>2962</v>
      </c>
      <c r="H2629" t="s">
        <v>2963</v>
      </c>
      <c r="I2629" t="s">
        <v>647</v>
      </c>
    </row>
    <row r="2630" customHeight="1" ht="14.0">
      <c r="A2630" t="s">
        <v>2333</v>
      </c>
      <c r="B2630" s="153" t="s">
        <v>2334</v>
      </c>
      <c r="C2630">
        <v>0.0</v>
      </c>
      <c r="D2630">
        <v>0.0</v>
      </c>
      <c r="F2630" t="s">
        <v>2942</v>
      </c>
      <c r="G2630" t="s">
        <v>2943</v>
      </c>
      <c r="H2630" t="s">
        <v>2963</v>
      </c>
      <c r="I2630" t="s">
        <v>647</v>
      </c>
    </row>
    <row r="2631" customHeight="1" ht="14.0">
      <c r="A2631" t="s">
        <v>2335</v>
      </c>
      <c r="B2631" s="153" t="s">
        <v>2336</v>
      </c>
      <c r="C2631">
        <v>125.0</v>
      </c>
      <c r="D2631">
        <v>198.0</v>
      </c>
      <c r="E2631">
        <v>1.584</v>
      </c>
      <c r="F2631" t="s">
        <v>2942</v>
      </c>
      <c r="G2631" t="s">
        <v>2962</v>
      </c>
      <c r="H2631" t="s">
        <v>2963</v>
      </c>
      <c r="I2631" t="s">
        <v>647</v>
      </c>
    </row>
    <row r="2632" customHeight="1" ht="14.0">
      <c r="A2632" t="s">
        <v>2337</v>
      </c>
      <c r="B2632" s="153" t="s">
        <v>2338</v>
      </c>
      <c r="C2632">
        <v>0.0</v>
      </c>
      <c r="D2632">
        <v>0.0</v>
      </c>
      <c r="F2632" t="s">
        <v>2942</v>
      </c>
      <c r="G2632" t="s">
        <v>2943</v>
      </c>
      <c r="H2632" t="s">
        <v>2944</v>
      </c>
      <c r="I2632" t="s">
        <v>647</v>
      </c>
    </row>
    <row r="2633" customHeight="1" ht="14.0">
      <c r="A2633" t="s">
        <v>2339</v>
      </c>
      <c r="B2633" s="153" t="s">
        <v>2340</v>
      </c>
      <c r="C2633">
        <v>0.0</v>
      </c>
      <c r="D2633">
        <v>0.0</v>
      </c>
      <c r="F2633" t="s">
        <v>2942</v>
      </c>
      <c r="G2633" t="s">
        <v>2943</v>
      </c>
      <c r="H2633" t="s">
        <v>2963</v>
      </c>
      <c r="I2633" t="s">
        <v>647</v>
      </c>
    </row>
    <row r="2634" customHeight="1" ht="14.0">
      <c r="A2634" t="s">
        <v>2341</v>
      </c>
      <c r="B2634" s="153" t="s">
        <v>2342</v>
      </c>
      <c r="C2634">
        <v>0.0</v>
      </c>
      <c r="D2634">
        <v>0.0</v>
      </c>
      <c r="F2634" t="s">
        <v>2942</v>
      </c>
      <c r="G2634" t="s">
        <v>2943</v>
      </c>
      <c r="H2634" t="s">
        <v>2963</v>
      </c>
      <c r="I2634" t="s">
        <v>647</v>
      </c>
    </row>
    <row r="2635" customHeight="1" ht="14.0">
      <c r="A2635" t="s">
        <v>2343</v>
      </c>
      <c r="B2635" s="153" t="s">
        <v>2344</v>
      </c>
      <c r="C2635">
        <v>0.0</v>
      </c>
      <c r="D2635">
        <v>0.0</v>
      </c>
      <c r="F2635" t="s">
        <v>2942</v>
      </c>
      <c r="G2635" t="s">
        <v>2943</v>
      </c>
      <c r="H2635" t="s">
        <v>2963</v>
      </c>
      <c r="I2635" t="s">
        <v>647</v>
      </c>
    </row>
    <row r="2636" customHeight="1" ht="14.0">
      <c r="A2636" t="s">
        <v>5809</v>
      </c>
      <c r="B2636" s="153" t="s">
        <v>5810</v>
      </c>
      <c r="C2636">
        <v>0.0</v>
      </c>
      <c r="D2636">
        <v>0.0</v>
      </c>
      <c r="F2636" t="s">
        <v>2942</v>
      </c>
      <c r="G2636" t="s">
        <v>2943</v>
      </c>
      <c r="H2636" t="s">
        <v>2944</v>
      </c>
      <c r="I2636" t="s">
        <v>3724</v>
      </c>
    </row>
    <row r="2637" customHeight="1" ht="14.0">
      <c r="A2637" t="s">
        <v>5811</v>
      </c>
      <c r="B2637" s="153" t="s">
        <v>5812</v>
      </c>
      <c r="C2637">
        <v>0.0</v>
      </c>
      <c r="D2637">
        <v>0.0</v>
      </c>
      <c r="F2637" t="s">
        <v>2942</v>
      </c>
      <c r="G2637" t="s">
        <v>2943</v>
      </c>
      <c r="H2637" t="s">
        <v>2944</v>
      </c>
      <c r="I2637" t="s">
        <v>3724</v>
      </c>
    </row>
    <row r="2638" customHeight="1" ht="14.0">
      <c r="A2638" t="s">
        <v>5813</v>
      </c>
      <c r="B2638" s="153" t="s">
        <v>5814</v>
      </c>
      <c r="C2638">
        <v>0.0</v>
      </c>
      <c r="D2638">
        <v>0.0</v>
      </c>
      <c r="F2638" t="s">
        <v>2942</v>
      </c>
      <c r="G2638" t="s">
        <v>2943</v>
      </c>
      <c r="H2638" t="s">
        <v>2944</v>
      </c>
      <c r="I2638" t="s">
        <v>3724</v>
      </c>
    </row>
    <row r="2639" customHeight="1" ht="14.0">
      <c r="A2639" t="s">
        <v>5815</v>
      </c>
      <c r="B2639" s="153" t="s">
        <v>5816</v>
      </c>
      <c r="C2639">
        <v>0.0</v>
      </c>
      <c r="D2639">
        <v>0.0</v>
      </c>
      <c r="F2639" t="s">
        <v>2942</v>
      </c>
      <c r="G2639" t="s">
        <v>2943</v>
      </c>
      <c r="H2639" t="s">
        <v>2944</v>
      </c>
      <c r="I2639" t="s">
        <v>3724</v>
      </c>
    </row>
    <row r="2640" customHeight="1" ht="14.0">
      <c r="A2640" t="s">
        <v>5817</v>
      </c>
      <c r="B2640" s="153" t="s">
        <v>5818</v>
      </c>
      <c r="C2640">
        <v>600.0</v>
      </c>
      <c r="D2640">
        <v>317.22</v>
      </c>
      <c r="E2640">
        <v>0.5287</v>
      </c>
      <c r="F2640" t="s">
        <v>2942</v>
      </c>
      <c r="G2640" t="s">
        <v>2962</v>
      </c>
      <c r="H2640" t="s">
        <v>3198</v>
      </c>
    </row>
    <row r="2641" customHeight="1" ht="14.0">
      <c r="A2641" t="s">
        <v>2348</v>
      </c>
      <c r="B2641" s="153">
        <v>40407.0</v>
      </c>
      <c r="C2641">
        <v>45.0</v>
      </c>
      <c r="D2641">
        <v>396.29</v>
      </c>
      <c r="E2641">
        <v>8.8064</v>
      </c>
      <c r="F2641" t="s">
        <v>2942</v>
      </c>
      <c r="G2641" t="s">
        <v>2962</v>
      </c>
      <c r="H2641" t="s">
        <v>3741</v>
      </c>
      <c r="I2641" t="s">
        <v>520</v>
      </c>
    </row>
    <row r="2642" customHeight="1" ht="14.0">
      <c r="A2642" t="s">
        <v>2349</v>
      </c>
      <c r="B2642" s="153">
        <v>40408.0</v>
      </c>
      <c r="C2642">
        <v>72.0</v>
      </c>
      <c r="D2642">
        <v>645.95</v>
      </c>
      <c r="E2642">
        <v>8.9715</v>
      </c>
      <c r="F2642" t="s">
        <v>2942</v>
      </c>
      <c r="G2642" t="s">
        <v>2962</v>
      </c>
      <c r="H2642" t="s">
        <v>3741</v>
      </c>
      <c r="I2642" t="s">
        <v>520</v>
      </c>
    </row>
    <row r="2643" customHeight="1" ht="14.0">
      <c r="A2643" t="s">
        <v>2350</v>
      </c>
      <c r="B2643" s="153">
        <v>40409.0</v>
      </c>
      <c r="C2643">
        <v>39.0</v>
      </c>
      <c r="D2643">
        <v>351.32</v>
      </c>
      <c r="E2643">
        <v>9.0082</v>
      </c>
      <c r="F2643" t="s">
        <v>2942</v>
      </c>
      <c r="G2643" t="s">
        <v>2962</v>
      </c>
      <c r="H2643" t="s">
        <v>3741</v>
      </c>
      <c r="I2643" t="s">
        <v>520</v>
      </c>
    </row>
    <row r="2644" customHeight="1" ht="14.0">
      <c r="A2644" t="s">
        <v>2345</v>
      </c>
      <c r="B2644" s="153">
        <v>40402.0</v>
      </c>
      <c r="C2644">
        <v>66.0</v>
      </c>
      <c r="D2644">
        <v>589.33</v>
      </c>
      <c r="E2644">
        <v>8.9292</v>
      </c>
      <c r="F2644" t="s">
        <v>2942</v>
      </c>
      <c r="G2644" t="s">
        <v>2962</v>
      </c>
      <c r="H2644" t="s">
        <v>3741</v>
      </c>
      <c r="I2644" t="s">
        <v>520</v>
      </c>
    </row>
    <row r="2645" customHeight="1" ht="14.0">
      <c r="A2645" t="s">
        <v>2346</v>
      </c>
      <c r="B2645" s="153">
        <v>40403.0</v>
      </c>
      <c r="C2645">
        <v>100.0</v>
      </c>
      <c r="D2645">
        <v>878.35</v>
      </c>
      <c r="E2645">
        <v>8.7835</v>
      </c>
      <c r="F2645" t="s">
        <v>2942</v>
      </c>
      <c r="G2645" t="s">
        <v>2962</v>
      </c>
      <c r="H2645" t="s">
        <v>3741</v>
      </c>
      <c r="I2645" t="s">
        <v>520</v>
      </c>
    </row>
    <row r="2646" customHeight="1" ht="14.0">
      <c r="A2646" t="s">
        <v>2347</v>
      </c>
      <c r="B2646" s="153">
        <v>40404.0</v>
      </c>
      <c r="C2646">
        <v>61.0</v>
      </c>
      <c r="D2646">
        <v>538.64</v>
      </c>
      <c r="E2646">
        <v>8.8302</v>
      </c>
      <c r="F2646" t="s">
        <v>2942</v>
      </c>
      <c r="G2646" t="s">
        <v>2962</v>
      </c>
      <c r="H2646" t="s">
        <v>3741</v>
      </c>
      <c r="I2646" t="s">
        <v>520</v>
      </c>
    </row>
    <row r="2647" customHeight="1" ht="14.0">
      <c r="A2647" t="s">
        <v>5819</v>
      </c>
      <c r="B2647" s="153" t="s">
        <v>5820</v>
      </c>
      <c r="C2647">
        <v>0.0</v>
      </c>
      <c r="D2647">
        <v>0.0</v>
      </c>
      <c r="F2647" t="s">
        <v>2942</v>
      </c>
      <c r="G2647" t="s">
        <v>2962</v>
      </c>
      <c r="H2647" t="s">
        <v>3741</v>
      </c>
      <c r="I2647" t="s">
        <v>3442</v>
      </c>
    </row>
    <row r="2648" customHeight="1" ht="14.0">
      <c r="A2648" t="s">
        <v>2351</v>
      </c>
      <c r="B2648" s="153" t="s">
        <v>2352</v>
      </c>
      <c r="C2648">
        <v>0.0</v>
      </c>
      <c r="D2648">
        <v>0.0</v>
      </c>
      <c r="F2648" t="s">
        <v>2942</v>
      </c>
      <c r="G2648" t="s">
        <v>2943</v>
      </c>
      <c r="H2648" t="s">
        <v>2963</v>
      </c>
      <c r="I2648" t="s">
        <v>3088</v>
      </c>
    </row>
    <row r="2649" customHeight="1" ht="14.0">
      <c r="A2649" t="s">
        <v>5821</v>
      </c>
      <c r="B2649" s="153">
        <v>33004.0</v>
      </c>
      <c r="C2649">
        <v>0.0</v>
      </c>
      <c r="D2649">
        <v>0.0</v>
      </c>
      <c r="F2649" t="s">
        <v>2942</v>
      </c>
      <c r="G2649" t="s">
        <v>2943</v>
      </c>
      <c r="H2649" t="s">
        <v>2944</v>
      </c>
      <c r="I2649" t="s">
        <v>83</v>
      </c>
    </row>
    <row r="2650" customHeight="1" ht="14.0">
      <c r="A2650" t="s">
        <v>5822</v>
      </c>
      <c r="B2650" s="153">
        <v>33001.0</v>
      </c>
      <c r="C2650">
        <v>0.0</v>
      </c>
      <c r="D2650">
        <v>0.0</v>
      </c>
      <c r="F2650" t="s">
        <v>2942</v>
      </c>
      <c r="G2650" t="s">
        <v>2943</v>
      </c>
      <c r="H2650" t="s">
        <v>2944</v>
      </c>
      <c r="I2650" t="s">
        <v>83</v>
      </c>
    </row>
    <row r="2651" customHeight="1" ht="14.0">
      <c r="A2651" t="s">
        <v>5823</v>
      </c>
      <c r="B2651" s="153">
        <v>33003.0</v>
      </c>
      <c r="C2651">
        <v>0.0</v>
      </c>
      <c r="D2651">
        <v>0.0</v>
      </c>
      <c r="F2651" t="s">
        <v>2942</v>
      </c>
      <c r="G2651" t="s">
        <v>2943</v>
      </c>
      <c r="H2651" t="s">
        <v>2944</v>
      </c>
      <c r="I2651" t="s">
        <v>83</v>
      </c>
    </row>
    <row r="2652" customHeight="1" ht="14.0">
      <c r="A2652" t="s">
        <v>5824</v>
      </c>
      <c r="B2652" s="153">
        <v>33005.0</v>
      </c>
      <c r="C2652">
        <v>0.0</v>
      </c>
      <c r="D2652">
        <v>0.0</v>
      </c>
      <c r="F2652" t="s">
        <v>2942</v>
      </c>
      <c r="G2652" t="s">
        <v>2943</v>
      </c>
      <c r="H2652" t="s">
        <v>2944</v>
      </c>
      <c r="I2652" t="s">
        <v>83</v>
      </c>
    </row>
    <row r="2653" customHeight="1" ht="14.0">
      <c r="A2653" t="s">
        <v>5825</v>
      </c>
      <c r="B2653" s="153" t="s">
        <v>5826</v>
      </c>
      <c r="C2653">
        <v>0.0</v>
      </c>
      <c r="D2653">
        <v>0.0</v>
      </c>
      <c r="F2653" t="s">
        <v>2942</v>
      </c>
      <c r="G2653" t="s">
        <v>2943</v>
      </c>
      <c r="H2653" t="s">
        <v>2944</v>
      </c>
      <c r="I2653" t="s">
        <v>228</v>
      </c>
    </row>
    <row r="2654" customHeight="1" ht="14.0">
      <c r="A2654" t="s">
        <v>5827</v>
      </c>
      <c r="B2654" s="153" t="s">
        <v>5828</v>
      </c>
      <c r="C2654">
        <v>0.0</v>
      </c>
      <c r="D2654">
        <v>0.0</v>
      </c>
      <c r="F2654" t="s">
        <v>2942</v>
      </c>
      <c r="G2654" t="s">
        <v>2943</v>
      </c>
      <c r="H2654" t="s">
        <v>2944</v>
      </c>
      <c r="I2654" t="s">
        <v>4339</v>
      </c>
    </row>
    <row r="2655" customHeight="1" ht="14.0">
      <c r="A2655" t="s">
        <v>5829</v>
      </c>
      <c r="B2655" s="153" t="s">
        <v>5830</v>
      </c>
      <c r="C2655">
        <v>0.0</v>
      </c>
      <c r="D2655">
        <v>0.0</v>
      </c>
      <c r="F2655" t="s">
        <v>2942</v>
      </c>
      <c r="G2655" t="s">
        <v>2943</v>
      </c>
      <c r="H2655" t="s">
        <v>2944</v>
      </c>
      <c r="I2655" t="s">
        <v>4339</v>
      </c>
    </row>
    <row r="2656" customHeight="1" ht="14.0">
      <c r="A2656" t="s">
        <v>2353</v>
      </c>
      <c r="B2656" s="153" t="s">
        <v>2354</v>
      </c>
      <c r="C2656">
        <v>0.0</v>
      </c>
      <c r="D2656">
        <v>0.0</v>
      </c>
      <c r="F2656" t="s">
        <v>2942</v>
      </c>
      <c r="G2656" t="s">
        <v>2943</v>
      </c>
      <c r="H2656" t="s">
        <v>2944</v>
      </c>
    </row>
    <row r="2657" customHeight="1" ht="14.0">
      <c r="A2657" t="s">
        <v>2355</v>
      </c>
      <c r="B2657" s="153" t="s">
        <v>2356</v>
      </c>
      <c r="C2657">
        <v>0.0</v>
      </c>
      <c r="D2657">
        <v>0.0</v>
      </c>
      <c r="F2657" t="s">
        <v>2942</v>
      </c>
      <c r="G2657" t="s">
        <v>2943</v>
      </c>
      <c r="H2657" t="s">
        <v>2944</v>
      </c>
    </row>
    <row r="2658" customHeight="1" ht="14.0">
      <c r="A2658" t="s">
        <v>5831</v>
      </c>
      <c r="B2658" s="153" t="s">
        <v>5832</v>
      </c>
      <c r="C2658">
        <v>0.0</v>
      </c>
      <c r="D2658">
        <v>0.0</v>
      </c>
      <c r="F2658" t="s">
        <v>2942</v>
      </c>
      <c r="G2658" t="s">
        <v>2943</v>
      </c>
      <c r="H2658" t="s">
        <v>2944</v>
      </c>
      <c r="I2658" t="s">
        <v>4339</v>
      </c>
    </row>
    <row r="2659" customHeight="1" ht="14.0">
      <c r="A2659" t="s">
        <v>5833</v>
      </c>
      <c r="B2659" s="153" t="s">
        <v>5834</v>
      </c>
      <c r="C2659">
        <v>0.0</v>
      </c>
      <c r="D2659">
        <v>0.0</v>
      </c>
      <c r="F2659" t="s">
        <v>2942</v>
      </c>
      <c r="G2659" t="s">
        <v>2943</v>
      </c>
      <c r="H2659" t="s">
        <v>2944</v>
      </c>
      <c r="I2659" t="s">
        <v>4339</v>
      </c>
    </row>
    <row r="2660" customHeight="1" ht="14.0">
      <c r="A2660" t="s">
        <v>5835</v>
      </c>
      <c r="B2660" s="153" t="s">
        <v>5836</v>
      </c>
      <c r="C2660">
        <v>0.0</v>
      </c>
      <c r="D2660">
        <v>0.0</v>
      </c>
      <c r="F2660" t="s">
        <v>2942</v>
      </c>
      <c r="G2660" t="s">
        <v>2943</v>
      </c>
      <c r="H2660" t="s">
        <v>2944</v>
      </c>
      <c r="I2660" t="s">
        <v>3021</v>
      </c>
    </row>
    <row r="2661" customHeight="1" ht="14.0">
      <c r="A2661" t="s">
        <v>5837</v>
      </c>
      <c r="B2661" s="153" t="s">
        <v>5838</v>
      </c>
      <c r="C2661">
        <v>0.0</v>
      </c>
      <c r="D2661">
        <v>0.0</v>
      </c>
      <c r="F2661" t="s">
        <v>2942</v>
      </c>
      <c r="G2661" t="s">
        <v>2943</v>
      </c>
      <c r="H2661" t="s">
        <v>2944</v>
      </c>
      <c r="I2661" t="s">
        <v>3158</v>
      </c>
    </row>
    <row r="2662" customHeight="1" ht="14.0">
      <c r="A2662" t="s">
        <v>5839</v>
      </c>
      <c r="B2662" s="153" t="s">
        <v>5840</v>
      </c>
      <c r="C2662">
        <v>0.0</v>
      </c>
      <c r="D2662">
        <v>0.0</v>
      </c>
      <c r="F2662" t="s">
        <v>2942</v>
      </c>
      <c r="G2662" t="s">
        <v>2962</v>
      </c>
      <c r="H2662" t="s">
        <v>3161</v>
      </c>
    </row>
    <row r="2663" customHeight="1" ht="14.0">
      <c r="A2663" t="s">
        <v>5841</v>
      </c>
      <c r="B2663" s="153" t="s">
        <v>5842</v>
      </c>
      <c r="C2663">
        <v>0.0</v>
      </c>
      <c r="D2663">
        <v>0.0</v>
      </c>
      <c r="F2663" t="s">
        <v>2942</v>
      </c>
      <c r="G2663" t="s">
        <v>2943</v>
      </c>
      <c r="H2663" t="s">
        <v>2944</v>
      </c>
      <c r="I2663" t="s">
        <v>197</v>
      </c>
    </row>
    <row r="2664" customHeight="1" ht="14.0">
      <c r="A2664" t="s">
        <v>5843</v>
      </c>
      <c r="B2664" s="153" t="s">
        <v>5844</v>
      </c>
      <c r="C2664">
        <v>0.0</v>
      </c>
      <c r="D2664">
        <v>0.0</v>
      </c>
      <c r="F2664" t="s">
        <v>2942</v>
      </c>
      <c r="G2664" t="s">
        <v>2943</v>
      </c>
      <c r="H2664" t="s">
        <v>2944</v>
      </c>
      <c r="I2664" t="s">
        <v>197</v>
      </c>
    </row>
    <row r="2665" customHeight="1" ht="14.0">
      <c r="A2665" t="s">
        <v>2357</v>
      </c>
      <c r="B2665" s="153" t="s">
        <v>2358</v>
      </c>
      <c r="C2665">
        <v>66.0</v>
      </c>
      <c r="D2665">
        <v>21.84</v>
      </c>
      <c r="E2665">
        <v>0.3309</v>
      </c>
      <c r="F2665" t="s">
        <v>2942</v>
      </c>
      <c r="G2665" t="s">
        <v>2962</v>
      </c>
      <c r="H2665" t="s">
        <v>2963</v>
      </c>
      <c r="I2665" t="s">
        <v>83</v>
      </c>
    </row>
    <row r="2666" customHeight="1" ht="14.0">
      <c r="A2666" t="s">
        <v>2359</v>
      </c>
      <c r="B2666" s="153" t="s">
        <v>2360</v>
      </c>
      <c r="C2666">
        <v>0.0</v>
      </c>
      <c r="D2666">
        <v>0.0</v>
      </c>
      <c r="F2666" t="s">
        <v>2994</v>
      </c>
      <c r="G2666" t="s">
        <v>2943</v>
      </c>
      <c r="H2666" t="s">
        <v>2944</v>
      </c>
      <c r="I2666" t="s">
        <v>83</v>
      </c>
    </row>
    <row r="2667" customHeight="1" ht="14.0">
      <c r="A2667" t="s">
        <v>5845</v>
      </c>
      <c r="B2667" s="153" t="s">
        <v>5846</v>
      </c>
      <c r="C2667">
        <v>0.0</v>
      </c>
      <c r="D2667">
        <v>0.0</v>
      </c>
      <c r="F2667" t="s">
        <v>2942</v>
      </c>
      <c r="G2667" t="s">
        <v>2943</v>
      </c>
      <c r="H2667" t="s">
        <v>2944</v>
      </c>
      <c r="I2667" t="s">
        <v>197</v>
      </c>
    </row>
    <row r="2668" customHeight="1" ht="14.0">
      <c r="A2668" t="s">
        <v>5847</v>
      </c>
      <c r="B2668" s="153" t="s">
        <v>5848</v>
      </c>
      <c r="C2668">
        <v>0.0</v>
      </c>
      <c r="D2668">
        <v>0.0</v>
      </c>
      <c r="F2668" t="s">
        <v>2994</v>
      </c>
      <c r="G2668" t="s">
        <v>2943</v>
      </c>
      <c r="H2668" t="s">
        <v>2944</v>
      </c>
    </row>
    <row r="2669" customHeight="1" ht="14.0">
      <c r="A2669" t="s">
        <v>2361</v>
      </c>
      <c r="B2669" s="153" t="s">
        <v>2362</v>
      </c>
      <c r="C2669">
        <v>0.0</v>
      </c>
      <c r="D2669">
        <v>0.0</v>
      </c>
      <c r="F2669" t="s">
        <v>2942</v>
      </c>
      <c r="G2669" t="s">
        <v>2943</v>
      </c>
      <c r="H2669" t="s">
        <v>2944</v>
      </c>
      <c r="I2669" t="s">
        <v>83</v>
      </c>
    </row>
    <row r="2670" customHeight="1" ht="14.0">
      <c r="A2670" t="s">
        <v>2363</v>
      </c>
      <c r="B2670" s="153" t="s">
        <v>2364</v>
      </c>
      <c r="C2670">
        <v>0.0</v>
      </c>
      <c r="D2670">
        <v>0.0</v>
      </c>
      <c r="F2670" t="s">
        <v>2942</v>
      </c>
      <c r="G2670" t="s">
        <v>2943</v>
      </c>
      <c r="H2670" t="s">
        <v>2963</v>
      </c>
      <c r="I2670" t="s">
        <v>83</v>
      </c>
    </row>
    <row r="2671" customHeight="1" ht="14.0">
      <c r="A2671" t="s">
        <v>2365</v>
      </c>
      <c r="B2671" s="153" t="s">
        <v>2366</v>
      </c>
      <c r="C2671">
        <v>0.0</v>
      </c>
      <c r="D2671">
        <v>0.0</v>
      </c>
      <c r="F2671" t="s">
        <v>2942</v>
      </c>
      <c r="G2671" t="s">
        <v>2943</v>
      </c>
      <c r="H2671" t="s">
        <v>2963</v>
      </c>
      <c r="I2671" t="s">
        <v>83</v>
      </c>
    </row>
    <row r="2672" customHeight="1" ht="14.0">
      <c r="A2672" t="s">
        <v>2367</v>
      </c>
      <c r="B2672" s="153" t="s">
        <v>2368</v>
      </c>
      <c r="C2672">
        <v>744.0</v>
      </c>
      <c r="D2672">
        <v>242.53</v>
      </c>
      <c r="E2672">
        <v>0.326</v>
      </c>
      <c r="F2672" t="s">
        <v>2942</v>
      </c>
      <c r="G2672" t="s">
        <v>2962</v>
      </c>
      <c r="H2672" t="s">
        <v>2963</v>
      </c>
      <c r="I2672" t="s">
        <v>83</v>
      </c>
    </row>
    <row r="2673" customHeight="1" ht="14.0">
      <c r="A2673" t="s">
        <v>2369</v>
      </c>
      <c r="B2673" s="153" t="s">
        <v>2370</v>
      </c>
      <c r="C2673">
        <v>0.0</v>
      </c>
      <c r="D2673">
        <v>0.0</v>
      </c>
      <c r="F2673" t="s">
        <v>2942</v>
      </c>
      <c r="G2673" t="s">
        <v>2943</v>
      </c>
      <c r="H2673" t="s">
        <v>2963</v>
      </c>
      <c r="I2673" t="s">
        <v>83</v>
      </c>
    </row>
    <row r="2674" customHeight="1" ht="14.0">
      <c r="A2674" t="s">
        <v>2371</v>
      </c>
      <c r="B2674" s="153" t="s">
        <v>2372</v>
      </c>
      <c r="C2674">
        <v>90.0</v>
      </c>
      <c r="D2674">
        <v>29.71</v>
      </c>
      <c r="E2674">
        <v>0.3301</v>
      </c>
      <c r="F2674" t="s">
        <v>2942</v>
      </c>
      <c r="G2674" t="s">
        <v>2962</v>
      </c>
      <c r="H2674" t="s">
        <v>2963</v>
      </c>
      <c r="I2674" t="s">
        <v>83</v>
      </c>
    </row>
    <row r="2675" customHeight="1" ht="14.0">
      <c r="A2675" t="s">
        <v>2373</v>
      </c>
      <c r="B2675" s="153" t="s">
        <v>2374</v>
      </c>
      <c r="C2675">
        <v>0.0</v>
      </c>
      <c r="D2675">
        <v>0.0</v>
      </c>
      <c r="F2675" t="s">
        <v>2942</v>
      </c>
      <c r="G2675" t="s">
        <v>2943</v>
      </c>
      <c r="H2675" t="s">
        <v>2963</v>
      </c>
      <c r="I2675" t="s">
        <v>83</v>
      </c>
    </row>
    <row r="2676" customHeight="1" ht="14.0">
      <c r="A2676" t="s">
        <v>2375</v>
      </c>
      <c r="B2676" s="153" t="s">
        <v>2376</v>
      </c>
      <c r="C2676">
        <v>0.0</v>
      </c>
      <c r="D2676">
        <v>0.0</v>
      </c>
      <c r="F2676" t="s">
        <v>2942</v>
      </c>
      <c r="G2676" t="s">
        <v>2943</v>
      </c>
      <c r="H2676" t="s">
        <v>2963</v>
      </c>
      <c r="I2676" t="s">
        <v>83</v>
      </c>
    </row>
    <row r="2677" customHeight="1" ht="14.0">
      <c r="A2677" t="s">
        <v>2377</v>
      </c>
      <c r="B2677" s="153" t="s">
        <v>2378</v>
      </c>
      <c r="C2677">
        <v>0.0</v>
      </c>
      <c r="D2677">
        <v>0.0</v>
      </c>
      <c r="F2677" t="s">
        <v>2942</v>
      </c>
      <c r="G2677" t="s">
        <v>2943</v>
      </c>
      <c r="H2677" t="s">
        <v>2963</v>
      </c>
      <c r="I2677" t="s">
        <v>83</v>
      </c>
    </row>
    <row r="2678" customHeight="1" ht="14.0">
      <c r="A2678" t="s">
        <v>2379</v>
      </c>
      <c r="B2678" s="153" t="s">
        <v>2380</v>
      </c>
      <c r="C2678">
        <v>0.0</v>
      </c>
      <c r="D2678">
        <v>0.0</v>
      </c>
      <c r="F2678" t="s">
        <v>2942</v>
      </c>
      <c r="G2678" t="s">
        <v>2943</v>
      </c>
      <c r="H2678" t="s">
        <v>2963</v>
      </c>
      <c r="I2678" t="s">
        <v>83</v>
      </c>
    </row>
    <row r="2679" customHeight="1" ht="14.0">
      <c r="A2679" t="s">
        <v>2381</v>
      </c>
      <c r="B2679" s="153" t="s">
        <v>2382</v>
      </c>
      <c r="C2679">
        <v>60.0</v>
      </c>
      <c r="D2679">
        <v>19.98</v>
      </c>
      <c r="E2679">
        <v>0.333</v>
      </c>
      <c r="F2679" t="s">
        <v>2942</v>
      </c>
      <c r="G2679" t="s">
        <v>2962</v>
      </c>
      <c r="H2679" t="s">
        <v>2963</v>
      </c>
      <c r="I2679" t="s">
        <v>83</v>
      </c>
    </row>
    <row r="2680" customHeight="1" ht="14.0">
      <c r="A2680" t="s">
        <v>5849</v>
      </c>
      <c r="B2680" s="153" t="s">
        <v>5850</v>
      </c>
      <c r="C2680">
        <v>839.0</v>
      </c>
      <c r="D2680">
        <v>2095.4</v>
      </c>
      <c r="E2680">
        <v>2.4975</v>
      </c>
      <c r="F2680" t="s">
        <v>2942</v>
      </c>
      <c r="G2680" t="s">
        <v>2962</v>
      </c>
      <c r="H2680" t="s">
        <v>2984</v>
      </c>
      <c r="I2680" t="s">
        <v>138</v>
      </c>
    </row>
    <row r="2681" customHeight="1" ht="14.0">
      <c r="A2681" t="s">
        <v>157</v>
      </c>
      <c r="B2681" s="153" t="s">
        <v>158</v>
      </c>
      <c r="C2681">
        <v>610.0</v>
      </c>
      <c r="D2681">
        <v>1577.33</v>
      </c>
      <c r="E2681">
        <v>2.5858</v>
      </c>
      <c r="F2681" t="s">
        <v>2942</v>
      </c>
      <c r="G2681" t="s">
        <v>2962</v>
      </c>
      <c r="H2681" t="s">
        <v>30</v>
      </c>
      <c r="I2681" t="s">
        <v>138</v>
      </c>
    </row>
    <row r="2682" customHeight="1" ht="14.0">
      <c r="A2682" t="s">
        <v>5851</v>
      </c>
      <c r="B2682" s="153" t="s">
        <v>5852</v>
      </c>
      <c r="C2682">
        <v>912.0</v>
      </c>
      <c r="D2682">
        <v>2277.72</v>
      </c>
      <c r="E2682">
        <v>2.4975</v>
      </c>
      <c r="F2682" t="s">
        <v>2942</v>
      </c>
      <c r="G2682" t="s">
        <v>2962</v>
      </c>
      <c r="H2682" t="s">
        <v>2984</v>
      </c>
      <c r="I2682" t="s">
        <v>138</v>
      </c>
    </row>
    <row r="2683" customHeight="1" ht="14.0">
      <c r="A2683" t="s">
        <v>161</v>
      </c>
      <c r="B2683" s="153" t="s">
        <v>162</v>
      </c>
      <c r="C2683">
        <v>575.0</v>
      </c>
      <c r="D2683">
        <v>1486.86</v>
      </c>
      <c r="E2683">
        <v>2.5858</v>
      </c>
      <c r="F2683" t="s">
        <v>2942</v>
      </c>
      <c r="G2683" t="s">
        <v>2962</v>
      </c>
      <c r="H2683" t="s">
        <v>30</v>
      </c>
      <c r="I2683" t="s">
        <v>138</v>
      </c>
    </row>
    <row r="2684" customHeight="1" ht="14.0">
      <c r="A2684" t="s">
        <v>155</v>
      </c>
      <c r="B2684" s="153" t="s">
        <v>156</v>
      </c>
      <c r="C2684">
        <v>445.0</v>
      </c>
      <c r="D2684">
        <v>1150.43</v>
      </c>
      <c r="E2684">
        <v>2.5852</v>
      </c>
      <c r="F2684" t="s">
        <v>2942</v>
      </c>
      <c r="G2684" t="s">
        <v>2962</v>
      </c>
      <c r="H2684" t="s">
        <v>30</v>
      </c>
      <c r="I2684" t="s">
        <v>138</v>
      </c>
    </row>
    <row r="2685" customHeight="1" ht="14.0">
      <c r="A2685" t="s">
        <v>5853</v>
      </c>
      <c r="B2685" s="153" t="s">
        <v>5854</v>
      </c>
      <c r="C2685">
        <v>956.0</v>
      </c>
      <c r="D2685">
        <v>2387.61</v>
      </c>
      <c r="E2685">
        <v>2.4975</v>
      </c>
      <c r="F2685" t="s">
        <v>2942</v>
      </c>
      <c r="G2685" t="s">
        <v>2962</v>
      </c>
      <c r="H2685" t="s">
        <v>2984</v>
      </c>
      <c r="I2685" t="s">
        <v>138</v>
      </c>
    </row>
    <row r="2686" customHeight="1" ht="14.0">
      <c r="A2686" t="s">
        <v>159</v>
      </c>
      <c r="B2686" s="153" t="s">
        <v>160</v>
      </c>
      <c r="C2686">
        <v>531.0</v>
      </c>
      <c r="D2686">
        <v>1373.01</v>
      </c>
      <c r="E2686">
        <v>2.5857</v>
      </c>
      <c r="F2686" t="s">
        <v>2942</v>
      </c>
      <c r="G2686" t="s">
        <v>2962</v>
      </c>
      <c r="H2686" t="s">
        <v>2963</v>
      </c>
      <c r="I2686" t="s">
        <v>138</v>
      </c>
    </row>
    <row r="2687" customHeight="1" ht="14.0">
      <c r="A2687" t="s">
        <v>5855</v>
      </c>
      <c r="B2687" s="153" t="s">
        <v>5856</v>
      </c>
      <c r="C2687">
        <v>522.0</v>
      </c>
      <c r="D2687">
        <v>287.1</v>
      </c>
      <c r="E2687">
        <v>0.55</v>
      </c>
      <c r="F2687" t="s">
        <v>2942</v>
      </c>
      <c r="G2687" t="s">
        <v>2962</v>
      </c>
      <c r="H2687" t="s">
        <v>3161</v>
      </c>
      <c r="I2687" t="s">
        <v>3167</v>
      </c>
    </row>
    <row r="2688" customHeight="1" ht="14.0">
      <c r="A2688" t="s">
        <v>5857</v>
      </c>
      <c r="B2688" s="153" t="s">
        <v>5858</v>
      </c>
      <c r="C2688">
        <v>462.0</v>
      </c>
      <c r="D2688">
        <v>231.0</v>
      </c>
      <c r="E2688">
        <v>0.5</v>
      </c>
      <c r="F2688" t="s">
        <v>2942</v>
      </c>
      <c r="G2688" t="s">
        <v>2962</v>
      </c>
      <c r="H2688" t="s">
        <v>3161</v>
      </c>
      <c r="I2688" t="s">
        <v>3447</v>
      </c>
    </row>
    <row r="2689" customHeight="1" ht="14.0">
      <c r="A2689" t="s">
        <v>5859</v>
      </c>
      <c r="B2689" s="153" t="s">
        <v>5860</v>
      </c>
      <c r="C2689">
        <v>102.0</v>
      </c>
      <c r="D2689">
        <v>43.86</v>
      </c>
      <c r="E2689">
        <v>0.43</v>
      </c>
      <c r="F2689" t="s">
        <v>2942</v>
      </c>
      <c r="G2689" t="s">
        <v>2962</v>
      </c>
      <c r="H2689" t="s">
        <v>3161</v>
      </c>
      <c r="I2689" t="s">
        <v>3366</v>
      </c>
    </row>
    <row r="2690" customHeight="1" ht="14.0">
      <c r="A2690" t="s">
        <v>5861</v>
      </c>
      <c r="B2690" s="153" t="s">
        <v>5862</v>
      </c>
      <c r="C2690">
        <v>0.0</v>
      </c>
      <c r="D2690">
        <v>0.0</v>
      </c>
      <c r="F2690" t="s">
        <v>2942</v>
      </c>
      <c r="G2690" t="s">
        <v>2943</v>
      </c>
      <c r="H2690" t="s">
        <v>2944</v>
      </c>
      <c r="I2690" t="s">
        <v>228</v>
      </c>
    </row>
    <row r="2691" customHeight="1" ht="14.0">
      <c r="A2691" t="s">
        <v>5863</v>
      </c>
      <c r="B2691" s="153" t="s">
        <v>5864</v>
      </c>
      <c r="C2691">
        <v>0.0</v>
      </c>
      <c r="D2691">
        <v>0.0</v>
      </c>
      <c r="F2691" t="s">
        <v>2942</v>
      </c>
      <c r="G2691" t="s">
        <v>2943</v>
      </c>
      <c r="H2691" t="s">
        <v>2944</v>
      </c>
      <c r="I2691" t="s">
        <v>228</v>
      </c>
    </row>
    <row r="2692" customHeight="1" ht="14.0">
      <c r="A2692" t="s">
        <v>5865</v>
      </c>
      <c r="B2692" s="153" t="s">
        <v>5866</v>
      </c>
      <c r="C2692">
        <v>493.0</v>
      </c>
      <c r="D2692">
        <v>271.15</v>
      </c>
      <c r="E2692">
        <v>0.55</v>
      </c>
      <c r="F2692" t="s">
        <v>2942</v>
      </c>
      <c r="G2692" t="s">
        <v>2962</v>
      </c>
      <c r="H2692" t="s">
        <v>3161</v>
      </c>
      <c r="I2692" t="s">
        <v>3167</v>
      </c>
    </row>
    <row r="2693" customHeight="1" ht="14.0">
      <c r="A2693" t="s">
        <v>5867</v>
      </c>
      <c r="B2693" s="153" t="s">
        <v>5868</v>
      </c>
      <c r="C2693">
        <v>463.0</v>
      </c>
      <c r="D2693">
        <v>231.5</v>
      </c>
      <c r="E2693">
        <v>0.5</v>
      </c>
      <c r="F2693" t="s">
        <v>2942</v>
      </c>
      <c r="G2693" t="s">
        <v>2962</v>
      </c>
      <c r="H2693" t="s">
        <v>3161</v>
      </c>
      <c r="I2693" t="s">
        <v>3447</v>
      </c>
    </row>
    <row r="2694" customHeight="1" ht="14.0">
      <c r="A2694" t="s">
        <v>5869</v>
      </c>
      <c r="B2694" s="153" t="s">
        <v>5870</v>
      </c>
      <c r="C2694">
        <v>491.0</v>
      </c>
      <c r="D2694">
        <v>265.14</v>
      </c>
      <c r="E2694">
        <v>0.54</v>
      </c>
      <c r="F2694" t="s">
        <v>2942</v>
      </c>
      <c r="G2694" t="s">
        <v>2962</v>
      </c>
      <c r="H2694" t="s">
        <v>3161</v>
      </c>
      <c r="I2694" t="s">
        <v>3366</v>
      </c>
    </row>
    <row r="2695" customHeight="1" ht="14.0">
      <c r="A2695" t="s">
        <v>5871</v>
      </c>
      <c r="B2695" s="153" t="s">
        <v>5872</v>
      </c>
      <c r="C2695">
        <v>279.0</v>
      </c>
      <c r="D2695">
        <v>2152.76</v>
      </c>
      <c r="E2695">
        <v>7.716</v>
      </c>
      <c r="F2695" t="s">
        <v>2942</v>
      </c>
      <c r="G2695" t="s">
        <v>2962</v>
      </c>
      <c r="H2695" t="s">
        <v>2984</v>
      </c>
      <c r="I2695" t="s">
        <v>799</v>
      </c>
    </row>
    <row r="2696" customHeight="1" ht="14.0">
      <c r="A2696" t="s">
        <v>5873</v>
      </c>
      <c r="B2696" s="153" t="s">
        <v>5874</v>
      </c>
      <c r="C2696">
        <v>333.0</v>
      </c>
      <c r="D2696">
        <v>2569.49</v>
      </c>
      <c r="E2696">
        <v>7.7162</v>
      </c>
      <c r="F2696" t="s">
        <v>2942</v>
      </c>
      <c r="G2696" t="s">
        <v>2962</v>
      </c>
      <c r="H2696" t="s">
        <v>2984</v>
      </c>
      <c r="I2696" t="s">
        <v>799</v>
      </c>
    </row>
    <row r="2697" customHeight="1" ht="14.0">
      <c r="A2697" t="s">
        <v>5875</v>
      </c>
      <c r="B2697" s="153" t="s">
        <v>5876</v>
      </c>
      <c r="C2697">
        <v>995.0</v>
      </c>
      <c r="D2697">
        <v>6880.58</v>
      </c>
      <c r="E2697">
        <v>6.9152</v>
      </c>
      <c r="F2697" t="s">
        <v>2942</v>
      </c>
      <c r="G2697" t="s">
        <v>2962</v>
      </c>
      <c r="H2697" t="s">
        <v>2984</v>
      </c>
      <c r="I2697" t="s">
        <v>799</v>
      </c>
    </row>
    <row r="2698" customHeight="1" ht="14.0">
      <c r="A2698" t="s">
        <v>5877</v>
      </c>
      <c r="B2698" s="153" t="s">
        <v>5878</v>
      </c>
      <c r="C2698">
        <v>317.0</v>
      </c>
      <c r="D2698">
        <v>2446.02</v>
      </c>
      <c r="E2698">
        <v>7.7162</v>
      </c>
      <c r="F2698" t="s">
        <v>2942</v>
      </c>
      <c r="G2698" t="s">
        <v>2962</v>
      </c>
      <c r="H2698" t="s">
        <v>2963</v>
      </c>
      <c r="I2698" t="s">
        <v>799</v>
      </c>
    </row>
    <row r="2699" customHeight="1" ht="14.0">
      <c r="A2699" t="s">
        <v>5879</v>
      </c>
      <c r="B2699" s="153" t="s">
        <v>5880</v>
      </c>
      <c r="C2699">
        <v>500.0</v>
      </c>
      <c r="D2699">
        <v>2090.75</v>
      </c>
      <c r="E2699">
        <v>4.1815</v>
      </c>
      <c r="F2699" t="s">
        <v>2942</v>
      </c>
      <c r="G2699" t="s">
        <v>2962</v>
      </c>
      <c r="H2699" t="s">
        <v>2984</v>
      </c>
      <c r="I2699" t="s">
        <v>799</v>
      </c>
    </row>
    <row r="2700" customHeight="1" ht="14.0">
      <c r="A2700" t="s">
        <v>2383</v>
      </c>
      <c r="B2700" s="153" t="s">
        <v>2384</v>
      </c>
      <c r="C2700">
        <v>1.0</v>
      </c>
      <c r="D2700">
        <v>4.47</v>
      </c>
      <c r="E2700">
        <v>4.47</v>
      </c>
      <c r="F2700" t="s">
        <v>2942</v>
      </c>
      <c r="G2700" t="s">
        <v>2962</v>
      </c>
      <c r="H2700" t="s">
        <v>2963</v>
      </c>
      <c r="I2700" t="s">
        <v>799</v>
      </c>
    </row>
    <row r="2701" customHeight="1" ht="14.0">
      <c r="A2701" t="s">
        <v>5881</v>
      </c>
      <c r="B2701" s="153" t="s">
        <v>5882</v>
      </c>
      <c r="C2701">
        <v>221.0</v>
      </c>
      <c r="D2701">
        <v>1007.59</v>
      </c>
      <c r="E2701">
        <v>4.5592</v>
      </c>
      <c r="F2701" t="s">
        <v>2942</v>
      </c>
      <c r="G2701" t="s">
        <v>2962</v>
      </c>
      <c r="H2701" t="s">
        <v>2984</v>
      </c>
      <c r="I2701" t="s">
        <v>799</v>
      </c>
    </row>
    <row r="2702" customHeight="1" ht="14.0">
      <c r="A2702" t="s">
        <v>5883</v>
      </c>
      <c r="B2702" s="153" t="s">
        <v>5884</v>
      </c>
      <c r="C2702">
        <v>348.0</v>
      </c>
      <c r="D2702">
        <v>1586.71</v>
      </c>
      <c r="E2702">
        <v>4.5595</v>
      </c>
      <c r="F2702" t="s">
        <v>2942</v>
      </c>
      <c r="G2702" t="s">
        <v>2962</v>
      </c>
      <c r="H2702" t="s">
        <v>2984</v>
      </c>
      <c r="I2702" t="s">
        <v>799</v>
      </c>
    </row>
    <row r="2703" customHeight="1" ht="14.0">
      <c r="A2703" t="s">
        <v>2385</v>
      </c>
      <c r="B2703" s="153" t="s">
        <v>2386</v>
      </c>
      <c r="C2703">
        <v>504.0</v>
      </c>
      <c r="D2703">
        <v>2351.95</v>
      </c>
      <c r="E2703">
        <v>4.6666</v>
      </c>
      <c r="F2703" t="s">
        <v>2942</v>
      </c>
      <c r="G2703" t="s">
        <v>2962</v>
      </c>
      <c r="H2703" t="s">
        <v>2984</v>
      </c>
      <c r="I2703" t="s">
        <v>799</v>
      </c>
    </row>
    <row r="2704" customHeight="1" ht="14.0">
      <c r="A2704" t="s">
        <v>5885</v>
      </c>
      <c r="B2704" s="153" t="s">
        <v>5886</v>
      </c>
      <c r="C2704">
        <v>411.0</v>
      </c>
      <c r="D2704">
        <v>1718.76</v>
      </c>
      <c r="E2704">
        <v>4.1819</v>
      </c>
      <c r="F2704" t="s">
        <v>2942</v>
      </c>
      <c r="G2704" t="s">
        <v>2962</v>
      </c>
      <c r="H2704" t="s">
        <v>2984</v>
      </c>
      <c r="I2704" t="s">
        <v>799</v>
      </c>
    </row>
    <row r="2705" customHeight="1" ht="14.0">
      <c r="A2705" t="s">
        <v>2387</v>
      </c>
      <c r="B2705" s="153" t="s">
        <v>2388</v>
      </c>
      <c r="C2705">
        <v>245.0</v>
      </c>
      <c r="D2705">
        <v>1096.06</v>
      </c>
      <c r="E2705">
        <v>4.4737</v>
      </c>
      <c r="F2705" t="s">
        <v>2942</v>
      </c>
      <c r="G2705" t="s">
        <v>2962</v>
      </c>
      <c r="H2705" t="s">
        <v>2984</v>
      </c>
      <c r="I2705" t="s">
        <v>799</v>
      </c>
    </row>
    <row r="2706" customHeight="1" ht="14.0">
      <c r="A2706" t="s">
        <v>5887</v>
      </c>
      <c r="B2706" s="153" t="s">
        <v>5888</v>
      </c>
      <c r="C2706">
        <v>504.0</v>
      </c>
      <c r="D2706">
        <v>2107.73</v>
      </c>
      <c r="E2706">
        <v>4.182</v>
      </c>
      <c r="F2706" t="s">
        <v>2942</v>
      </c>
      <c r="G2706" t="s">
        <v>2962</v>
      </c>
      <c r="H2706" t="s">
        <v>2984</v>
      </c>
      <c r="I2706" t="s">
        <v>799</v>
      </c>
    </row>
    <row r="2707" customHeight="1" ht="14.0">
      <c r="A2707" t="s">
        <v>2389</v>
      </c>
      <c r="B2707" s="153" t="s">
        <v>2390</v>
      </c>
      <c r="C2707">
        <v>440.0</v>
      </c>
      <c r="D2707">
        <v>2053.24</v>
      </c>
      <c r="E2707">
        <v>4.6665</v>
      </c>
      <c r="F2707" t="s">
        <v>2942</v>
      </c>
      <c r="G2707" t="s">
        <v>2962</v>
      </c>
      <c r="H2707" t="s">
        <v>2984</v>
      </c>
      <c r="I2707" t="s">
        <v>799</v>
      </c>
    </row>
    <row r="2708" customHeight="1" ht="14.0">
      <c r="A2708" t="s">
        <v>2391</v>
      </c>
      <c r="B2708" s="153" t="s">
        <v>2392</v>
      </c>
      <c r="C2708">
        <v>0.0</v>
      </c>
      <c r="D2708">
        <v>0.0</v>
      </c>
      <c r="F2708" t="s">
        <v>2942</v>
      </c>
      <c r="G2708" t="s">
        <v>2943</v>
      </c>
      <c r="H2708" t="s">
        <v>2963</v>
      </c>
      <c r="I2708" t="s">
        <v>799</v>
      </c>
    </row>
    <row r="2709" customHeight="1" ht="14.0">
      <c r="A2709" t="s">
        <v>5889</v>
      </c>
      <c r="B2709" s="153" t="s">
        <v>5890</v>
      </c>
      <c r="C2709">
        <v>544.0</v>
      </c>
      <c r="D2709">
        <v>2541.88</v>
      </c>
      <c r="E2709">
        <v>4.6726</v>
      </c>
      <c r="F2709" t="s">
        <v>2942</v>
      </c>
      <c r="G2709" t="s">
        <v>2962</v>
      </c>
      <c r="H2709" t="s">
        <v>2984</v>
      </c>
      <c r="I2709" t="s">
        <v>799</v>
      </c>
    </row>
    <row r="2710" customHeight="1" ht="14.0">
      <c r="A2710" t="s">
        <v>5891</v>
      </c>
      <c r="B2710" s="153" t="s">
        <v>5892</v>
      </c>
      <c r="C2710">
        <v>282.0</v>
      </c>
      <c r="D2710">
        <v>1179.21</v>
      </c>
      <c r="E2710">
        <v>4.1816</v>
      </c>
      <c r="F2710" t="s">
        <v>2942</v>
      </c>
      <c r="G2710" t="s">
        <v>2962</v>
      </c>
      <c r="H2710" t="s">
        <v>2984</v>
      </c>
      <c r="I2710" t="s">
        <v>799</v>
      </c>
    </row>
    <row r="2711" customHeight="1" ht="14.0">
      <c r="A2711" t="s">
        <v>5893</v>
      </c>
      <c r="B2711" s="153" t="s">
        <v>5894</v>
      </c>
      <c r="C2711">
        <v>372.0</v>
      </c>
      <c r="D2711">
        <v>1696.17</v>
      </c>
      <c r="E2711">
        <v>4.5596</v>
      </c>
      <c r="F2711" t="s">
        <v>2942</v>
      </c>
      <c r="G2711" t="s">
        <v>2962</v>
      </c>
      <c r="H2711" t="s">
        <v>2984</v>
      </c>
      <c r="I2711" t="s">
        <v>799</v>
      </c>
    </row>
    <row r="2712" customHeight="1" ht="14.0">
      <c r="A2712" t="s">
        <v>2393</v>
      </c>
      <c r="B2712" s="153" t="s">
        <v>2394</v>
      </c>
      <c r="C2712">
        <v>367.0</v>
      </c>
      <c r="D2712">
        <v>1712.46</v>
      </c>
      <c r="E2712">
        <v>4.6661</v>
      </c>
      <c r="F2712" t="s">
        <v>2942</v>
      </c>
      <c r="G2712" t="s">
        <v>2962</v>
      </c>
      <c r="H2712" t="s">
        <v>2984</v>
      </c>
      <c r="I2712" t="s">
        <v>799</v>
      </c>
    </row>
    <row r="2713" customHeight="1" ht="14.0">
      <c r="A2713" t="s">
        <v>5895</v>
      </c>
      <c r="B2713" s="153" t="s">
        <v>5896</v>
      </c>
      <c r="C2713">
        <v>64.0</v>
      </c>
      <c r="D2713">
        <v>267.46</v>
      </c>
      <c r="E2713">
        <v>4.1791</v>
      </c>
      <c r="F2713" t="s">
        <v>2942</v>
      </c>
      <c r="G2713" t="s">
        <v>2962</v>
      </c>
      <c r="H2713" t="s">
        <v>2984</v>
      </c>
      <c r="I2713" t="s">
        <v>799</v>
      </c>
    </row>
    <row r="2714" customHeight="1" ht="14.0">
      <c r="A2714" t="s">
        <v>5897</v>
      </c>
      <c r="B2714" s="153" t="s">
        <v>5898</v>
      </c>
      <c r="C2714">
        <v>405.0</v>
      </c>
      <c r="D2714">
        <v>1846.63</v>
      </c>
      <c r="E2714">
        <v>4.5596</v>
      </c>
      <c r="F2714" t="s">
        <v>2942</v>
      </c>
      <c r="G2714" t="s">
        <v>2962</v>
      </c>
      <c r="H2714" t="s">
        <v>2984</v>
      </c>
      <c r="I2714" t="s">
        <v>799</v>
      </c>
    </row>
    <row r="2715" customHeight="1" ht="14.0">
      <c r="A2715" t="s">
        <v>2395</v>
      </c>
      <c r="B2715" s="153" t="s">
        <v>2396</v>
      </c>
      <c r="C2715">
        <v>505.0</v>
      </c>
      <c r="D2715">
        <v>2356.48</v>
      </c>
      <c r="E2715">
        <v>4.6663</v>
      </c>
      <c r="F2715" t="s">
        <v>2942</v>
      </c>
      <c r="G2715" t="s">
        <v>2962</v>
      </c>
      <c r="H2715" t="s">
        <v>2963</v>
      </c>
      <c r="I2715" t="s">
        <v>799</v>
      </c>
    </row>
    <row r="2716" customHeight="1" ht="14.0">
      <c r="A2716" t="s">
        <v>2397</v>
      </c>
      <c r="B2716" s="153" t="s">
        <v>2398</v>
      </c>
      <c r="C2716">
        <v>494.0</v>
      </c>
      <c r="D2716">
        <v>2304.69</v>
      </c>
      <c r="E2716">
        <v>4.6654</v>
      </c>
      <c r="F2716" t="s">
        <v>2942</v>
      </c>
      <c r="G2716" t="s">
        <v>2962</v>
      </c>
      <c r="H2716" t="s">
        <v>2984</v>
      </c>
      <c r="I2716" t="s">
        <v>799</v>
      </c>
    </row>
    <row r="2717" customHeight="1" ht="14.0">
      <c r="A2717" t="s">
        <v>5899</v>
      </c>
      <c r="B2717" s="153" t="s">
        <v>5900</v>
      </c>
      <c r="C2717">
        <v>320.0</v>
      </c>
      <c r="D2717">
        <v>1338.16</v>
      </c>
      <c r="E2717">
        <v>4.1818</v>
      </c>
      <c r="F2717" t="s">
        <v>2942</v>
      </c>
      <c r="G2717" t="s">
        <v>2962</v>
      </c>
      <c r="H2717" t="s">
        <v>2984</v>
      </c>
      <c r="I2717" t="s">
        <v>799</v>
      </c>
    </row>
    <row r="2718" customHeight="1" ht="14.0">
      <c r="A2718" t="s">
        <v>5901</v>
      </c>
      <c r="B2718" s="153" t="s">
        <v>5902</v>
      </c>
      <c r="C2718">
        <v>4.0</v>
      </c>
      <c r="D2718">
        <v>18.8</v>
      </c>
      <c r="E2718">
        <v>4.7</v>
      </c>
      <c r="F2718" t="s">
        <v>2942</v>
      </c>
      <c r="G2718" t="s">
        <v>2962</v>
      </c>
      <c r="H2718" t="s">
        <v>2963</v>
      </c>
      <c r="I2718" t="s">
        <v>799</v>
      </c>
    </row>
    <row r="2719" customHeight="1" ht="14.0">
      <c r="A2719" t="s">
        <v>800</v>
      </c>
      <c r="B2719" s="153" t="s">
        <v>801</v>
      </c>
      <c r="C2719">
        <v>0.0</v>
      </c>
      <c r="D2719">
        <v>0.0</v>
      </c>
      <c r="F2719" t="s">
        <v>2942</v>
      </c>
      <c r="G2719" t="s">
        <v>2962</v>
      </c>
      <c r="H2719" t="s">
        <v>2984</v>
      </c>
      <c r="I2719" t="s">
        <v>799</v>
      </c>
    </row>
    <row r="2720" customHeight="1" ht="14.0">
      <c r="A2720" t="s">
        <v>5903</v>
      </c>
      <c r="B2720" s="153" t="s">
        <v>5904</v>
      </c>
      <c r="C2720">
        <v>467.0</v>
      </c>
      <c r="D2720">
        <v>1299.74</v>
      </c>
      <c r="E2720">
        <v>2.7832</v>
      </c>
      <c r="F2720" t="s">
        <v>2942</v>
      </c>
      <c r="G2720" t="s">
        <v>2962</v>
      </c>
      <c r="H2720" t="s">
        <v>2984</v>
      </c>
      <c r="I2720" t="s">
        <v>5905</v>
      </c>
    </row>
    <row r="2721" customHeight="1" ht="14.0">
      <c r="A2721" t="s">
        <v>2399</v>
      </c>
      <c r="B2721" s="153" t="s">
        <v>2400</v>
      </c>
      <c r="C2721">
        <v>0.0</v>
      </c>
      <c r="D2721">
        <v>0.0</v>
      </c>
      <c r="F2721" t="s">
        <v>2942</v>
      </c>
      <c r="G2721" t="s">
        <v>2943</v>
      </c>
      <c r="H2721" t="s">
        <v>2944</v>
      </c>
      <c r="I2721" t="s">
        <v>3179</v>
      </c>
    </row>
    <row r="2722" customHeight="1" ht="14.0">
      <c r="A2722" t="s">
        <v>5906</v>
      </c>
      <c r="B2722" s="153" t="s">
        <v>5907</v>
      </c>
      <c r="C2722">
        <v>0.0</v>
      </c>
      <c r="D2722">
        <v>0.0</v>
      </c>
      <c r="F2722" t="s">
        <v>2942</v>
      </c>
      <c r="G2722" t="s">
        <v>2943</v>
      </c>
      <c r="H2722" t="s">
        <v>2944</v>
      </c>
      <c r="I2722" t="s">
        <v>3176</v>
      </c>
    </row>
    <row r="2723" customHeight="1" ht="14.0">
      <c r="A2723" t="s">
        <v>5908</v>
      </c>
      <c r="B2723" s="153" t="s">
        <v>5909</v>
      </c>
      <c r="C2723">
        <v>48.0</v>
      </c>
      <c r="D2723">
        <v>154.59</v>
      </c>
      <c r="E2723">
        <v>3.2206</v>
      </c>
      <c r="F2723" t="s">
        <v>2942</v>
      </c>
      <c r="G2723" t="s">
        <v>2962</v>
      </c>
      <c r="H2723" t="s">
        <v>2984</v>
      </c>
      <c r="I2723" t="s">
        <v>5905</v>
      </c>
    </row>
    <row r="2724" customHeight="1" ht="14.0">
      <c r="A2724" t="s">
        <v>5910</v>
      </c>
      <c r="B2724" s="153" t="s">
        <v>5911</v>
      </c>
      <c r="C2724">
        <v>667.0</v>
      </c>
      <c r="D2724">
        <v>1932.48</v>
      </c>
      <c r="E2724">
        <v>2.8973</v>
      </c>
      <c r="F2724" t="s">
        <v>2942</v>
      </c>
      <c r="G2724" t="s">
        <v>2962</v>
      </c>
      <c r="H2724" t="s">
        <v>2984</v>
      </c>
      <c r="I2724" t="s">
        <v>5905</v>
      </c>
    </row>
    <row r="2725" customHeight="1" ht="14.0">
      <c r="A2725" t="s">
        <v>2401</v>
      </c>
      <c r="B2725" s="153" t="s">
        <v>2402</v>
      </c>
      <c r="C2725">
        <v>0.0</v>
      </c>
      <c r="D2725">
        <v>0.0</v>
      </c>
      <c r="F2725" t="s">
        <v>2942</v>
      </c>
      <c r="G2725" t="s">
        <v>2943</v>
      </c>
      <c r="H2725" t="s">
        <v>2944</v>
      </c>
      <c r="I2725" t="s">
        <v>3179</v>
      </c>
    </row>
    <row r="2726" customHeight="1" ht="14.0">
      <c r="A2726" t="s">
        <v>2403</v>
      </c>
      <c r="B2726" s="153" t="s">
        <v>2404</v>
      </c>
      <c r="C2726">
        <v>0.0</v>
      </c>
      <c r="D2726">
        <v>0.0</v>
      </c>
      <c r="F2726" t="s">
        <v>2942</v>
      </c>
      <c r="G2726" t="s">
        <v>2943</v>
      </c>
      <c r="H2726" t="s">
        <v>2944</v>
      </c>
      <c r="I2726" t="s">
        <v>3179</v>
      </c>
    </row>
    <row r="2727" customHeight="1" ht="14.0">
      <c r="A2727" t="s">
        <v>2405</v>
      </c>
      <c r="B2727" s="153" t="s">
        <v>2406</v>
      </c>
      <c r="C2727">
        <v>0.0</v>
      </c>
      <c r="D2727">
        <v>0.0</v>
      </c>
      <c r="F2727" t="s">
        <v>2942</v>
      </c>
      <c r="G2727" t="s">
        <v>2943</v>
      </c>
      <c r="H2727" t="s">
        <v>2944</v>
      </c>
      <c r="I2727" t="s">
        <v>3179</v>
      </c>
    </row>
    <row r="2728" customHeight="1" ht="14.0">
      <c r="A2728" t="s">
        <v>5912</v>
      </c>
      <c r="B2728" s="153" t="s">
        <v>5913</v>
      </c>
      <c r="C2728">
        <v>214.0</v>
      </c>
      <c r="D2728">
        <v>687.88</v>
      </c>
      <c r="E2728">
        <v>3.2144</v>
      </c>
      <c r="F2728" t="s">
        <v>2942</v>
      </c>
      <c r="G2728" t="s">
        <v>2962</v>
      </c>
      <c r="H2728" t="s">
        <v>2984</v>
      </c>
      <c r="I2728" t="s">
        <v>5905</v>
      </c>
    </row>
    <row r="2729" customHeight="1" ht="14.0">
      <c r="A2729" t="s">
        <v>5914</v>
      </c>
      <c r="B2729" s="153" t="s">
        <v>5915</v>
      </c>
      <c r="C2729">
        <v>442.0</v>
      </c>
      <c r="D2729">
        <v>1437.69</v>
      </c>
      <c r="E2729">
        <v>3.2527</v>
      </c>
      <c r="F2729" t="s">
        <v>2942</v>
      </c>
      <c r="G2729" t="s">
        <v>2962</v>
      </c>
      <c r="H2729" t="s">
        <v>2984</v>
      </c>
      <c r="I2729" t="s">
        <v>5905</v>
      </c>
    </row>
    <row r="2730" customHeight="1" ht="14.0">
      <c r="A2730" t="s">
        <v>5916</v>
      </c>
      <c r="B2730" s="153" t="s">
        <v>5917</v>
      </c>
      <c r="C2730">
        <v>0.0</v>
      </c>
      <c r="D2730">
        <v>0.0</v>
      </c>
      <c r="F2730" t="s">
        <v>2942</v>
      </c>
      <c r="G2730" t="s">
        <v>2943</v>
      </c>
      <c r="H2730" t="s">
        <v>2944</v>
      </c>
      <c r="I2730" t="s">
        <v>3179</v>
      </c>
    </row>
    <row r="2731" customHeight="1" ht="14.0">
      <c r="A2731" t="s">
        <v>5918</v>
      </c>
      <c r="B2731" s="153" t="s">
        <v>5919</v>
      </c>
      <c r="C2731">
        <v>60.0</v>
      </c>
      <c r="D2731">
        <v>193.16</v>
      </c>
      <c r="E2731">
        <v>3.2193</v>
      </c>
      <c r="F2731" t="s">
        <v>2942</v>
      </c>
      <c r="G2731" t="s">
        <v>2962</v>
      </c>
      <c r="H2731" t="s">
        <v>2984</v>
      </c>
      <c r="I2731" t="s">
        <v>5905</v>
      </c>
    </row>
    <row r="2732" customHeight="1" ht="14.0">
      <c r="A2732" t="s">
        <v>5920</v>
      </c>
      <c r="B2732" s="153" t="s">
        <v>5921</v>
      </c>
      <c r="C2732">
        <v>0.0</v>
      </c>
      <c r="D2732">
        <v>0.0</v>
      </c>
      <c r="F2732" t="s">
        <v>2942</v>
      </c>
      <c r="G2732" t="s">
        <v>2943</v>
      </c>
      <c r="H2732" t="s">
        <v>2944</v>
      </c>
      <c r="I2732" t="s">
        <v>3021</v>
      </c>
    </row>
    <row r="2733" customHeight="1" ht="14.0">
      <c r="A2733" t="s">
        <v>5922</v>
      </c>
      <c r="B2733" s="153" t="s">
        <v>5923</v>
      </c>
      <c r="C2733">
        <v>223.0</v>
      </c>
      <c r="D2733">
        <v>725.4</v>
      </c>
      <c r="E2733">
        <v>3.2529</v>
      </c>
      <c r="F2733" t="s">
        <v>2942</v>
      </c>
      <c r="G2733" t="s">
        <v>2962</v>
      </c>
      <c r="H2733" t="s">
        <v>2984</v>
      </c>
      <c r="I2733" t="s">
        <v>5905</v>
      </c>
    </row>
    <row r="2734" customHeight="1" ht="14.0">
      <c r="A2734" t="s">
        <v>5924</v>
      </c>
      <c r="B2734" s="153" t="s">
        <v>5925</v>
      </c>
      <c r="C2734">
        <v>390.0</v>
      </c>
      <c r="D2734">
        <v>1085.51</v>
      </c>
      <c r="E2734">
        <v>2.7834</v>
      </c>
      <c r="F2734" t="s">
        <v>2942</v>
      </c>
      <c r="G2734" t="s">
        <v>2962</v>
      </c>
      <c r="H2734" t="s">
        <v>2984</v>
      </c>
      <c r="I2734" t="s">
        <v>5905</v>
      </c>
    </row>
    <row r="2735" customHeight="1" ht="14.0">
      <c r="A2735" t="s">
        <v>5926</v>
      </c>
      <c r="B2735" s="153" t="s">
        <v>5927</v>
      </c>
      <c r="C2735">
        <v>328.0</v>
      </c>
      <c r="D2735">
        <v>1066.91</v>
      </c>
      <c r="E2735">
        <v>3.2528</v>
      </c>
      <c r="F2735" t="s">
        <v>2942</v>
      </c>
      <c r="G2735" t="s">
        <v>2962</v>
      </c>
      <c r="H2735" t="s">
        <v>2963</v>
      </c>
      <c r="I2735" t="s">
        <v>5905</v>
      </c>
    </row>
    <row r="2736" customHeight="1" ht="14.0">
      <c r="A2736" t="s">
        <v>2407</v>
      </c>
      <c r="B2736" s="153" t="s">
        <v>2408</v>
      </c>
      <c r="C2736">
        <v>0.0</v>
      </c>
      <c r="D2736">
        <v>0.0</v>
      </c>
      <c r="F2736" t="s">
        <v>2942</v>
      </c>
      <c r="G2736" t="s">
        <v>2943</v>
      </c>
      <c r="H2736" t="s">
        <v>2944</v>
      </c>
      <c r="I2736" t="s">
        <v>3179</v>
      </c>
    </row>
    <row r="2737" customHeight="1" ht="14.0">
      <c r="A2737" t="s">
        <v>5928</v>
      </c>
      <c r="B2737" s="153" t="s">
        <v>5929</v>
      </c>
      <c r="C2737">
        <v>1.0</v>
      </c>
      <c r="D2737">
        <v>77.6</v>
      </c>
      <c r="E2737">
        <v>77.6</v>
      </c>
      <c r="F2737" t="s">
        <v>2942</v>
      </c>
      <c r="G2737" t="s">
        <v>2962</v>
      </c>
      <c r="H2737" t="s">
        <v>2984</v>
      </c>
      <c r="I2737" t="s">
        <v>5905</v>
      </c>
    </row>
    <row r="2738" customHeight="1" ht="14.0">
      <c r="A2738" t="s">
        <v>5930</v>
      </c>
      <c r="B2738" s="153">
        <v>36901.0</v>
      </c>
      <c r="C2738">
        <v>0.0</v>
      </c>
      <c r="D2738">
        <v>0.0</v>
      </c>
      <c r="F2738" t="s">
        <v>2942</v>
      </c>
      <c r="G2738" t="s">
        <v>2943</v>
      </c>
      <c r="H2738" t="s">
        <v>2944</v>
      </c>
      <c r="I2738" t="s">
        <v>83</v>
      </c>
    </row>
    <row r="2739" customHeight="1" ht="14.0">
      <c r="A2739" t="s">
        <v>5931</v>
      </c>
      <c r="B2739" s="153" t="s">
        <v>5932</v>
      </c>
      <c r="C2739">
        <v>0.0</v>
      </c>
      <c r="D2739">
        <v>0.0</v>
      </c>
      <c r="F2739" t="s">
        <v>2994</v>
      </c>
      <c r="G2739" t="s">
        <v>2943</v>
      </c>
      <c r="H2739" t="s">
        <v>2944</v>
      </c>
      <c r="I2739" t="s">
        <v>83</v>
      </c>
    </row>
    <row r="2740" customHeight="1" ht="14.0">
      <c r="A2740" t="s">
        <v>5933</v>
      </c>
      <c r="B2740" s="153">
        <v>36902.0</v>
      </c>
      <c r="C2740">
        <v>0.0</v>
      </c>
      <c r="D2740">
        <v>0.0</v>
      </c>
      <c r="F2740" t="s">
        <v>2942</v>
      </c>
      <c r="G2740" t="s">
        <v>2943</v>
      </c>
      <c r="H2740" t="s">
        <v>2944</v>
      </c>
      <c r="I2740" t="s">
        <v>83</v>
      </c>
    </row>
    <row r="2741" customHeight="1" ht="14.0">
      <c r="A2741" t="s">
        <v>5934</v>
      </c>
      <c r="B2741" s="153">
        <v>36903.0</v>
      </c>
      <c r="C2741">
        <v>0.0</v>
      </c>
      <c r="D2741">
        <v>0.0</v>
      </c>
      <c r="F2741" t="s">
        <v>2942</v>
      </c>
      <c r="G2741" t="s">
        <v>2943</v>
      </c>
      <c r="H2741" t="s">
        <v>2944</v>
      </c>
      <c r="I2741" t="s">
        <v>83</v>
      </c>
    </row>
    <row r="2742" customHeight="1" ht="14.0">
      <c r="A2742" t="s">
        <v>5935</v>
      </c>
      <c r="B2742" s="153">
        <v>36904.0</v>
      </c>
      <c r="C2742">
        <v>0.0</v>
      </c>
      <c r="D2742">
        <v>0.0</v>
      </c>
      <c r="F2742" t="s">
        <v>2942</v>
      </c>
      <c r="G2742" t="s">
        <v>2943</v>
      </c>
      <c r="H2742" t="s">
        <v>2944</v>
      </c>
      <c r="I2742" t="s">
        <v>83</v>
      </c>
    </row>
    <row r="2743" customHeight="1" ht="14.0">
      <c r="A2743" t="s">
        <v>5936</v>
      </c>
      <c r="B2743" s="153">
        <v>36905.0</v>
      </c>
      <c r="C2743">
        <v>0.0</v>
      </c>
      <c r="D2743">
        <v>0.0</v>
      </c>
      <c r="F2743" t="s">
        <v>2942</v>
      </c>
      <c r="G2743" t="s">
        <v>2943</v>
      </c>
      <c r="H2743" t="s">
        <v>2944</v>
      </c>
      <c r="I2743" t="s">
        <v>83</v>
      </c>
    </row>
    <row r="2744" customHeight="1" ht="14.0">
      <c r="A2744" t="s">
        <v>5937</v>
      </c>
      <c r="B2744" s="153">
        <v>36906.0</v>
      </c>
      <c r="C2744">
        <v>0.0</v>
      </c>
      <c r="D2744">
        <v>0.0</v>
      </c>
      <c r="F2744" t="s">
        <v>2942</v>
      </c>
      <c r="G2744" t="s">
        <v>2943</v>
      </c>
      <c r="H2744" t="s">
        <v>2944</v>
      </c>
      <c r="I2744" t="s">
        <v>83</v>
      </c>
    </row>
    <row r="2745" customHeight="1" ht="14.0">
      <c r="A2745" t="s">
        <v>5938</v>
      </c>
      <c r="B2745" s="153" t="s">
        <v>5939</v>
      </c>
      <c r="C2745">
        <v>0.0</v>
      </c>
      <c r="D2745">
        <v>0.0</v>
      </c>
      <c r="F2745" t="s">
        <v>2942</v>
      </c>
      <c r="G2745" t="s">
        <v>2943</v>
      </c>
      <c r="H2745" t="s">
        <v>2944</v>
      </c>
      <c r="I2745" t="s">
        <v>197</v>
      </c>
    </row>
    <row r="2746" customHeight="1" ht="14.0">
      <c r="A2746" t="s">
        <v>2409</v>
      </c>
      <c r="B2746" s="153" t="s">
        <v>2410</v>
      </c>
      <c r="C2746">
        <v>135.0</v>
      </c>
      <c r="D2746">
        <v>447.52</v>
      </c>
      <c r="E2746">
        <v>3.315</v>
      </c>
      <c r="F2746" t="s">
        <v>2942</v>
      </c>
      <c r="G2746" t="s">
        <v>2962</v>
      </c>
      <c r="H2746" t="s">
        <v>2963</v>
      </c>
      <c r="I2746" t="s">
        <v>5940</v>
      </c>
    </row>
    <row r="2747" customHeight="1" ht="14.0">
      <c r="A2747" t="s">
        <v>2411</v>
      </c>
      <c r="B2747" s="153" t="s">
        <v>2412</v>
      </c>
      <c r="C2747">
        <v>127.0</v>
      </c>
      <c r="D2747">
        <v>421.06</v>
      </c>
      <c r="E2747">
        <v>3.3154</v>
      </c>
      <c r="F2747" t="s">
        <v>2942</v>
      </c>
      <c r="G2747" t="s">
        <v>2962</v>
      </c>
      <c r="H2747" t="s">
        <v>2963</v>
      </c>
      <c r="I2747" t="s">
        <v>5940</v>
      </c>
    </row>
    <row r="2748" customHeight="1" ht="14.0">
      <c r="A2748" t="s">
        <v>2413</v>
      </c>
      <c r="B2748" s="153" t="s">
        <v>2414</v>
      </c>
      <c r="C2748">
        <v>251.0</v>
      </c>
      <c r="D2748">
        <v>832.22</v>
      </c>
      <c r="E2748">
        <v>3.3156</v>
      </c>
      <c r="F2748" t="s">
        <v>2942</v>
      </c>
      <c r="G2748" t="s">
        <v>2962</v>
      </c>
      <c r="H2748" t="s">
        <v>2963</v>
      </c>
      <c r="I2748" t="s">
        <v>5940</v>
      </c>
    </row>
    <row r="2749" customHeight="1" ht="14.0">
      <c r="A2749" t="s">
        <v>2415</v>
      </c>
      <c r="B2749" s="153" t="s">
        <v>2416</v>
      </c>
      <c r="C2749">
        <v>135.0</v>
      </c>
      <c r="D2749">
        <v>447.67</v>
      </c>
      <c r="E2749">
        <v>3.3161</v>
      </c>
      <c r="F2749" t="s">
        <v>2942</v>
      </c>
      <c r="G2749" t="s">
        <v>2962</v>
      </c>
      <c r="H2749" t="s">
        <v>2963</v>
      </c>
      <c r="I2749" t="s">
        <v>5940</v>
      </c>
    </row>
    <row r="2750" customHeight="1" ht="14.0">
      <c r="A2750" t="s">
        <v>2417</v>
      </c>
      <c r="B2750" s="153" t="s">
        <v>2418</v>
      </c>
      <c r="C2750">
        <v>0.0</v>
      </c>
      <c r="D2750">
        <v>0.0</v>
      </c>
      <c r="F2750" t="s">
        <v>2942</v>
      </c>
      <c r="G2750" t="s">
        <v>2943</v>
      </c>
      <c r="H2750" t="s">
        <v>2963</v>
      </c>
      <c r="I2750" t="s">
        <v>5940</v>
      </c>
    </row>
    <row r="2751" customHeight="1" ht="14.0">
      <c r="A2751" t="s">
        <v>2419</v>
      </c>
      <c r="B2751" s="153" t="s">
        <v>2420</v>
      </c>
      <c r="C2751">
        <v>79.0</v>
      </c>
      <c r="D2751">
        <v>261.79</v>
      </c>
      <c r="E2751">
        <v>3.3138</v>
      </c>
      <c r="F2751" t="s">
        <v>2942</v>
      </c>
      <c r="G2751" t="s">
        <v>2962</v>
      </c>
      <c r="H2751" t="s">
        <v>2963</v>
      </c>
      <c r="I2751" t="s">
        <v>5940</v>
      </c>
    </row>
    <row r="2752" customHeight="1" ht="14.0">
      <c r="A2752" t="s">
        <v>2421</v>
      </c>
      <c r="B2752" s="153" t="s">
        <v>2422</v>
      </c>
      <c r="C2752">
        <v>0.0</v>
      </c>
      <c r="D2752">
        <v>0.0</v>
      </c>
      <c r="F2752" t="s">
        <v>2942</v>
      </c>
      <c r="G2752" t="s">
        <v>2943</v>
      </c>
      <c r="H2752" t="s">
        <v>2944</v>
      </c>
      <c r="I2752" t="s">
        <v>83</v>
      </c>
    </row>
    <row r="2753" customHeight="1" ht="14.0">
      <c r="A2753" t="s">
        <v>5941</v>
      </c>
      <c r="B2753" s="153" t="s">
        <v>5942</v>
      </c>
      <c r="C2753">
        <v>0.0</v>
      </c>
      <c r="D2753">
        <v>0.0</v>
      </c>
      <c r="F2753" t="s">
        <v>2942</v>
      </c>
      <c r="G2753" t="s">
        <v>2943</v>
      </c>
      <c r="H2753" t="s">
        <v>2944</v>
      </c>
      <c r="I2753" t="s">
        <v>83</v>
      </c>
    </row>
    <row r="2754" customHeight="1" ht="14.0">
      <c r="A2754" t="s">
        <v>5943</v>
      </c>
      <c r="B2754" s="153" t="s">
        <v>5944</v>
      </c>
      <c r="C2754">
        <v>0.0</v>
      </c>
      <c r="D2754">
        <v>0.0</v>
      </c>
      <c r="F2754" t="s">
        <v>2942</v>
      </c>
      <c r="G2754" t="s">
        <v>2943</v>
      </c>
      <c r="H2754" t="s">
        <v>2944</v>
      </c>
      <c r="I2754" t="s">
        <v>83</v>
      </c>
    </row>
    <row r="2755" customHeight="1" ht="14.0">
      <c r="A2755" t="s">
        <v>2423</v>
      </c>
      <c r="B2755" s="153" t="s">
        <v>2424</v>
      </c>
      <c r="C2755">
        <v>0.0</v>
      </c>
      <c r="D2755">
        <v>0.0</v>
      </c>
      <c r="F2755" t="s">
        <v>2942</v>
      </c>
      <c r="G2755" t="s">
        <v>2943</v>
      </c>
      <c r="H2755" t="s">
        <v>2944</v>
      </c>
      <c r="I2755" t="s">
        <v>83</v>
      </c>
    </row>
    <row r="2756" customHeight="1" ht="14.0">
      <c r="A2756" t="s">
        <v>2425</v>
      </c>
      <c r="B2756" s="153" t="s">
        <v>2426</v>
      </c>
      <c r="C2756">
        <v>0.0</v>
      </c>
      <c r="D2756">
        <v>0.0</v>
      </c>
      <c r="F2756" t="s">
        <v>2942</v>
      </c>
      <c r="G2756" t="s">
        <v>2943</v>
      </c>
      <c r="H2756" t="s">
        <v>2944</v>
      </c>
      <c r="I2756" t="s">
        <v>83</v>
      </c>
    </row>
    <row r="2757" customHeight="1" ht="14.0">
      <c r="A2757" t="s">
        <v>5945</v>
      </c>
      <c r="B2757" s="153" t="s">
        <v>5946</v>
      </c>
      <c r="C2757">
        <v>0.0</v>
      </c>
      <c r="D2757">
        <v>0.0</v>
      </c>
      <c r="F2757" t="s">
        <v>2942</v>
      </c>
      <c r="G2757" t="s">
        <v>2943</v>
      </c>
      <c r="H2757" t="s">
        <v>2944</v>
      </c>
      <c r="I2757" t="s">
        <v>83</v>
      </c>
    </row>
    <row r="2758" customHeight="1" ht="14.0">
      <c r="A2758" t="s">
        <v>5947</v>
      </c>
      <c r="B2758" s="153" t="s">
        <v>5948</v>
      </c>
      <c r="C2758">
        <v>0.0</v>
      </c>
      <c r="D2758">
        <v>0.0</v>
      </c>
      <c r="F2758" t="s">
        <v>2942</v>
      </c>
      <c r="G2758" t="s">
        <v>2943</v>
      </c>
      <c r="H2758" t="s">
        <v>2944</v>
      </c>
      <c r="I2758" t="s">
        <v>83</v>
      </c>
    </row>
    <row r="2759" customHeight="1" ht="14.0">
      <c r="A2759" t="s">
        <v>2427</v>
      </c>
      <c r="B2759" s="153" t="s">
        <v>2428</v>
      </c>
      <c r="C2759">
        <v>0.0</v>
      </c>
      <c r="D2759">
        <v>0.0</v>
      </c>
      <c r="F2759" t="s">
        <v>2942</v>
      </c>
      <c r="G2759" t="s">
        <v>2943</v>
      </c>
      <c r="H2759" t="s">
        <v>2944</v>
      </c>
      <c r="I2759" t="s">
        <v>83</v>
      </c>
    </row>
    <row r="2760" customHeight="1" ht="14.0">
      <c r="A2760" t="s">
        <v>2429</v>
      </c>
      <c r="B2760" s="153" t="s">
        <v>2430</v>
      </c>
      <c r="C2760">
        <v>0.0</v>
      </c>
      <c r="D2760">
        <v>0.0</v>
      </c>
      <c r="F2760" t="s">
        <v>2942</v>
      </c>
      <c r="G2760" t="s">
        <v>2943</v>
      </c>
      <c r="H2760" t="s">
        <v>2944</v>
      </c>
      <c r="I2760" t="s">
        <v>83</v>
      </c>
    </row>
    <row r="2761" customHeight="1" ht="14.0">
      <c r="A2761" t="s">
        <v>5949</v>
      </c>
      <c r="B2761" s="153" t="s">
        <v>5950</v>
      </c>
      <c r="C2761">
        <v>0.0</v>
      </c>
      <c r="D2761">
        <v>0.0</v>
      </c>
      <c r="F2761" t="s">
        <v>2942</v>
      </c>
      <c r="G2761" t="s">
        <v>2943</v>
      </c>
      <c r="H2761" t="s">
        <v>2944</v>
      </c>
      <c r="I2761" t="s">
        <v>83</v>
      </c>
    </row>
    <row r="2762" customHeight="1" ht="14.0">
      <c r="A2762" t="s">
        <v>5951</v>
      </c>
      <c r="B2762" s="153" t="s">
        <v>5952</v>
      </c>
      <c r="C2762">
        <v>0.0</v>
      </c>
      <c r="D2762">
        <v>0.0</v>
      </c>
      <c r="F2762" t="s">
        <v>2942</v>
      </c>
      <c r="G2762" t="s">
        <v>2943</v>
      </c>
      <c r="H2762" t="s">
        <v>2944</v>
      </c>
      <c r="I2762" t="s">
        <v>83</v>
      </c>
    </row>
    <row r="2763" customHeight="1" ht="14.0">
      <c r="A2763" t="s">
        <v>2431</v>
      </c>
      <c r="B2763" s="153" t="s">
        <v>2432</v>
      </c>
      <c r="C2763">
        <v>0.0</v>
      </c>
      <c r="D2763">
        <v>0.0</v>
      </c>
      <c r="F2763" t="s">
        <v>2942</v>
      </c>
      <c r="G2763" t="s">
        <v>2943</v>
      </c>
      <c r="H2763" t="s">
        <v>2944</v>
      </c>
      <c r="I2763" t="s">
        <v>83</v>
      </c>
    </row>
    <row r="2764" customHeight="1" ht="14.0">
      <c r="A2764" t="s">
        <v>5953</v>
      </c>
      <c r="B2764" s="153" t="s">
        <v>5954</v>
      </c>
      <c r="C2764">
        <v>0.0</v>
      </c>
      <c r="D2764">
        <v>0.0</v>
      </c>
      <c r="F2764" t="s">
        <v>2994</v>
      </c>
      <c r="G2764" t="s">
        <v>2943</v>
      </c>
      <c r="H2764" t="s">
        <v>2944</v>
      </c>
      <c r="I2764" t="s">
        <v>83</v>
      </c>
    </row>
    <row r="2765" customHeight="1" ht="14.0">
      <c r="A2765" t="s">
        <v>5955</v>
      </c>
      <c r="B2765" s="153" t="s">
        <v>5956</v>
      </c>
      <c r="C2765">
        <v>0.0</v>
      </c>
      <c r="D2765">
        <v>0.0</v>
      </c>
      <c r="F2765" t="s">
        <v>2942</v>
      </c>
      <c r="G2765" t="s">
        <v>2943</v>
      </c>
      <c r="H2765" t="s">
        <v>2944</v>
      </c>
      <c r="I2765" t="s">
        <v>197</v>
      </c>
    </row>
    <row r="2766" customHeight="1" ht="14.0">
      <c r="A2766" t="s">
        <v>5957</v>
      </c>
      <c r="B2766" s="153" t="s">
        <v>5958</v>
      </c>
      <c r="C2766">
        <v>0.0</v>
      </c>
      <c r="D2766">
        <v>0.0</v>
      </c>
      <c r="F2766" t="s">
        <v>2942</v>
      </c>
      <c r="G2766" t="s">
        <v>2943</v>
      </c>
      <c r="H2766" t="s">
        <v>2944</v>
      </c>
      <c r="I2766" t="s">
        <v>520</v>
      </c>
    </row>
    <row r="2767" customHeight="1" ht="14.0">
      <c r="A2767" t="s">
        <v>2433</v>
      </c>
      <c r="B2767" s="153" t="s">
        <v>2434</v>
      </c>
      <c r="C2767">
        <v>0.0</v>
      </c>
      <c r="D2767">
        <v>0.0</v>
      </c>
      <c r="F2767" t="s">
        <v>2994</v>
      </c>
      <c r="G2767" t="s">
        <v>2943</v>
      </c>
      <c r="H2767" t="s">
        <v>2944</v>
      </c>
      <c r="I2767" t="s">
        <v>3708</v>
      </c>
    </row>
    <row r="2768" customHeight="1" ht="14.0">
      <c r="A2768" t="s">
        <v>5959</v>
      </c>
      <c r="B2768" s="153">
        <v>94404.0</v>
      </c>
      <c r="C2768">
        <v>0.0</v>
      </c>
      <c r="D2768">
        <v>0.0</v>
      </c>
      <c r="F2768" t="s">
        <v>2942</v>
      </c>
      <c r="G2768" t="s">
        <v>2943</v>
      </c>
      <c r="H2768" t="s">
        <v>2944</v>
      </c>
      <c r="I2768" t="s">
        <v>3153</v>
      </c>
    </row>
    <row r="2769" customHeight="1" ht="14.0">
      <c r="A2769" t="s">
        <v>5960</v>
      </c>
      <c r="B2769" s="153">
        <v>94403.0</v>
      </c>
      <c r="C2769">
        <v>0.0</v>
      </c>
      <c r="D2769">
        <v>0.0</v>
      </c>
      <c r="F2769" t="s">
        <v>2942</v>
      </c>
      <c r="G2769" t="s">
        <v>2943</v>
      </c>
      <c r="H2769" t="s">
        <v>2944</v>
      </c>
      <c r="I2769" t="s">
        <v>3153</v>
      </c>
    </row>
    <row r="2770" customHeight="1" ht="14.0">
      <c r="A2770" t="s">
        <v>2435</v>
      </c>
      <c r="B2770" s="153" t="s">
        <v>2436</v>
      </c>
      <c r="C2770">
        <v>12.0</v>
      </c>
      <c r="D2770">
        <v>36.13</v>
      </c>
      <c r="E2770">
        <v>3.0108</v>
      </c>
      <c r="F2770" t="s">
        <v>2942</v>
      </c>
      <c r="G2770" t="s">
        <v>2962</v>
      </c>
      <c r="H2770" t="s">
        <v>2963</v>
      </c>
      <c r="I2770" t="s">
        <v>3153</v>
      </c>
    </row>
    <row r="2771" customHeight="1" ht="14.0">
      <c r="A2771" t="s">
        <v>2437</v>
      </c>
      <c r="B2771" s="153" t="s">
        <v>2438</v>
      </c>
      <c r="C2771">
        <v>7.0</v>
      </c>
      <c r="D2771">
        <v>22.16</v>
      </c>
      <c r="E2771">
        <v>3.1657</v>
      </c>
      <c r="F2771" t="s">
        <v>2942</v>
      </c>
      <c r="G2771" t="s">
        <v>2962</v>
      </c>
      <c r="H2771" t="s">
        <v>2963</v>
      </c>
      <c r="I2771" t="s">
        <v>3153</v>
      </c>
    </row>
    <row r="2772" customHeight="1" ht="14.0">
      <c r="A2772" t="s">
        <v>2439</v>
      </c>
      <c r="B2772" s="153" t="s">
        <v>2440</v>
      </c>
      <c r="C2772">
        <v>0.0</v>
      </c>
      <c r="D2772">
        <v>0.0</v>
      </c>
      <c r="F2772" t="s">
        <v>2942</v>
      </c>
      <c r="G2772" t="s">
        <v>2943</v>
      </c>
      <c r="H2772" t="s">
        <v>2963</v>
      </c>
      <c r="I2772" t="s">
        <v>3153</v>
      </c>
    </row>
    <row r="2773" customHeight="1" ht="14.0">
      <c r="A2773" t="s">
        <v>2441</v>
      </c>
      <c r="B2773" s="153" t="s">
        <v>2442</v>
      </c>
      <c r="C2773">
        <v>17.0</v>
      </c>
      <c r="D2773">
        <v>51.19</v>
      </c>
      <c r="E2773">
        <v>3.0112</v>
      </c>
      <c r="F2773" t="s">
        <v>2942</v>
      </c>
      <c r="G2773" t="s">
        <v>2962</v>
      </c>
      <c r="H2773" t="s">
        <v>2963</v>
      </c>
      <c r="I2773" t="s">
        <v>3153</v>
      </c>
    </row>
    <row r="2774" customHeight="1" ht="14.0">
      <c r="A2774" t="s">
        <v>2443</v>
      </c>
      <c r="B2774" s="153" t="s">
        <v>2444</v>
      </c>
      <c r="C2774">
        <v>10.0</v>
      </c>
      <c r="D2774">
        <v>43.74</v>
      </c>
      <c r="E2774">
        <v>4.374</v>
      </c>
      <c r="F2774" t="s">
        <v>2942</v>
      </c>
      <c r="G2774" t="s">
        <v>2962</v>
      </c>
      <c r="H2774" t="s">
        <v>2963</v>
      </c>
      <c r="I2774" t="s">
        <v>3153</v>
      </c>
    </row>
    <row r="2775" customHeight="1" ht="14.0">
      <c r="A2775" t="s">
        <v>2445</v>
      </c>
      <c r="B2775" s="153" t="s">
        <v>2446</v>
      </c>
      <c r="C2775">
        <v>0.0</v>
      </c>
      <c r="D2775">
        <v>0.0</v>
      </c>
      <c r="F2775" t="s">
        <v>2942</v>
      </c>
      <c r="G2775" t="s">
        <v>2943</v>
      </c>
      <c r="H2775" t="s">
        <v>2963</v>
      </c>
      <c r="I2775" t="s">
        <v>3153</v>
      </c>
    </row>
    <row r="2776" customHeight="1" ht="14.0">
      <c r="A2776" t="s">
        <v>2447</v>
      </c>
      <c r="B2776" s="153" t="s">
        <v>2448</v>
      </c>
      <c r="C2776">
        <v>0.0</v>
      </c>
      <c r="D2776">
        <v>0.0</v>
      </c>
      <c r="F2776" t="s">
        <v>2942</v>
      </c>
      <c r="G2776" t="s">
        <v>2962</v>
      </c>
      <c r="H2776" t="s">
        <v>2963</v>
      </c>
      <c r="I2776" t="s">
        <v>3153</v>
      </c>
    </row>
    <row r="2777" customHeight="1" ht="14.0">
      <c r="A2777" t="s">
        <v>2449</v>
      </c>
      <c r="B2777" s="153" t="s">
        <v>2450</v>
      </c>
      <c r="C2777">
        <v>4.0</v>
      </c>
      <c r="D2777">
        <v>17.48</v>
      </c>
      <c r="E2777">
        <v>4.37</v>
      </c>
      <c r="F2777" t="s">
        <v>2942</v>
      </c>
      <c r="G2777" t="s">
        <v>2943</v>
      </c>
      <c r="H2777" t="s">
        <v>2963</v>
      </c>
      <c r="I2777" t="s">
        <v>3153</v>
      </c>
    </row>
    <row r="2778" customHeight="1" ht="14.0">
      <c r="A2778" t="s">
        <v>5961</v>
      </c>
      <c r="B2778" s="153" t="s">
        <v>5962</v>
      </c>
      <c r="C2778">
        <v>6810.0</v>
      </c>
      <c r="D2778">
        <v>26160.92</v>
      </c>
      <c r="E2778">
        <v>3.8415</v>
      </c>
      <c r="F2778" t="s">
        <v>2942</v>
      </c>
      <c r="G2778" t="s">
        <v>2962</v>
      </c>
      <c r="H2778" t="s">
        <v>3155</v>
      </c>
      <c r="I2778" t="s">
        <v>3153</v>
      </c>
    </row>
    <row r="2779" customHeight="1" ht="14.0">
      <c r="A2779" t="s">
        <v>5963</v>
      </c>
      <c r="B2779" s="153" t="s">
        <v>5964</v>
      </c>
      <c r="C2779">
        <v>2860.0</v>
      </c>
      <c r="D2779">
        <v>10910.12</v>
      </c>
      <c r="E2779">
        <v>3.8147</v>
      </c>
      <c r="F2779" t="s">
        <v>2942</v>
      </c>
      <c r="G2779" t="s">
        <v>2962</v>
      </c>
      <c r="H2779" t="s">
        <v>3155</v>
      </c>
      <c r="I2779" t="s">
        <v>3153</v>
      </c>
    </row>
    <row r="2780" customHeight="1" ht="14.0">
      <c r="A2780" t="s">
        <v>5965</v>
      </c>
      <c r="B2780" s="153" t="s">
        <v>5966</v>
      </c>
      <c r="C2780">
        <v>2108.0</v>
      </c>
      <c r="D2780">
        <v>8043.95</v>
      </c>
      <c r="E2780">
        <v>3.8159</v>
      </c>
      <c r="F2780" t="s">
        <v>2942</v>
      </c>
      <c r="G2780" t="s">
        <v>2962</v>
      </c>
      <c r="H2780" t="s">
        <v>3155</v>
      </c>
      <c r="I2780" t="s">
        <v>3153</v>
      </c>
    </row>
    <row r="2781" customHeight="1" ht="14.0">
      <c r="A2781" t="s">
        <v>5967</v>
      </c>
      <c r="B2781" s="153" t="s">
        <v>5968</v>
      </c>
      <c r="C2781">
        <v>3513.0</v>
      </c>
      <c r="D2781">
        <v>13406.9</v>
      </c>
      <c r="E2781">
        <v>3.8164</v>
      </c>
      <c r="F2781" t="s">
        <v>2942</v>
      </c>
      <c r="G2781" t="s">
        <v>2962</v>
      </c>
      <c r="H2781" t="s">
        <v>3155</v>
      </c>
      <c r="I2781" t="s">
        <v>3153</v>
      </c>
    </row>
    <row r="2782" customHeight="1" ht="14.0">
      <c r="A2782" t="s">
        <v>2451</v>
      </c>
      <c r="B2782" s="153" t="s">
        <v>2452</v>
      </c>
      <c r="C2782">
        <v>0.0</v>
      </c>
      <c r="D2782">
        <v>0.0</v>
      </c>
      <c r="F2782" t="s">
        <v>2994</v>
      </c>
      <c r="G2782" t="s">
        <v>2943</v>
      </c>
      <c r="H2782" t="s">
        <v>3155</v>
      </c>
      <c r="I2782" t="s">
        <v>3153</v>
      </c>
    </row>
    <row r="2783" customHeight="1" ht="14.0">
      <c r="A2783" t="s">
        <v>5969</v>
      </c>
      <c r="B2783" s="153">
        <v>94201.0</v>
      </c>
      <c r="C2783">
        <v>0.0</v>
      </c>
      <c r="D2783">
        <v>0.0</v>
      </c>
      <c r="F2783" t="s">
        <v>2942</v>
      </c>
      <c r="G2783" t="s">
        <v>2943</v>
      </c>
      <c r="H2783" t="s">
        <v>2944</v>
      </c>
      <c r="I2783" t="s">
        <v>3442</v>
      </c>
    </row>
    <row r="2784" customHeight="1" ht="14.0">
      <c r="A2784" t="s">
        <v>5970</v>
      </c>
      <c r="B2784" s="153">
        <v>94205.0</v>
      </c>
      <c r="C2784">
        <v>0.0</v>
      </c>
      <c r="D2784">
        <v>0.0</v>
      </c>
      <c r="F2784" t="s">
        <v>2942</v>
      </c>
      <c r="G2784" t="s">
        <v>2943</v>
      </c>
      <c r="H2784" t="s">
        <v>2944</v>
      </c>
      <c r="I2784" t="s">
        <v>3442</v>
      </c>
    </row>
    <row r="2785" customHeight="1" ht="14.0">
      <c r="A2785" t="s">
        <v>2453</v>
      </c>
      <c r="B2785" s="153" t="s">
        <v>2454</v>
      </c>
      <c r="C2785">
        <v>156.0</v>
      </c>
      <c r="D2785">
        <v>771.0</v>
      </c>
      <c r="E2785">
        <v>4.9423</v>
      </c>
      <c r="F2785" t="s">
        <v>2942</v>
      </c>
      <c r="G2785" t="s">
        <v>2962</v>
      </c>
      <c r="H2785" t="s">
        <v>3005</v>
      </c>
      <c r="I2785" t="s">
        <v>3006</v>
      </c>
    </row>
    <row r="2786" customHeight="1" ht="14.0">
      <c r="A2786" t="s">
        <v>5971</v>
      </c>
      <c r="B2786" s="153" t="s">
        <v>5972</v>
      </c>
      <c r="C2786">
        <v>1910.0</v>
      </c>
      <c r="D2786">
        <v>18818.77</v>
      </c>
      <c r="E2786">
        <v>9.8528</v>
      </c>
      <c r="F2786" t="s">
        <v>2942</v>
      </c>
      <c r="G2786" t="s">
        <v>2962</v>
      </c>
      <c r="H2786" t="s">
        <v>3005</v>
      </c>
      <c r="I2786" t="s">
        <v>3134</v>
      </c>
    </row>
    <row r="2787" customHeight="1" ht="14.0">
      <c r="A2787" t="s">
        <v>5973</v>
      </c>
      <c r="B2787" s="153" t="s">
        <v>5974</v>
      </c>
      <c r="C2787">
        <v>0.0</v>
      </c>
      <c r="D2787">
        <v>0.0</v>
      </c>
      <c r="F2787" t="s">
        <v>2994</v>
      </c>
      <c r="G2787" t="s">
        <v>2943</v>
      </c>
      <c r="H2787" t="s">
        <v>2944</v>
      </c>
    </row>
    <row r="2788" customHeight="1" ht="14.0">
      <c r="A2788" t="s">
        <v>2455</v>
      </c>
      <c r="B2788" s="153" t="s">
        <v>2456</v>
      </c>
      <c r="C2788">
        <v>0.0</v>
      </c>
      <c r="D2788">
        <v>0.0</v>
      </c>
      <c r="F2788" t="s">
        <v>2942</v>
      </c>
      <c r="G2788" t="s">
        <v>2943</v>
      </c>
      <c r="H2788" t="s">
        <v>2944</v>
      </c>
      <c r="I2788" t="s">
        <v>3153</v>
      </c>
    </row>
    <row r="2789" customHeight="1" ht="14.0">
      <c r="A2789" t="s">
        <v>2457</v>
      </c>
      <c r="B2789" s="153" t="s">
        <v>2458</v>
      </c>
      <c r="C2789">
        <v>0.0</v>
      </c>
      <c r="D2789">
        <v>0.0</v>
      </c>
      <c r="F2789" t="s">
        <v>2942</v>
      </c>
      <c r="G2789" t="s">
        <v>2943</v>
      </c>
      <c r="H2789" t="s">
        <v>2944</v>
      </c>
      <c r="I2789" t="s">
        <v>3153</v>
      </c>
    </row>
    <row r="2790" customHeight="1" ht="14.0">
      <c r="A2790" t="s">
        <v>2459</v>
      </c>
      <c r="B2790" s="153" t="s">
        <v>2460</v>
      </c>
      <c r="C2790">
        <v>0.0</v>
      </c>
      <c r="D2790">
        <v>0.0</v>
      </c>
      <c r="F2790" t="s">
        <v>2942</v>
      </c>
      <c r="G2790" t="s">
        <v>2943</v>
      </c>
      <c r="H2790" t="s">
        <v>2944</v>
      </c>
      <c r="I2790" t="s">
        <v>3153</v>
      </c>
    </row>
    <row r="2791" customHeight="1" ht="14.0">
      <c r="A2791" t="s">
        <v>2461</v>
      </c>
      <c r="B2791" s="153" t="s">
        <v>2462</v>
      </c>
      <c r="C2791">
        <v>0.0</v>
      </c>
      <c r="D2791">
        <v>0.0</v>
      </c>
      <c r="F2791" t="s">
        <v>2942</v>
      </c>
      <c r="G2791" t="s">
        <v>2943</v>
      </c>
      <c r="H2791" t="s">
        <v>2944</v>
      </c>
      <c r="I2791" t="s">
        <v>3153</v>
      </c>
    </row>
    <row r="2792" customHeight="1" ht="14.0">
      <c r="A2792" t="s">
        <v>2463</v>
      </c>
      <c r="B2792" s="153" t="s">
        <v>2464</v>
      </c>
      <c r="C2792">
        <v>0.0</v>
      </c>
      <c r="D2792">
        <v>0.0</v>
      </c>
      <c r="F2792" t="s">
        <v>2942</v>
      </c>
      <c r="G2792" t="s">
        <v>2943</v>
      </c>
      <c r="H2792" t="s">
        <v>2944</v>
      </c>
      <c r="I2792" t="s">
        <v>3153</v>
      </c>
    </row>
    <row r="2793" customHeight="1" ht="14.0">
      <c r="A2793" t="s">
        <v>2465</v>
      </c>
      <c r="B2793" s="153" t="s">
        <v>2466</v>
      </c>
      <c r="C2793">
        <v>0.0</v>
      </c>
      <c r="D2793">
        <v>0.0</v>
      </c>
      <c r="F2793" t="s">
        <v>2942</v>
      </c>
      <c r="G2793" t="s">
        <v>2943</v>
      </c>
      <c r="H2793" t="s">
        <v>2944</v>
      </c>
      <c r="I2793" t="s">
        <v>3153</v>
      </c>
    </row>
    <row r="2794" customHeight="1" ht="14.0">
      <c r="A2794" t="s">
        <v>2467</v>
      </c>
      <c r="B2794" s="153" t="s">
        <v>2468</v>
      </c>
      <c r="C2794">
        <v>281.0</v>
      </c>
      <c r="D2794">
        <v>1873.62</v>
      </c>
      <c r="E2794">
        <v>6.6677</v>
      </c>
      <c r="F2794" t="s">
        <v>2942</v>
      </c>
      <c r="G2794" t="s">
        <v>2962</v>
      </c>
      <c r="H2794" t="s">
        <v>3005</v>
      </c>
      <c r="I2794" t="s">
        <v>3804</v>
      </c>
    </row>
    <row r="2795" customHeight="1" ht="14.0">
      <c r="A2795" t="s">
        <v>5975</v>
      </c>
      <c r="B2795" s="153">
        <v>32511.0</v>
      </c>
      <c r="C2795">
        <v>0.0</v>
      </c>
      <c r="D2795">
        <v>0.0</v>
      </c>
      <c r="F2795" t="s">
        <v>2942</v>
      </c>
      <c r="G2795" t="s">
        <v>2943</v>
      </c>
      <c r="H2795" t="s">
        <v>2944</v>
      </c>
      <c r="I2795" t="s">
        <v>3442</v>
      </c>
    </row>
    <row r="2796" customHeight="1" ht="14.0">
      <c r="A2796" t="s">
        <v>5976</v>
      </c>
      <c r="B2796" s="153">
        <v>32502.0</v>
      </c>
      <c r="C2796">
        <v>0.0</v>
      </c>
      <c r="D2796">
        <v>0.0</v>
      </c>
      <c r="F2796" t="s">
        <v>2942</v>
      </c>
      <c r="G2796" t="s">
        <v>2943</v>
      </c>
      <c r="H2796" t="s">
        <v>2944</v>
      </c>
      <c r="I2796" t="s">
        <v>3442</v>
      </c>
    </row>
    <row r="2797" customHeight="1" ht="14.0">
      <c r="A2797" t="s">
        <v>2469</v>
      </c>
      <c r="B2797" s="153" t="s">
        <v>2470</v>
      </c>
      <c r="C2797">
        <v>0.0</v>
      </c>
      <c r="D2797">
        <v>0.0</v>
      </c>
      <c r="F2797" t="s">
        <v>2942</v>
      </c>
      <c r="G2797" t="s">
        <v>2943</v>
      </c>
      <c r="H2797" t="s">
        <v>2944</v>
      </c>
      <c r="I2797" t="s">
        <v>3153</v>
      </c>
    </row>
    <row r="2798" customHeight="1" ht="14.0">
      <c r="A2798" t="s">
        <v>5977</v>
      </c>
      <c r="B2798" s="153" t="s">
        <v>5978</v>
      </c>
      <c r="C2798">
        <v>0.0</v>
      </c>
      <c r="D2798">
        <v>0.0</v>
      </c>
      <c r="F2798" t="s">
        <v>2942</v>
      </c>
      <c r="G2798" t="s">
        <v>2943</v>
      </c>
      <c r="H2798" t="s">
        <v>2944</v>
      </c>
      <c r="I2798" t="s">
        <v>3153</v>
      </c>
    </row>
    <row r="2799" customHeight="1" ht="14.0">
      <c r="A2799" t="s">
        <v>2471</v>
      </c>
      <c r="B2799" s="153" t="s">
        <v>2472</v>
      </c>
      <c r="C2799">
        <v>0.0</v>
      </c>
      <c r="D2799">
        <v>0.0</v>
      </c>
      <c r="F2799" t="s">
        <v>2942</v>
      </c>
      <c r="G2799" t="s">
        <v>2943</v>
      </c>
      <c r="H2799" t="s">
        <v>2944</v>
      </c>
      <c r="I2799" t="s">
        <v>3153</v>
      </c>
    </row>
    <row r="2800" customHeight="1" ht="14.0">
      <c r="A2800" t="s">
        <v>5979</v>
      </c>
      <c r="B2800" s="153" t="s">
        <v>5980</v>
      </c>
      <c r="C2800">
        <v>0.0</v>
      </c>
      <c r="D2800">
        <v>0.0</v>
      </c>
      <c r="F2800" t="s">
        <v>2942</v>
      </c>
      <c r="G2800" t="s">
        <v>2943</v>
      </c>
      <c r="H2800" t="s">
        <v>2944</v>
      </c>
      <c r="I2800" t="s">
        <v>3153</v>
      </c>
    </row>
    <row r="2801" customHeight="1" ht="14.0">
      <c r="A2801" t="s">
        <v>5981</v>
      </c>
      <c r="B2801" s="153" t="s">
        <v>5982</v>
      </c>
      <c r="C2801">
        <v>345.0</v>
      </c>
      <c r="D2801">
        <v>1658.32</v>
      </c>
      <c r="E2801">
        <v>4.8067</v>
      </c>
      <c r="F2801" t="s">
        <v>2942</v>
      </c>
      <c r="G2801" t="s">
        <v>2962</v>
      </c>
      <c r="H2801" t="s">
        <v>3005</v>
      </c>
      <c r="I2801" t="s">
        <v>3006</v>
      </c>
    </row>
    <row r="2802" customHeight="1" ht="14.0">
      <c r="A2802" t="s">
        <v>5983</v>
      </c>
      <c r="B2802" s="153" t="s">
        <v>5984</v>
      </c>
      <c r="C2802">
        <v>6.0</v>
      </c>
      <c r="D2802">
        <v>2.4</v>
      </c>
      <c r="E2802">
        <v>0.4</v>
      </c>
      <c r="F2802" t="s">
        <v>2942</v>
      </c>
      <c r="G2802" t="s">
        <v>2962</v>
      </c>
      <c r="H2802" t="s">
        <v>3161</v>
      </c>
      <c r="I2802" t="s">
        <v>3366</v>
      </c>
    </row>
    <row r="2803" customHeight="1" ht="14.0">
      <c r="A2803" t="s">
        <v>2475</v>
      </c>
      <c r="B2803" s="153" t="s">
        <v>2476</v>
      </c>
      <c r="C2803">
        <v>185.0</v>
      </c>
      <c r="D2803">
        <v>1258.22</v>
      </c>
      <c r="E2803">
        <v>6.8012</v>
      </c>
      <c r="F2803" t="s">
        <v>2942</v>
      </c>
      <c r="G2803" t="s">
        <v>2962</v>
      </c>
      <c r="H2803" t="s">
        <v>3005</v>
      </c>
      <c r="I2803" t="s">
        <v>3134</v>
      </c>
    </row>
    <row r="2804" customHeight="1" ht="14.0">
      <c r="A2804" t="s">
        <v>2477</v>
      </c>
      <c r="B2804" s="153" t="s">
        <v>2478</v>
      </c>
      <c r="C2804">
        <v>326.0</v>
      </c>
      <c r="D2804">
        <v>2215.63</v>
      </c>
      <c r="E2804">
        <v>6.7964</v>
      </c>
      <c r="F2804" t="s">
        <v>2942</v>
      </c>
      <c r="G2804" t="s">
        <v>2962</v>
      </c>
      <c r="H2804" t="s">
        <v>3005</v>
      </c>
      <c r="I2804" t="s">
        <v>3134</v>
      </c>
    </row>
    <row r="2805" customHeight="1" ht="14.0">
      <c r="A2805" t="s">
        <v>2479</v>
      </c>
      <c r="B2805" s="153" t="s">
        <v>2480</v>
      </c>
      <c r="C2805">
        <v>267.0</v>
      </c>
      <c r="D2805">
        <v>1783.51</v>
      </c>
      <c r="E2805">
        <v>6.6798</v>
      </c>
      <c r="F2805" t="s">
        <v>2942</v>
      </c>
      <c r="G2805" t="s">
        <v>2962</v>
      </c>
      <c r="H2805" t="s">
        <v>3005</v>
      </c>
      <c r="I2805" t="s">
        <v>3134</v>
      </c>
    </row>
    <row r="2806" customHeight="1" ht="14.0">
      <c r="A2806" t="s">
        <v>2481</v>
      </c>
      <c r="B2806" s="153" t="s">
        <v>2482</v>
      </c>
      <c r="C2806">
        <v>474.0</v>
      </c>
      <c r="D2806">
        <v>3166.23</v>
      </c>
      <c r="E2806">
        <v>6.6798</v>
      </c>
      <c r="F2806" t="s">
        <v>2942</v>
      </c>
      <c r="G2806" t="s">
        <v>2962</v>
      </c>
      <c r="H2806" t="s">
        <v>3005</v>
      </c>
      <c r="I2806" t="s">
        <v>3134</v>
      </c>
    </row>
    <row r="2807" customHeight="1" ht="14.0">
      <c r="A2807" t="s">
        <v>5985</v>
      </c>
      <c r="B2807" s="153" t="s">
        <v>5986</v>
      </c>
      <c r="C2807">
        <v>0.0</v>
      </c>
      <c r="D2807">
        <v>0.0</v>
      </c>
      <c r="F2807" t="s">
        <v>2942</v>
      </c>
      <c r="G2807" t="s">
        <v>2943</v>
      </c>
      <c r="H2807" t="s">
        <v>2944</v>
      </c>
      <c r="I2807" t="s">
        <v>3153</v>
      </c>
    </row>
    <row r="2808" customHeight="1" ht="14.0">
      <c r="A2808" t="s">
        <v>5987</v>
      </c>
      <c r="B2808" s="153" t="s">
        <v>5988</v>
      </c>
      <c r="C2808">
        <v>0.0</v>
      </c>
      <c r="D2808">
        <v>0.0</v>
      </c>
      <c r="F2808" t="s">
        <v>2994</v>
      </c>
      <c r="G2808" t="s">
        <v>2962</v>
      </c>
      <c r="H2808" t="s">
        <v>3161</v>
      </c>
      <c r="I2808" t="s">
        <v>289</v>
      </c>
    </row>
    <row r="2809" customHeight="1" ht="14.0">
      <c r="A2809" t="s">
        <v>2483</v>
      </c>
      <c r="B2809" s="153" t="s">
        <v>2484</v>
      </c>
      <c r="C2809">
        <v>0.0</v>
      </c>
      <c r="D2809">
        <v>0.0</v>
      </c>
      <c r="F2809" t="s">
        <v>2942</v>
      </c>
      <c r="G2809" t="s">
        <v>2962</v>
      </c>
      <c r="H2809" t="s">
        <v>2963</v>
      </c>
      <c r="I2809" t="s">
        <v>3700</v>
      </c>
    </row>
    <row r="2810" customHeight="1" ht="14.0">
      <c r="A2810" t="s">
        <v>2485</v>
      </c>
      <c r="B2810" s="153" t="s">
        <v>2486</v>
      </c>
      <c r="C2810">
        <v>0.0</v>
      </c>
      <c r="D2810">
        <v>0.0</v>
      </c>
      <c r="F2810" t="s">
        <v>2942</v>
      </c>
      <c r="G2810" t="s">
        <v>2943</v>
      </c>
      <c r="H2810" t="s">
        <v>2963</v>
      </c>
      <c r="I2810" t="s">
        <v>3700</v>
      </c>
    </row>
    <row r="2811" customHeight="1" ht="14.0">
      <c r="A2811" t="s">
        <v>2487</v>
      </c>
      <c r="B2811" s="153" t="s">
        <v>2488</v>
      </c>
      <c r="C2811">
        <v>0.0</v>
      </c>
      <c r="D2811">
        <v>0.0</v>
      </c>
      <c r="F2811" t="s">
        <v>2942</v>
      </c>
      <c r="G2811" t="s">
        <v>2943</v>
      </c>
      <c r="H2811" t="s">
        <v>2963</v>
      </c>
      <c r="I2811" t="s">
        <v>3700</v>
      </c>
    </row>
    <row r="2812" customHeight="1" ht="14.0">
      <c r="A2812" t="s">
        <v>5989</v>
      </c>
      <c r="B2812" s="153" t="s">
        <v>5990</v>
      </c>
      <c r="C2812">
        <v>313.0</v>
      </c>
      <c r="D2812">
        <v>1324.43</v>
      </c>
      <c r="E2812">
        <v>4.2314</v>
      </c>
      <c r="F2812" t="s">
        <v>2942</v>
      </c>
      <c r="G2812" t="s">
        <v>2962</v>
      </c>
      <c r="H2812" t="s">
        <v>2984</v>
      </c>
      <c r="I2812" t="s">
        <v>682</v>
      </c>
    </row>
    <row r="2813" customHeight="1" ht="14.0">
      <c r="A2813" t="s">
        <v>5991</v>
      </c>
      <c r="B2813" s="153" t="s">
        <v>5992</v>
      </c>
      <c r="C2813">
        <v>0.0</v>
      </c>
      <c r="D2813">
        <v>0.0</v>
      </c>
      <c r="F2813" t="s">
        <v>2942</v>
      </c>
      <c r="G2813" t="s">
        <v>2943</v>
      </c>
      <c r="H2813" t="s">
        <v>2944</v>
      </c>
      <c r="I2813" t="s">
        <v>5443</v>
      </c>
    </row>
    <row r="2814" customHeight="1" ht="14.0">
      <c r="A2814" t="s">
        <v>742</v>
      </c>
      <c r="B2814" s="153" t="s">
        <v>743</v>
      </c>
      <c r="C2814">
        <v>505.0</v>
      </c>
      <c r="D2814">
        <v>2113.86</v>
      </c>
      <c r="E2814">
        <v>4.1859</v>
      </c>
      <c r="F2814" t="s">
        <v>2942</v>
      </c>
      <c r="G2814" t="s">
        <v>2962</v>
      </c>
      <c r="H2814" t="s">
        <v>30</v>
      </c>
      <c r="I2814" t="s">
        <v>682</v>
      </c>
    </row>
    <row r="2815" customHeight="1" ht="14.0">
      <c r="A2815" t="s">
        <v>740</v>
      </c>
      <c r="B2815" s="153" t="s">
        <v>741</v>
      </c>
      <c r="C2815">
        <v>466.0</v>
      </c>
      <c r="D2815">
        <v>1929.83</v>
      </c>
      <c r="E2815">
        <v>4.1413</v>
      </c>
      <c r="F2815" t="s">
        <v>2942</v>
      </c>
      <c r="G2815" t="s">
        <v>2962</v>
      </c>
      <c r="H2815" t="s">
        <v>30</v>
      </c>
      <c r="I2815" t="s">
        <v>682</v>
      </c>
    </row>
    <row r="2816" customHeight="1" ht="14.0">
      <c r="A2816" t="s">
        <v>1728</v>
      </c>
      <c r="B2816" s="153" t="s">
        <v>1729</v>
      </c>
      <c r="C2816">
        <v>0.0</v>
      </c>
      <c r="D2816">
        <v>0.0</v>
      </c>
      <c r="F2816" t="s">
        <v>2942</v>
      </c>
      <c r="G2816" t="s">
        <v>2962</v>
      </c>
      <c r="H2816" t="s">
        <v>2963</v>
      </c>
      <c r="I2816" t="s">
        <v>682</v>
      </c>
    </row>
    <row r="2817" customHeight="1" ht="14.0">
      <c r="A2817" t="s">
        <v>5993</v>
      </c>
      <c r="B2817" s="153" t="s">
        <v>5994</v>
      </c>
      <c r="C2817">
        <v>0.0</v>
      </c>
      <c r="D2817">
        <v>0.0</v>
      </c>
      <c r="F2817" t="s">
        <v>2942</v>
      </c>
      <c r="G2817" t="s">
        <v>2962</v>
      </c>
      <c r="H2817" t="s">
        <v>2963</v>
      </c>
      <c r="I2817" t="s">
        <v>682</v>
      </c>
    </row>
    <row r="2818" customHeight="1" ht="14.0">
      <c r="A2818" t="s">
        <v>695</v>
      </c>
      <c r="B2818" s="153" t="s">
        <v>696</v>
      </c>
      <c r="C2818">
        <v>130.0</v>
      </c>
      <c r="D2818">
        <v>538.73</v>
      </c>
      <c r="E2818">
        <v>4.1441</v>
      </c>
      <c r="F2818" t="s">
        <v>2942</v>
      </c>
      <c r="G2818" t="s">
        <v>2962</v>
      </c>
      <c r="H2818" t="s">
        <v>30</v>
      </c>
      <c r="I2818" t="s">
        <v>682</v>
      </c>
    </row>
    <row r="2819" customHeight="1" ht="14.0">
      <c r="A2819" t="s">
        <v>5995</v>
      </c>
      <c r="B2819" s="153" t="s">
        <v>5996</v>
      </c>
      <c r="C2819">
        <v>5.0</v>
      </c>
      <c r="D2819">
        <v>22.01</v>
      </c>
      <c r="E2819">
        <v>4.402</v>
      </c>
      <c r="F2819" t="s">
        <v>2942</v>
      </c>
      <c r="G2819" t="s">
        <v>2962</v>
      </c>
      <c r="H2819" t="s">
        <v>2963</v>
      </c>
      <c r="I2819" t="s">
        <v>682</v>
      </c>
    </row>
    <row r="2820" customHeight="1" ht="14.0">
      <c r="A2820" t="s">
        <v>2489</v>
      </c>
      <c r="B2820" s="153" t="s">
        <v>2490</v>
      </c>
      <c r="C2820">
        <v>3.0</v>
      </c>
      <c r="D2820">
        <v>8.27</v>
      </c>
      <c r="E2820">
        <v>2.7567</v>
      </c>
      <c r="F2820" t="s">
        <v>2942</v>
      </c>
      <c r="G2820" t="s">
        <v>2943</v>
      </c>
      <c r="H2820" t="s">
        <v>2963</v>
      </c>
      <c r="I2820" t="s">
        <v>682</v>
      </c>
    </row>
    <row r="2821" customHeight="1" ht="14.0">
      <c r="A2821" t="s">
        <v>2491</v>
      </c>
      <c r="B2821" s="153" t="s">
        <v>2492</v>
      </c>
      <c r="C2821">
        <v>0.0</v>
      </c>
      <c r="D2821">
        <v>0.0</v>
      </c>
      <c r="F2821" t="s">
        <v>2942</v>
      </c>
      <c r="G2821" t="s">
        <v>2943</v>
      </c>
      <c r="H2821" t="s">
        <v>2963</v>
      </c>
      <c r="I2821" t="s">
        <v>682</v>
      </c>
    </row>
    <row r="2822" customHeight="1" ht="14.0">
      <c r="A2822" t="s">
        <v>2806</v>
      </c>
      <c r="B2822" s="153" t="s">
        <v>2807</v>
      </c>
      <c r="C2822">
        <v>32.0</v>
      </c>
      <c r="D2822">
        <v>135.69</v>
      </c>
      <c r="E2822">
        <v>4.2403</v>
      </c>
      <c r="F2822" t="s">
        <v>2942</v>
      </c>
      <c r="G2822" t="s">
        <v>2962</v>
      </c>
      <c r="H2822" t="s">
        <v>2984</v>
      </c>
      <c r="I2822" t="s">
        <v>682</v>
      </c>
    </row>
    <row r="2823" customHeight="1" ht="14.0">
      <c r="A2823" t="s">
        <v>2808</v>
      </c>
      <c r="B2823" s="153" t="s">
        <v>2809</v>
      </c>
      <c r="C2823">
        <v>35.0</v>
      </c>
      <c r="D2823">
        <v>148.35</v>
      </c>
      <c r="E2823">
        <v>4.2386</v>
      </c>
      <c r="F2823" t="s">
        <v>2942</v>
      </c>
      <c r="G2823" t="s">
        <v>2962</v>
      </c>
      <c r="H2823" t="s">
        <v>2984</v>
      </c>
      <c r="I2823" t="s">
        <v>682</v>
      </c>
    </row>
    <row r="2824" customHeight="1" ht="14.0">
      <c r="A2824" t="s">
        <v>5997</v>
      </c>
      <c r="B2824" s="153" t="s">
        <v>5998</v>
      </c>
      <c r="C2824">
        <v>429.0</v>
      </c>
      <c r="D2824">
        <v>1814.47</v>
      </c>
      <c r="E2824">
        <v>4.2295</v>
      </c>
      <c r="F2824" t="s">
        <v>2942</v>
      </c>
      <c r="G2824" t="s">
        <v>2962</v>
      </c>
      <c r="H2824" t="s">
        <v>2984</v>
      </c>
      <c r="I2824" t="s">
        <v>682</v>
      </c>
    </row>
    <row r="2825" customHeight="1" ht="14.0">
      <c r="A2825" t="s">
        <v>687</v>
      </c>
      <c r="B2825" s="153" t="s">
        <v>688</v>
      </c>
      <c r="C2825">
        <v>0.0</v>
      </c>
      <c r="D2825">
        <v>0.0</v>
      </c>
      <c r="F2825" t="s">
        <v>2942</v>
      </c>
      <c r="G2825" t="s">
        <v>2943</v>
      </c>
      <c r="H2825" t="s">
        <v>30</v>
      </c>
      <c r="I2825" t="s">
        <v>682</v>
      </c>
    </row>
    <row r="2826" customHeight="1" ht="14.0">
      <c r="A2826" t="s">
        <v>683</v>
      </c>
      <c r="B2826" s="153" t="s">
        <v>684</v>
      </c>
      <c r="C2826">
        <v>29.0</v>
      </c>
      <c r="D2826">
        <v>87.57</v>
      </c>
      <c r="E2826">
        <v>3.0197</v>
      </c>
      <c r="F2826" t="s">
        <v>2942</v>
      </c>
      <c r="G2826" t="s">
        <v>2962</v>
      </c>
      <c r="H2826" t="s">
        <v>30</v>
      </c>
      <c r="I2826" t="s">
        <v>682</v>
      </c>
    </row>
    <row r="2827" customHeight="1" ht="14.0">
      <c r="A2827" t="s">
        <v>685</v>
      </c>
      <c r="B2827" s="153" t="s">
        <v>686</v>
      </c>
      <c r="C2827">
        <v>554.0</v>
      </c>
      <c r="D2827">
        <v>2237.97</v>
      </c>
      <c r="E2827">
        <v>4.0397</v>
      </c>
      <c r="F2827" t="s">
        <v>2942</v>
      </c>
      <c r="G2827" t="s">
        <v>2962</v>
      </c>
      <c r="H2827" t="s">
        <v>30</v>
      </c>
      <c r="I2827" t="s">
        <v>682</v>
      </c>
    </row>
    <row r="2828" customHeight="1" ht="14.0">
      <c r="A2828" t="s">
        <v>2857</v>
      </c>
      <c r="B2828" s="153" t="s">
        <v>2858</v>
      </c>
      <c r="C2828">
        <v>323.0</v>
      </c>
      <c r="D2828">
        <v>1541.12</v>
      </c>
      <c r="E2828">
        <v>4.7713</v>
      </c>
      <c r="F2828" t="s">
        <v>2942</v>
      </c>
      <c r="G2828" t="s">
        <v>2962</v>
      </c>
      <c r="H2828" t="s">
        <v>2984</v>
      </c>
      <c r="I2828" t="s">
        <v>682</v>
      </c>
    </row>
    <row r="2829" customHeight="1" ht="14.0">
      <c r="A2829" t="s">
        <v>2493</v>
      </c>
      <c r="B2829" s="153" t="s">
        <v>2494</v>
      </c>
      <c r="C2829">
        <v>0.0</v>
      </c>
      <c r="D2829">
        <v>0.0</v>
      </c>
      <c r="F2829" t="s">
        <v>2942</v>
      </c>
      <c r="G2829" t="s">
        <v>2943</v>
      </c>
      <c r="H2829" t="s">
        <v>2963</v>
      </c>
      <c r="I2829" t="s">
        <v>682</v>
      </c>
    </row>
    <row r="2830" customHeight="1" ht="14.0">
      <c r="A2830" t="s">
        <v>5999</v>
      </c>
      <c r="B2830" s="153" t="s">
        <v>6000</v>
      </c>
      <c r="C2830">
        <v>0.0</v>
      </c>
      <c r="D2830">
        <v>0.0</v>
      </c>
      <c r="F2830" t="s">
        <v>2942</v>
      </c>
      <c r="G2830" t="s">
        <v>2943</v>
      </c>
      <c r="H2830" t="s">
        <v>2944</v>
      </c>
      <c r="I2830" t="s">
        <v>5443</v>
      </c>
    </row>
    <row r="2831" customHeight="1" ht="14.0">
      <c r="A2831" t="s">
        <v>2810</v>
      </c>
      <c r="B2831" s="153" t="s">
        <v>2811</v>
      </c>
      <c r="C2831">
        <v>12.0</v>
      </c>
      <c r="D2831">
        <v>51.21</v>
      </c>
      <c r="E2831">
        <v>4.2675</v>
      </c>
      <c r="F2831" t="s">
        <v>2942</v>
      </c>
      <c r="G2831" t="s">
        <v>2962</v>
      </c>
      <c r="H2831" t="s">
        <v>2984</v>
      </c>
      <c r="I2831" t="s">
        <v>682</v>
      </c>
    </row>
    <row r="2832" customHeight="1" ht="14.0">
      <c r="A2832" t="s">
        <v>2495</v>
      </c>
      <c r="B2832" s="153" t="s">
        <v>2496</v>
      </c>
      <c r="C2832">
        <v>3.0</v>
      </c>
      <c r="D2832">
        <v>8.27</v>
      </c>
      <c r="E2832">
        <v>2.7567</v>
      </c>
      <c r="F2832" t="s">
        <v>2942</v>
      </c>
      <c r="G2832" t="s">
        <v>2943</v>
      </c>
      <c r="H2832" t="s">
        <v>2963</v>
      </c>
      <c r="I2832" t="s">
        <v>682</v>
      </c>
    </row>
    <row r="2833" customHeight="1" ht="14.0">
      <c r="A2833" t="s">
        <v>2497</v>
      </c>
      <c r="B2833" s="153" t="s">
        <v>2498</v>
      </c>
      <c r="C2833">
        <v>2.0</v>
      </c>
      <c r="D2833">
        <v>5.95</v>
      </c>
      <c r="E2833">
        <v>2.975</v>
      </c>
      <c r="F2833" t="s">
        <v>2942</v>
      </c>
      <c r="G2833" t="s">
        <v>2943</v>
      </c>
      <c r="H2833" t="s">
        <v>2963</v>
      </c>
      <c r="I2833" t="s">
        <v>682</v>
      </c>
    </row>
    <row r="2834" customHeight="1" ht="14.0">
      <c r="A2834" t="s">
        <v>6001</v>
      </c>
      <c r="B2834" s="153" t="s">
        <v>6002</v>
      </c>
      <c r="C2834">
        <v>296.0</v>
      </c>
      <c r="D2834">
        <v>1303.62</v>
      </c>
      <c r="E2834">
        <v>4.4041</v>
      </c>
      <c r="F2834" t="s">
        <v>2942</v>
      </c>
      <c r="G2834" t="s">
        <v>2962</v>
      </c>
      <c r="H2834" t="s">
        <v>2984</v>
      </c>
      <c r="I2834" t="s">
        <v>682</v>
      </c>
    </row>
    <row r="2835" customHeight="1" ht="14.0">
      <c r="A2835" t="s">
        <v>6003</v>
      </c>
      <c r="B2835" s="153" t="s">
        <v>6004</v>
      </c>
      <c r="C2835">
        <v>0.0</v>
      </c>
      <c r="D2835">
        <v>0.0</v>
      </c>
      <c r="F2835" t="s">
        <v>2942</v>
      </c>
      <c r="G2835" t="s">
        <v>2943</v>
      </c>
      <c r="H2835" t="s">
        <v>2944</v>
      </c>
      <c r="I2835" t="s">
        <v>5443</v>
      </c>
    </row>
    <row r="2836" customHeight="1" ht="14.0">
      <c r="A2836" t="s">
        <v>2499</v>
      </c>
      <c r="B2836" s="153" t="s">
        <v>2500</v>
      </c>
      <c r="C2836">
        <v>0.0</v>
      </c>
      <c r="D2836">
        <v>0.0</v>
      </c>
      <c r="F2836" t="s">
        <v>2942</v>
      </c>
      <c r="G2836" t="s">
        <v>2943</v>
      </c>
      <c r="H2836" t="s">
        <v>2963</v>
      </c>
      <c r="I2836" t="s">
        <v>682</v>
      </c>
    </row>
    <row r="2837" customHeight="1" ht="14.0">
      <c r="A2837" t="s">
        <v>6005</v>
      </c>
      <c r="B2837" s="153" t="s">
        <v>6006</v>
      </c>
      <c r="C2837">
        <v>134.0</v>
      </c>
      <c r="D2837">
        <v>566.97</v>
      </c>
      <c r="E2837">
        <v>4.2311</v>
      </c>
      <c r="F2837" t="s">
        <v>2942</v>
      </c>
      <c r="G2837" t="s">
        <v>2962</v>
      </c>
      <c r="H2837" t="s">
        <v>2984</v>
      </c>
      <c r="I2837" t="s">
        <v>682</v>
      </c>
    </row>
    <row r="2838" customHeight="1" ht="14.0">
      <c r="A2838" t="s">
        <v>6007</v>
      </c>
      <c r="B2838" s="153" t="s">
        <v>1724</v>
      </c>
      <c r="C2838">
        <v>334.0</v>
      </c>
      <c r="D2838">
        <v>1383.3</v>
      </c>
      <c r="E2838">
        <v>4.1416</v>
      </c>
      <c r="F2838" t="s">
        <v>2942</v>
      </c>
      <c r="G2838" t="s">
        <v>2962</v>
      </c>
      <c r="H2838" t="s">
        <v>2963</v>
      </c>
      <c r="I2838" t="s">
        <v>682</v>
      </c>
    </row>
    <row r="2839" customHeight="1" ht="14.0">
      <c r="A2839" t="s">
        <v>691</v>
      </c>
      <c r="B2839" s="153" t="s">
        <v>692</v>
      </c>
      <c r="C2839">
        <v>54.0</v>
      </c>
      <c r="D2839">
        <v>223.98</v>
      </c>
      <c r="E2839">
        <v>4.1478</v>
      </c>
      <c r="F2839" t="s">
        <v>2942</v>
      </c>
      <c r="G2839" t="s">
        <v>2962</v>
      </c>
      <c r="H2839" t="s">
        <v>30</v>
      </c>
      <c r="I2839" t="s">
        <v>682</v>
      </c>
    </row>
    <row r="2840" customHeight="1" ht="14.0">
      <c r="A2840" t="s">
        <v>689</v>
      </c>
      <c r="B2840" s="153" t="s">
        <v>690</v>
      </c>
      <c r="C2840">
        <v>4.0</v>
      </c>
      <c r="D2840">
        <v>16.0</v>
      </c>
      <c r="E2840">
        <v>4.0</v>
      </c>
      <c r="F2840" t="s">
        <v>2942</v>
      </c>
      <c r="G2840" t="s">
        <v>2962</v>
      </c>
      <c r="H2840" t="s">
        <v>30</v>
      </c>
      <c r="I2840" t="s">
        <v>682</v>
      </c>
    </row>
    <row r="2841" customHeight="1" ht="14.0">
      <c r="A2841" t="s">
        <v>697</v>
      </c>
      <c r="B2841" s="153" t="s">
        <v>698</v>
      </c>
      <c r="C2841">
        <v>166.0</v>
      </c>
      <c r="D2841">
        <v>688.17</v>
      </c>
      <c r="E2841">
        <v>4.1456</v>
      </c>
      <c r="F2841" t="s">
        <v>2942</v>
      </c>
      <c r="G2841" t="s">
        <v>2962</v>
      </c>
      <c r="H2841" t="s">
        <v>2963</v>
      </c>
      <c r="I2841" t="s">
        <v>682</v>
      </c>
    </row>
    <row r="2842" customHeight="1" ht="14.0">
      <c r="A2842" t="s">
        <v>693</v>
      </c>
      <c r="B2842" s="153" t="s">
        <v>694</v>
      </c>
      <c r="C2842">
        <v>12.0</v>
      </c>
      <c r="D2842">
        <v>41.28</v>
      </c>
      <c r="E2842">
        <v>3.44</v>
      </c>
      <c r="F2842" t="s">
        <v>2942</v>
      </c>
      <c r="G2842" t="s">
        <v>2962</v>
      </c>
      <c r="H2842" t="s">
        <v>2963</v>
      </c>
      <c r="I2842" t="s">
        <v>682</v>
      </c>
    </row>
    <row r="2843" customHeight="1" ht="14.0">
      <c r="A2843" t="s">
        <v>6008</v>
      </c>
      <c r="B2843" s="153" t="s">
        <v>6009</v>
      </c>
      <c r="C2843">
        <v>168.0</v>
      </c>
      <c r="D2843">
        <v>85.68</v>
      </c>
      <c r="E2843">
        <v>0.51</v>
      </c>
      <c r="F2843" t="s">
        <v>2942</v>
      </c>
      <c r="G2843" t="s">
        <v>2962</v>
      </c>
      <c r="H2843" t="s">
        <v>3161</v>
      </c>
      <c r="I2843" t="s">
        <v>3366</v>
      </c>
    </row>
    <row r="2844" customHeight="1" ht="14.0">
      <c r="A2844" t="s">
        <v>6010</v>
      </c>
      <c r="B2844" s="153" t="s">
        <v>6011</v>
      </c>
      <c r="C2844">
        <v>36.0</v>
      </c>
      <c r="D2844">
        <v>19.44</v>
      </c>
      <c r="E2844">
        <v>0.54</v>
      </c>
      <c r="F2844" t="s">
        <v>2942</v>
      </c>
      <c r="G2844" t="s">
        <v>2962</v>
      </c>
      <c r="H2844" t="s">
        <v>3161</v>
      </c>
      <c r="I2844" t="s">
        <v>3366</v>
      </c>
    </row>
    <row r="2845" customHeight="1" ht="14.0">
      <c r="A2845" t="s">
        <v>2501</v>
      </c>
      <c r="B2845" s="153">
        <v>35801.0</v>
      </c>
      <c r="C2845">
        <v>15.0</v>
      </c>
      <c r="D2845">
        <v>93.59</v>
      </c>
      <c r="E2845">
        <v>6.2393</v>
      </c>
      <c r="F2845" t="s">
        <v>2942</v>
      </c>
      <c r="G2845" t="s">
        <v>2962</v>
      </c>
      <c r="H2845" t="s">
        <v>3741</v>
      </c>
      <c r="I2845" t="s">
        <v>3442</v>
      </c>
    </row>
    <row r="2846" customHeight="1" ht="14.0">
      <c r="A2846" t="s">
        <v>2502</v>
      </c>
      <c r="B2846" s="153">
        <v>35804.0</v>
      </c>
      <c r="C2846">
        <v>0.0</v>
      </c>
      <c r="D2846">
        <v>0.0</v>
      </c>
      <c r="F2846" t="s">
        <v>2942</v>
      </c>
      <c r="G2846" t="s">
        <v>2962</v>
      </c>
      <c r="H2846" t="s">
        <v>3741</v>
      </c>
      <c r="I2846" t="s">
        <v>3442</v>
      </c>
    </row>
    <row r="2847" customHeight="1" ht="14.0">
      <c r="A2847" t="s">
        <v>2503</v>
      </c>
      <c r="B2847" s="153">
        <v>35805.0</v>
      </c>
      <c r="C2847">
        <v>56.0</v>
      </c>
      <c r="D2847">
        <v>349.23</v>
      </c>
      <c r="E2847">
        <v>6.2363</v>
      </c>
      <c r="F2847" t="s">
        <v>2942</v>
      </c>
      <c r="G2847" t="s">
        <v>2962</v>
      </c>
      <c r="H2847" t="s">
        <v>3741</v>
      </c>
      <c r="I2847" t="s">
        <v>3442</v>
      </c>
    </row>
    <row r="2848" customHeight="1" ht="14.0">
      <c r="A2848" t="s">
        <v>2504</v>
      </c>
      <c r="B2848" s="153" t="s">
        <v>2505</v>
      </c>
      <c r="C2848">
        <v>0.0</v>
      </c>
      <c r="D2848">
        <v>0.0</v>
      </c>
      <c r="F2848" t="s">
        <v>2994</v>
      </c>
      <c r="G2848" t="s">
        <v>2962</v>
      </c>
      <c r="H2848" t="s">
        <v>3741</v>
      </c>
      <c r="I2848" t="s">
        <v>3442</v>
      </c>
    </row>
    <row r="2849" customHeight="1" ht="14.0">
      <c r="A2849" t="s">
        <v>2506</v>
      </c>
      <c r="B2849" s="153" t="s">
        <v>2507</v>
      </c>
      <c r="C2849">
        <v>79.0</v>
      </c>
      <c r="D2849">
        <v>32.89</v>
      </c>
      <c r="E2849">
        <v>0.4163</v>
      </c>
      <c r="F2849" t="s">
        <v>2942</v>
      </c>
      <c r="G2849" t="s">
        <v>2962</v>
      </c>
      <c r="H2849" t="s">
        <v>3741</v>
      </c>
      <c r="I2849" t="s">
        <v>3442</v>
      </c>
    </row>
    <row r="2850" customHeight="1" ht="14.0">
      <c r="A2850" t="s">
        <v>2927</v>
      </c>
      <c r="B2850" s="153" t="s">
        <v>2928</v>
      </c>
      <c r="C2850">
        <v>0.0</v>
      </c>
      <c r="D2850">
        <v>0.0</v>
      </c>
      <c r="F2850" t="s">
        <v>2942</v>
      </c>
      <c r="G2850" t="s">
        <v>2962</v>
      </c>
      <c r="H2850" t="s">
        <v>2984</v>
      </c>
      <c r="I2850" t="s">
        <v>272</v>
      </c>
    </row>
    <row r="2851" customHeight="1" ht="14.0">
      <c r="A2851" t="s">
        <v>6012</v>
      </c>
      <c r="B2851" s="153" t="s">
        <v>6013</v>
      </c>
      <c r="C2851">
        <v>0.0</v>
      </c>
      <c r="D2851">
        <v>0.0</v>
      </c>
      <c r="F2851" t="s">
        <v>2942</v>
      </c>
      <c r="G2851" t="s">
        <v>2943</v>
      </c>
      <c r="H2851" t="s">
        <v>2963</v>
      </c>
      <c r="I2851" t="s">
        <v>272</v>
      </c>
    </row>
    <row r="2852" customHeight="1" ht="14.0">
      <c r="A2852" t="s">
        <v>6014</v>
      </c>
      <c r="B2852" s="153" t="s">
        <v>6015</v>
      </c>
      <c r="C2852">
        <v>177.0</v>
      </c>
      <c r="D2852">
        <v>170.25</v>
      </c>
      <c r="E2852">
        <v>0.9619</v>
      </c>
      <c r="F2852" t="s">
        <v>2942</v>
      </c>
      <c r="G2852" t="s">
        <v>2962</v>
      </c>
      <c r="H2852" t="s">
        <v>2984</v>
      </c>
      <c r="I2852" t="s">
        <v>272</v>
      </c>
    </row>
    <row r="2853" customHeight="1" ht="14.0">
      <c r="A2853" t="s">
        <v>6016</v>
      </c>
      <c r="B2853" s="153" t="s">
        <v>6017</v>
      </c>
      <c r="C2853">
        <v>0.0</v>
      </c>
      <c r="D2853">
        <v>0.0</v>
      </c>
      <c r="F2853" t="s">
        <v>2942</v>
      </c>
      <c r="G2853" t="s">
        <v>2943</v>
      </c>
      <c r="H2853" t="s">
        <v>2963</v>
      </c>
      <c r="I2853" t="s">
        <v>272</v>
      </c>
    </row>
    <row r="2854" customHeight="1" ht="14.0">
      <c r="A2854" t="s">
        <v>6018</v>
      </c>
      <c r="B2854" s="153" t="s">
        <v>6019</v>
      </c>
      <c r="C2854">
        <v>0.0</v>
      </c>
      <c r="D2854">
        <v>0.0</v>
      </c>
      <c r="F2854" t="s">
        <v>2942</v>
      </c>
      <c r="G2854" t="s">
        <v>2962</v>
      </c>
      <c r="H2854" t="s">
        <v>2984</v>
      </c>
      <c r="I2854" t="s">
        <v>272</v>
      </c>
    </row>
    <row r="2855" customHeight="1" ht="14.0">
      <c r="A2855" t="s">
        <v>6020</v>
      </c>
      <c r="B2855" s="153" t="s">
        <v>6021</v>
      </c>
      <c r="C2855">
        <v>0.0</v>
      </c>
      <c r="D2855">
        <v>0.0</v>
      </c>
      <c r="F2855" t="s">
        <v>2942</v>
      </c>
      <c r="G2855" t="s">
        <v>2943</v>
      </c>
      <c r="H2855" t="s">
        <v>2963</v>
      </c>
      <c r="I2855" t="s">
        <v>272</v>
      </c>
    </row>
    <row r="2856" customHeight="1" ht="14.0">
      <c r="A2856" t="s">
        <v>2925</v>
      </c>
      <c r="B2856" s="153" t="s">
        <v>2926</v>
      </c>
      <c r="C2856">
        <v>0.0</v>
      </c>
      <c r="D2856">
        <v>0.0</v>
      </c>
      <c r="F2856" t="s">
        <v>2942</v>
      </c>
      <c r="G2856" t="s">
        <v>2962</v>
      </c>
      <c r="H2856" t="s">
        <v>2984</v>
      </c>
      <c r="I2856" t="s">
        <v>272</v>
      </c>
    </row>
    <row r="2857" customHeight="1" ht="14.0">
      <c r="A2857" t="s">
        <v>6022</v>
      </c>
      <c r="B2857" s="153" t="s">
        <v>6023</v>
      </c>
      <c r="C2857">
        <v>42.0</v>
      </c>
      <c r="D2857">
        <v>40.26</v>
      </c>
      <c r="E2857">
        <v>0.9586</v>
      </c>
      <c r="F2857" t="s">
        <v>2942</v>
      </c>
      <c r="G2857" t="s">
        <v>2962</v>
      </c>
      <c r="H2857" t="s">
        <v>2984</v>
      </c>
      <c r="I2857" t="s">
        <v>272</v>
      </c>
    </row>
    <row r="2858" customHeight="1" ht="14.0">
      <c r="A2858" t="s">
        <v>6024</v>
      </c>
      <c r="B2858" s="153" t="s">
        <v>6025</v>
      </c>
      <c r="C2858">
        <v>73.0</v>
      </c>
      <c r="D2858">
        <v>70.85</v>
      </c>
      <c r="E2858">
        <v>0.9705</v>
      </c>
      <c r="F2858" t="s">
        <v>2942</v>
      </c>
      <c r="G2858" t="s">
        <v>2962</v>
      </c>
      <c r="H2858" t="s">
        <v>2963</v>
      </c>
      <c r="I2858" t="s">
        <v>272</v>
      </c>
    </row>
    <row r="2859" customHeight="1" ht="14.0">
      <c r="A2859" t="s">
        <v>6026</v>
      </c>
      <c r="B2859" s="153" t="s">
        <v>6027</v>
      </c>
      <c r="C2859">
        <v>28.0</v>
      </c>
      <c r="D2859">
        <v>126.0</v>
      </c>
      <c r="E2859">
        <v>4.5</v>
      </c>
      <c r="F2859" t="s">
        <v>2942</v>
      </c>
      <c r="G2859" t="s">
        <v>2962</v>
      </c>
      <c r="I2859" t="s">
        <v>197</v>
      </c>
    </row>
    <row r="2860" customHeight="1" ht="14.0">
      <c r="A2860" t="s">
        <v>6028</v>
      </c>
      <c r="B2860" s="153" t="s">
        <v>6029</v>
      </c>
      <c r="C2860">
        <v>1.0</v>
      </c>
      <c r="D2860">
        <v>14.49</v>
      </c>
      <c r="E2860">
        <v>14.49</v>
      </c>
      <c r="F2860" t="s">
        <v>2942</v>
      </c>
      <c r="G2860" t="s">
        <v>2962</v>
      </c>
      <c r="H2860" t="s">
        <v>2984</v>
      </c>
      <c r="I2860" t="s">
        <v>272</v>
      </c>
    </row>
    <row r="2861" customHeight="1" ht="14.0">
      <c r="A2861" t="s">
        <v>6030</v>
      </c>
      <c r="B2861" s="153" t="s">
        <v>6031</v>
      </c>
      <c r="C2861">
        <v>0.0</v>
      </c>
      <c r="D2861">
        <v>0.0</v>
      </c>
      <c r="F2861" t="s">
        <v>2942</v>
      </c>
      <c r="G2861" t="s">
        <v>2943</v>
      </c>
      <c r="H2861" t="s">
        <v>2944</v>
      </c>
      <c r="I2861" t="s">
        <v>197</v>
      </c>
    </row>
    <row r="2862" customHeight="1" ht="14.0">
      <c r="A2862" t="s">
        <v>6032</v>
      </c>
      <c r="B2862" s="153" t="s">
        <v>6033</v>
      </c>
      <c r="C2862">
        <v>0.0</v>
      </c>
      <c r="D2862">
        <v>0.0</v>
      </c>
      <c r="F2862" t="s">
        <v>2942</v>
      </c>
      <c r="G2862" t="s">
        <v>2943</v>
      </c>
      <c r="H2862" t="s">
        <v>2944</v>
      </c>
      <c r="I2862" t="s">
        <v>799</v>
      </c>
    </row>
    <row r="2863" customHeight="1" ht="14.0">
      <c r="A2863" t="s">
        <v>6034</v>
      </c>
      <c r="B2863" s="153">
        <v>35803.0</v>
      </c>
      <c r="C2863">
        <v>0.0</v>
      </c>
      <c r="D2863">
        <v>0.0</v>
      </c>
      <c r="F2863" t="s">
        <v>2942</v>
      </c>
      <c r="G2863" t="s">
        <v>2943</v>
      </c>
      <c r="H2863" t="s">
        <v>2944</v>
      </c>
      <c r="I2863" t="s">
        <v>3442</v>
      </c>
    </row>
    <row r="2864" customHeight="1" ht="14.0">
      <c r="A2864" t="s">
        <v>6035</v>
      </c>
      <c r="B2864" s="153">
        <v>35802.0</v>
      </c>
      <c r="C2864">
        <v>0.0</v>
      </c>
      <c r="D2864">
        <v>0.0</v>
      </c>
      <c r="F2864" t="s">
        <v>2942</v>
      </c>
      <c r="G2864" t="s">
        <v>2943</v>
      </c>
      <c r="H2864" t="s">
        <v>2944</v>
      </c>
      <c r="I2864" t="s">
        <v>3442</v>
      </c>
    </row>
    <row r="2865" customHeight="1" ht="14.0">
      <c r="A2865" t="s">
        <v>6036</v>
      </c>
      <c r="B2865" s="153" t="s">
        <v>6037</v>
      </c>
      <c r="C2865">
        <v>1998.0</v>
      </c>
      <c r="D2865">
        <v>7561.36</v>
      </c>
      <c r="E2865">
        <v>3.7845</v>
      </c>
      <c r="F2865" t="s">
        <v>2942</v>
      </c>
      <c r="G2865" t="s">
        <v>2962</v>
      </c>
      <c r="H2865" t="s">
        <v>2984</v>
      </c>
      <c r="I2865" t="s">
        <v>3153</v>
      </c>
    </row>
    <row r="2866" customHeight="1" ht="14.0">
      <c r="A2866" t="s">
        <v>6038</v>
      </c>
      <c r="B2866" s="153" t="s">
        <v>6039</v>
      </c>
      <c r="C2866">
        <v>2777.0</v>
      </c>
      <c r="D2866">
        <v>10505.03</v>
      </c>
      <c r="E2866">
        <v>3.7829</v>
      </c>
      <c r="F2866" t="s">
        <v>2942</v>
      </c>
      <c r="G2866" t="s">
        <v>2962</v>
      </c>
      <c r="H2866" t="s">
        <v>2984</v>
      </c>
      <c r="I2866" t="s">
        <v>3153</v>
      </c>
    </row>
    <row r="2867" customHeight="1" ht="14.0">
      <c r="A2867" t="s">
        <v>6040</v>
      </c>
      <c r="B2867" s="153" t="s">
        <v>6041</v>
      </c>
      <c r="C2867">
        <v>0.0</v>
      </c>
      <c r="D2867">
        <v>0.0</v>
      </c>
      <c r="F2867" t="s">
        <v>2994</v>
      </c>
      <c r="G2867" t="s">
        <v>2943</v>
      </c>
      <c r="H2867" t="s">
        <v>3155</v>
      </c>
      <c r="I2867" t="s">
        <v>3153</v>
      </c>
    </row>
    <row r="2868" customHeight="1" ht="14.0">
      <c r="A2868" t="s">
        <v>6042</v>
      </c>
      <c r="B2868" s="153" t="s">
        <v>6043</v>
      </c>
      <c r="C2868">
        <v>10001.0</v>
      </c>
      <c r="D2868">
        <v>554.83</v>
      </c>
      <c r="E2868">
        <v>0.0555</v>
      </c>
      <c r="F2868" t="s">
        <v>3197</v>
      </c>
      <c r="G2868" t="s">
        <v>2962</v>
      </c>
      <c r="H2868" t="s">
        <v>3201</v>
      </c>
    </row>
    <row r="2869" customHeight="1" ht="14.0">
      <c r="A2869" t="s">
        <v>6044</v>
      </c>
      <c r="B2869" s="153" t="s">
        <v>6045</v>
      </c>
      <c r="C2869">
        <v>534.0</v>
      </c>
      <c r="D2869">
        <v>293.7</v>
      </c>
      <c r="E2869">
        <v>0.55</v>
      </c>
      <c r="F2869" t="s">
        <v>2942</v>
      </c>
      <c r="G2869" t="s">
        <v>2962</v>
      </c>
      <c r="H2869" t="s">
        <v>3161</v>
      </c>
      <c r="I2869" t="s">
        <v>3167</v>
      </c>
    </row>
    <row r="2870" customHeight="1" ht="14.0">
      <c r="A2870" t="s">
        <v>6046</v>
      </c>
      <c r="B2870" s="153" t="s">
        <v>6047</v>
      </c>
      <c r="C2870">
        <v>498.0</v>
      </c>
      <c r="D2870">
        <v>249.0</v>
      </c>
      <c r="E2870">
        <v>0.5</v>
      </c>
      <c r="F2870" t="s">
        <v>2942</v>
      </c>
      <c r="G2870" t="s">
        <v>2962</v>
      </c>
      <c r="H2870" t="s">
        <v>3161</v>
      </c>
      <c r="I2870" t="s">
        <v>3447</v>
      </c>
    </row>
    <row r="2871" customHeight="1" ht="14.0">
      <c r="A2871" t="s">
        <v>2508</v>
      </c>
      <c r="B2871" s="153" t="s">
        <v>2509</v>
      </c>
      <c r="C2871">
        <v>183.0</v>
      </c>
      <c r="D2871">
        <v>918.59</v>
      </c>
      <c r="E2871">
        <v>5.0196</v>
      </c>
      <c r="F2871" t="s">
        <v>2942</v>
      </c>
      <c r="G2871" t="s">
        <v>2962</v>
      </c>
      <c r="H2871" t="s">
        <v>2963</v>
      </c>
      <c r="I2871" t="s">
        <v>3690</v>
      </c>
    </row>
    <row r="2872" customHeight="1" ht="14.0">
      <c r="A2872" t="s">
        <v>2510</v>
      </c>
      <c r="B2872" s="153" t="s">
        <v>2511</v>
      </c>
      <c r="C2872">
        <v>13.0</v>
      </c>
      <c r="D2872">
        <v>65.26</v>
      </c>
      <c r="E2872">
        <v>5.02</v>
      </c>
      <c r="F2872" t="s">
        <v>2942</v>
      </c>
      <c r="G2872" t="s">
        <v>2962</v>
      </c>
      <c r="H2872" t="s">
        <v>2963</v>
      </c>
      <c r="I2872" t="s">
        <v>3690</v>
      </c>
    </row>
    <row r="2873" customHeight="1" ht="14.0">
      <c r="A2873" t="s">
        <v>2512</v>
      </c>
      <c r="B2873" s="153" t="s">
        <v>2513</v>
      </c>
      <c r="C2873">
        <v>58.0</v>
      </c>
      <c r="D2873">
        <v>266.14</v>
      </c>
      <c r="E2873">
        <v>4.5886</v>
      </c>
      <c r="F2873" t="s">
        <v>2942</v>
      </c>
      <c r="G2873" t="s">
        <v>2962</v>
      </c>
      <c r="H2873" t="s">
        <v>2963</v>
      </c>
      <c r="I2873" t="s">
        <v>3690</v>
      </c>
    </row>
    <row r="2874" customHeight="1" ht="14.0">
      <c r="A2874" t="s">
        <v>2514</v>
      </c>
      <c r="B2874" s="153" t="s">
        <v>2515</v>
      </c>
      <c r="C2874">
        <v>0.0</v>
      </c>
      <c r="D2874">
        <v>0.0</v>
      </c>
      <c r="F2874" t="s">
        <v>2942</v>
      </c>
      <c r="G2874" t="s">
        <v>2962</v>
      </c>
      <c r="H2874" t="s">
        <v>2963</v>
      </c>
      <c r="I2874" t="s">
        <v>3690</v>
      </c>
    </row>
    <row r="2875" customHeight="1" ht="14.0">
      <c r="A2875" t="s">
        <v>2516</v>
      </c>
      <c r="B2875" s="153" t="s">
        <v>2517</v>
      </c>
      <c r="C2875">
        <v>280.0</v>
      </c>
      <c r="D2875">
        <v>1405.6</v>
      </c>
      <c r="E2875">
        <v>5.02</v>
      </c>
      <c r="F2875" t="s">
        <v>2942</v>
      </c>
      <c r="G2875" t="s">
        <v>2962</v>
      </c>
      <c r="H2875" t="s">
        <v>2963</v>
      </c>
      <c r="I2875" t="s">
        <v>3690</v>
      </c>
    </row>
    <row r="2876" customHeight="1" ht="14.0">
      <c r="A2876" t="s">
        <v>6048</v>
      </c>
      <c r="B2876" s="153" t="s">
        <v>6049</v>
      </c>
      <c r="C2876">
        <v>510.0</v>
      </c>
      <c r="D2876">
        <v>713.58</v>
      </c>
      <c r="E2876">
        <v>1.3992</v>
      </c>
      <c r="F2876" t="s">
        <v>2942</v>
      </c>
      <c r="G2876" t="s">
        <v>2962</v>
      </c>
      <c r="H2876" t="s">
        <v>2984</v>
      </c>
      <c r="I2876" t="s">
        <v>63</v>
      </c>
    </row>
    <row r="2877" customHeight="1" ht="14.0">
      <c r="A2877" t="s">
        <v>6050</v>
      </c>
      <c r="B2877" s="153" t="s">
        <v>6051</v>
      </c>
      <c r="C2877">
        <v>582.0</v>
      </c>
      <c r="D2877">
        <v>814.29</v>
      </c>
      <c r="E2877">
        <v>1.3991</v>
      </c>
      <c r="F2877" t="s">
        <v>2942</v>
      </c>
      <c r="G2877" t="s">
        <v>2962</v>
      </c>
      <c r="H2877" t="s">
        <v>2984</v>
      </c>
      <c r="I2877" t="s">
        <v>63</v>
      </c>
    </row>
    <row r="2878" customHeight="1" ht="14.0">
      <c r="A2878" t="s">
        <v>6052</v>
      </c>
      <c r="B2878" s="153" t="s">
        <v>6053</v>
      </c>
      <c r="C2878">
        <v>177.0</v>
      </c>
      <c r="D2878">
        <v>247.66</v>
      </c>
      <c r="E2878">
        <v>1.3992</v>
      </c>
      <c r="F2878" t="s">
        <v>2942</v>
      </c>
      <c r="G2878" t="s">
        <v>2962</v>
      </c>
      <c r="H2878" t="s">
        <v>2984</v>
      </c>
      <c r="I2878" t="s">
        <v>63</v>
      </c>
    </row>
    <row r="2879" customHeight="1" ht="14.0">
      <c r="A2879" t="s">
        <v>6054</v>
      </c>
      <c r="B2879" s="153" t="s">
        <v>6055</v>
      </c>
      <c r="C2879">
        <v>594.0</v>
      </c>
      <c r="D2879">
        <v>831.07</v>
      </c>
      <c r="E2879">
        <v>1.3991</v>
      </c>
      <c r="F2879" t="s">
        <v>2942</v>
      </c>
      <c r="G2879" t="s">
        <v>2962</v>
      </c>
      <c r="H2879" t="s">
        <v>2984</v>
      </c>
      <c r="I2879" t="s">
        <v>63</v>
      </c>
    </row>
    <row r="2880" customHeight="1" ht="14.0">
      <c r="A2880" t="s">
        <v>6056</v>
      </c>
      <c r="B2880" s="153" t="s">
        <v>6057</v>
      </c>
      <c r="C2880">
        <v>189.0</v>
      </c>
      <c r="D2880">
        <v>264.44</v>
      </c>
      <c r="E2880">
        <v>1.3992</v>
      </c>
      <c r="F2880" t="s">
        <v>2942</v>
      </c>
      <c r="G2880" t="s">
        <v>2962</v>
      </c>
      <c r="H2880" t="s">
        <v>2984</v>
      </c>
      <c r="I2880" t="s">
        <v>63</v>
      </c>
    </row>
    <row r="2881" customHeight="1" ht="14.0">
      <c r="A2881" t="s">
        <v>6058</v>
      </c>
      <c r="B2881" s="153" t="s">
        <v>6059</v>
      </c>
      <c r="C2881">
        <v>708.0</v>
      </c>
      <c r="D2881">
        <v>990.56</v>
      </c>
      <c r="E2881">
        <v>1.3991</v>
      </c>
      <c r="F2881" t="s">
        <v>2942</v>
      </c>
      <c r="G2881" t="s">
        <v>2962</v>
      </c>
      <c r="H2881" t="s">
        <v>2984</v>
      </c>
      <c r="I2881" t="s">
        <v>63</v>
      </c>
    </row>
    <row r="2882" customHeight="1" ht="14.0">
      <c r="A2882" t="s">
        <v>6060</v>
      </c>
      <c r="B2882" s="153" t="s">
        <v>6061</v>
      </c>
      <c r="C2882">
        <v>144.0</v>
      </c>
      <c r="D2882">
        <v>384.55</v>
      </c>
      <c r="E2882">
        <v>2.6705</v>
      </c>
      <c r="F2882" t="s">
        <v>2942</v>
      </c>
      <c r="G2882" t="s">
        <v>2962</v>
      </c>
      <c r="H2882" t="s">
        <v>2984</v>
      </c>
      <c r="I2882" t="s">
        <v>197</v>
      </c>
    </row>
    <row r="2883" customHeight="1" ht="14.0">
      <c r="A2883" t="s">
        <v>6062</v>
      </c>
      <c r="B2883" s="153" t="s">
        <v>6063</v>
      </c>
      <c r="C2883">
        <v>8.0</v>
      </c>
      <c r="D2883">
        <v>424.28</v>
      </c>
      <c r="E2883">
        <v>53.035</v>
      </c>
      <c r="F2883" t="s">
        <v>2942</v>
      </c>
      <c r="G2883" t="s">
        <v>2962</v>
      </c>
      <c r="H2883" t="s">
        <v>2984</v>
      </c>
      <c r="I2883" t="s">
        <v>63</v>
      </c>
    </row>
    <row r="2884" customHeight="1" ht="14.0">
      <c r="A2884" t="s">
        <v>2518</v>
      </c>
      <c r="B2884" s="153" t="s">
        <v>2519</v>
      </c>
      <c r="C2884">
        <v>1674.0</v>
      </c>
      <c r="D2884">
        <v>11154.71</v>
      </c>
      <c r="E2884">
        <v>6.6635</v>
      </c>
      <c r="F2884" t="s">
        <v>2942</v>
      </c>
      <c r="G2884" t="s">
        <v>2962</v>
      </c>
      <c r="H2884" t="s">
        <v>3155</v>
      </c>
      <c r="I2884" t="s">
        <v>3153</v>
      </c>
    </row>
    <row r="2885" customHeight="1" ht="14.0">
      <c r="A2885" t="s">
        <v>6064</v>
      </c>
      <c r="B2885" s="153" t="s">
        <v>6065</v>
      </c>
      <c r="C2885">
        <v>340.0</v>
      </c>
      <c r="D2885">
        <v>1942.87</v>
      </c>
      <c r="E2885">
        <v>5.7143</v>
      </c>
      <c r="F2885" t="s">
        <v>2942</v>
      </c>
      <c r="G2885" t="s">
        <v>2962</v>
      </c>
      <c r="H2885" t="s">
        <v>2984</v>
      </c>
      <c r="I2885" t="s">
        <v>699</v>
      </c>
    </row>
    <row r="2886" customHeight="1" ht="14.0">
      <c r="A2886" t="s">
        <v>716</v>
      </c>
      <c r="B2886" s="153" t="s">
        <v>717</v>
      </c>
      <c r="C2886">
        <v>178.0</v>
      </c>
      <c r="D2886">
        <v>908.36</v>
      </c>
      <c r="E2886">
        <v>5.1031</v>
      </c>
      <c r="F2886" t="s">
        <v>2942</v>
      </c>
      <c r="G2886" t="s">
        <v>2962</v>
      </c>
      <c r="H2886" t="s">
        <v>30</v>
      </c>
      <c r="I2886" t="s">
        <v>699</v>
      </c>
    </row>
    <row r="2887" customHeight="1" ht="14.0">
      <c r="A2887" t="s">
        <v>706</v>
      </c>
      <c r="B2887" s="153" t="s">
        <v>707</v>
      </c>
      <c r="C2887">
        <v>83.0</v>
      </c>
      <c r="D2887">
        <v>521.78</v>
      </c>
      <c r="E2887">
        <v>6.2865</v>
      </c>
      <c r="F2887" t="s">
        <v>2942</v>
      </c>
      <c r="G2887" t="s">
        <v>2962</v>
      </c>
      <c r="H2887" t="s">
        <v>30</v>
      </c>
      <c r="I2887" t="s">
        <v>699</v>
      </c>
    </row>
    <row r="2888" customHeight="1" ht="14.0">
      <c r="A2888" t="s">
        <v>704</v>
      </c>
      <c r="B2888" s="153" t="s">
        <v>705</v>
      </c>
      <c r="C2888">
        <v>23.0</v>
      </c>
      <c r="D2888">
        <v>144.97</v>
      </c>
      <c r="E2888">
        <v>6.303</v>
      </c>
      <c r="F2888" t="s">
        <v>2942</v>
      </c>
      <c r="G2888" t="s">
        <v>2962</v>
      </c>
      <c r="H2888" t="s">
        <v>2963</v>
      </c>
      <c r="I2888" t="s">
        <v>699</v>
      </c>
    </row>
    <row r="2889" customHeight="1" ht="14.0">
      <c r="A2889" t="s">
        <v>2520</v>
      </c>
      <c r="B2889" s="153" t="s">
        <v>2521</v>
      </c>
      <c r="C2889">
        <v>0.0</v>
      </c>
      <c r="D2889">
        <v>0.0</v>
      </c>
      <c r="F2889" t="s">
        <v>2942</v>
      </c>
      <c r="G2889" t="s">
        <v>2943</v>
      </c>
      <c r="H2889" t="s">
        <v>2963</v>
      </c>
      <c r="I2889" t="s">
        <v>699</v>
      </c>
    </row>
    <row r="2890" customHeight="1" ht="14.0">
      <c r="A2890" t="s">
        <v>738</v>
      </c>
      <c r="B2890" s="153" t="s">
        <v>739</v>
      </c>
      <c r="C2890">
        <v>252.0</v>
      </c>
      <c r="D2890">
        <v>1855.36</v>
      </c>
      <c r="E2890">
        <v>7.3625</v>
      </c>
      <c r="F2890" t="s">
        <v>2942</v>
      </c>
      <c r="G2890" t="s">
        <v>2962</v>
      </c>
      <c r="H2890" t="s">
        <v>30</v>
      </c>
      <c r="I2890" t="s">
        <v>699</v>
      </c>
    </row>
    <row r="2891" customHeight="1" ht="14.0">
      <c r="A2891" t="s">
        <v>700</v>
      </c>
      <c r="B2891" s="153" t="s">
        <v>701</v>
      </c>
      <c r="C2891">
        <v>203.0</v>
      </c>
      <c r="D2891">
        <v>1494.31</v>
      </c>
      <c r="E2891">
        <v>7.3611</v>
      </c>
      <c r="F2891" t="s">
        <v>2942</v>
      </c>
      <c r="G2891" t="s">
        <v>2962</v>
      </c>
      <c r="H2891" t="s">
        <v>30</v>
      </c>
      <c r="I2891" t="s">
        <v>699</v>
      </c>
    </row>
    <row r="2892" customHeight="1" ht="14.0">
      <c r="A2892" t="s">
        <v>702</v>
      </c>
      <c r="B2892" s="153" t="s">
        <v>703</v>
      </c>
      <c r="C2892">
        <v>362.0</v>
      </c>
      <c r="D2892">
        <v>2665.44</v>
      </c>
      <c r="E2892">
        <v>7.3631</v>
      </c>
      <c r="F2892" t="s">
        <v>2942</v>
      </c>
      <c r="G2892" t="s">
        <v>2962</v>
      </c>
      <c r="H2892" t="s">
        <v>2963</v>
      </c>
      <c r="I2892" t="s">
        <v>699</v>
      </c>
    </row>
    <row r="2893" customHeight="1" ht="14.0">
      <c r="A2893" t="s">
        <v>6066</v>
      </c>
      <c r="B2893" s="153" t="s">
        <v>6067</v>
      </c>
      <c r="C2893">
        <v>384.0</v>
      </c>
      <c r="D2893">
        <v>2194.21</v>
      </c>
      <c r="E2893">
        <v>5.7141</v>
      </c>
      <c r="F2893" t="s">
        <v>2942</v>
      </c>
      <c r="G2893" t="s">
        <v>2962</v>
      </c>
      <c r="H2893" t="s">
        <v>2984</v>
      </c>
      <c r="I2893" t="s">
        <v>699</v>
      </c>
    </row>
    <row r="2894" customHeight="1" ht="14.0">
      <c r="A2894" t="s">
        <v>720</v>
      </c>
      <c r="B2894" s="153" t="s">
        <v>721</v>
      </c>
      <c r="C2894">
        <v>451.0</v>
      </c>
      <c r="D2894">
        <v>2251.07</v>
      </c>
      <c r="E2894">
        <v>4.9913</v>
      </c>
      <c r="F2894" t="s">
        <v>2942</v>
      </c>
      <c r="G2894" t="s">
        <v>2962</v>
      </c>
      <c r="H2894" t="s">
        <v>30</v>
      </c>
      <c r="I2894" t="s">
        <v>699</v>
      </c>
    </row>
    <row r="2895" customHeight="1" ht="14.0">
      <c r="A2895" t="s">
        <v>718</v>
      </c>
      <c r="B2895" s="153" t="s">
        <v>719</v>
      </c>
      <c r="C2895">
        <v>371.0</v>
      </c>
      <c r="D2895">
        <v>1894.32</v>
      </c>
      <c r="E2895">
        <v>5.106</v>
      </c>
      <c r="F2895" t="s">
        <v>2942</v>
      </c>
      <c r="G2895" t="s">
        <v>2962</v>
      </c>
      <c r="H2895" t="s">
        <v>30</v>
      </c>
      <c r="I2895" t="s">
        <v>699</v>
      </c>
    </row>
    <row r="2896" customHeight="1" ht="14.0">
      <c r="A2896" t="s">
        <v>722</v>
      </c>
      <c r="B2896" s="153" t="s">
        <v>723</v>
      </c>
      <c r="C2896">
        <v>184.0</v>
      </c>
      <c r="D2896">
        <v>961.93</v>
      </c>
      <c r="E2896">
        <v>5.2279</v>
      </c>
      <c r="F2896" t="s">
        <v>2942</v>
      </c>
      <c r="G2896" t="s">
        <v>2962</v>
      </c>
      <c r="H2896" t="s">
        <v>30</v>
      </c>
      <c r="I2896" t="s">
        <v>699</v>
      </c>
    </row>
    <row r="2897" customHeight="1" ht="14.0">
      <c r="A2897" t="s">
        <v>6068</v>
      </c>
      <c r="B2897" s="153" t="s">
        <v>6069</v>
      </c>
      <c r="C2897">
        <v>0.0</v>
      </c>
      <c r="D2897">
        <v>0.0</v>
      </c>
      <c r="F2897" t="s">
        <v>2942</v>
      </c>
      <c r="G2897" t="s">
        <v>2943</v>
      </c>
      <c r="H2897" t="s">
        <v>2944</v>
      </c>
      <c r="I2897" t="s">
        <v>699</v>
      </c>
    </row>
    <row r="2898" customHeight="1" ht="14.0">
      <c r="A2898" t="s">
        <v>6070</v>
      </c>
      <c r="B2898" s="153" t="s">
        <v>6071</v>
      </c>
      <c r="C2898">
        <v>440.0</v>
      </c>
      <c r="D2898">
        <v>2513.99</v>
      </c>
      <c r="E2898">
        <v>5.7136</v>
      </c>
      <c r="F2898" t="s">
        <v>2942</v>
      </c>
      <c r="G2898" t="s">
        <v>2962</v>
      </c>
      <c r="H2898" t="s">
        <v>2984</v>
      </c>
      <c r="I2898" t="s">
        <v>699</v>
      </c>
    </row>
    <row r="2899" customHeight="1" ht="14.0">
      <c r="A2899" t="s">
        <v>726</v>
      </c>
      <c r="B2899" s="153" t="s">
        <v>727</v>
      </c>
      <c r="C2899">
        <v>935.0</v>
      </c>
      <c r="D2899">
        <v>6885.3</v>
      </c>
      <c r="E2899">
        <v>7.364</v>
      </c>
      <c r="F2899" t="s">
        <v>2942</v>
      </c>
      <c r="G2899" t="s">
        <v>2962</v>
      </c>
      <c r="H2899" t="s">
        <v>2963</v>
      </c>
      <c r="I2899" t="s">
        <v>699</v>
      </c>
    </row>
    <row r="2900" customHeight="1" ht="14.0">
      <c r="A2900" t="s">
        <v>732</v>
      </c>
      <c r="B2900" s="153" t="s">
        <v>733</v>
      </c>
      <c r="C2900">
        <v>307.0</v>
      </c>
      <c r="D2900">
        <v>1928.47</v>
      </c>
      <c r="E2900">
        <v>6.2817</v>
      </c>
      <c r="F2900" t="s">
        <v>2942</v>
      </c>
      <c r="G2900" t="s">
        <v>2962</v>
      </c>
      <c r="H2900" t="s">
        <v>30</v>
      </c>
      <c r="I2900" t="s">
        <v>699</v>
      </c>
    </row>
    <row r="2901" customHeight="1" ht="14.0">
      <c r="A2901" t="s">
        <v>2522</v>
      </c>
      <c r="B2901" s="153" t="s">
        <v>2523</v>
      </c>
      <c r="C2901">
        <v>0.0</v>
      </c>
      <c r="D2901">
        <v>0.0</v>
      </c>
      <c r="F2901" t="s">
        <v>2942</v>
      </c>
      <c r="G2901" t="s">
        <v>2943</v>
      </c>
      <c r="H2901" t="s">
        <v>2944</v>
      </c>
      <c r="I2901" t="s">
        <v>699</v>
      </c>
    </row>
    <row r="2902" customHeight="1" ht="14.0">
      <c r="A2902" t="s">
        <v>734</v>
      </c>
      <c r="B2902" s="153" t="s">
        <v>735</v>
      </c>
      <c r="C2902">
        <v>407.0</v>
      </c>
      <c r="D2902">
        <v>2325.56</v>
      </c>
      <c r="E2902">
        <v>5.7139</v>
      </c>
      <c r="F2902" t="s">
        <v>2942</v>
      </c>
      <c r="G2902" t="s">
        <v>2962</v>
      </c>
      <c r="H2902" t="s">
        <v>30</v>
      </c>
      <c r="I2902" t="s">
        <v>699</v>
      </c>
    </row>
    <row r="2903" customHeight="1" ht="14.0">
      <c r="A2903" t="s">
        <v>736</v>
      </c>
      <c r="B2903" s="153" t="s">
        <v>737</v>
      </c>
      <c r="C2903">
        <v>322.0</v>
      </c>
      <c r="D2903">
        <v>2022.71</v>
      </c>
      <c r="E2903">
        <v>6.2817</v>
      </c>
      <c r="F2903" t="s">
        <v>2942</v>
      </c>
      <c r="G2903" t="s">
        <v>2962</v>
      </c>
      <c r="H2903" t="s">
        <v>2963</v>
      </c>
      <c r="I2903" t="s">
        <v>699</v>
      </c>
    </row>
    <row r="2904" customHeight="1" ht="14.0">
      <c r="A2904" t="s">
        <v>6072</v>
      </c>
      <c r="B2904" s="153" t="s">
        <v>6073</v>
      </c>
      <c r="C2904">
        <v>0.0</v>
      </c>
      <c r="D2904">
        <v>0.0</v>
      </c>
      <c r="F2904" t="s">
        <v>2942</v>
      </c>
      <c r="G2904" t="s">
        <v>2943</v>
      </c>
      <c r="H2904" t="s">
        <v>2944</v>
      </c>
      <c r="I2904" t="s">
        <v>699</v>
      </c>
    </row>
    <row r="2905" customHeight="1" ht="14.0">
      <c r="A2905" t="s">
        <v>728</v>
      </c>
      <c r="B2905" s="153" t="s">
        <v>729</v>
      </c>
      <c r="C2905">
        <v>1055.0</v>
      </c>
      <c r="D2905">
        <v>7803.78</v>
      </c>
      <c r="E2905">
        <v>7.3969</v>
      </c>
      <c r="F2905" t="s">
        <v>2942</v>
      </c>
      <c r="G2905" t="s">
        <v>2962</v>
      </c>
      <c r="H2905" t="s">
        <v>2963</v>
      </c>
      <c r="I2905" t="s">
        <v>699</v>
      </c>
    </row>
    <row r="2906" customHeight="1" ht="14.0">
      <c r="A2906" t="s">
        <v>730</v>
      </c>
      <c r="B2906" s="153" t="s">
        <v>731</v>
      </c>
      <c r="C2906">
        <v>917.0</v>
      </c>
      <c r="D2906">
        <v>6752.62</v>
      </c>
      <c r="E2906">
        <v>7.3638</v>
      </c>
      <c r="F2906" t="s">
        <v>2942</v>
      </c>
      <c r="G2906" t="s">
        <v>2962</v>
      </c>
      <c r="H2906" t="s">
        <v>2963</v>
      </c>
      <c r="I2906" t="s">
        <v>699</v>
      </c>
    </row>
    <row r="2907" customHeight="1" ht="14.0">
      <c r="A2907" t="s">
        <v>2524</v>
      </c>
      <c r="B2907" s="153" t="s">
        <v>2525</v>
      </c>
      <c r="C2907">
        <v>0.0</v>
      </c>
      <c r="D2907">
        <v>0.0</v>
      </c>
      <c r="F2907" t="s">
        <v>2942</v>
      </c>
      <c r="G2907" t="s">
        <v>2943</v>
      </c>
      <c r="H2907" t="s">
        <v>2944</v>
      </c>
      <c r="I2907" t="s">
        <v>699</v>
      </c>
    </row>
    <row r="2908" customHeight="1" ht="14.0">
      <c r="A2908" t="s">
        <v>6074</v>
      </c>
      <c r="B2908" s="153" t="s">
        <v>6075</v>
      </c>
      <c r="C2908">
        <v>0.0</v>
      </c>
      <c r="D2908">
        <v>0.0</v>
      </c>
      <c r="F2908" t="s">
        <v>2942</v>
      </c>
      <c r="G2908" t="s">
        <v>2943</v>
      </c>
      <c r="H2908" t="s">
        <v>2944</v>
      </c>
      <c r="I2908" t="s">
        <v>699</v>
      </c>
    </row>
    <row r="2909" customHeight="1" ht="14.0">
      <c r="A2909" t="s">
        <v>708</v>
      </c>
      <c r="B2909" s="153" t="s">
        <v>709</v>
      </c>
      <c r="C2909">
        <v>1.0</v>
      </c>
      <c r="D2909">
        <v>451.53</v>
      </c>
      <c r="E2909">
        <v>451.53</v>
      </c>
      <c r="F2909" t="s">
        <v>2942</v>
      </c>
      <c r="G2909" t="s">
        <v>2962</v>
      </c>
      <c r="H2909" t="s">
        <v>30</v>
      </c>
      <c r="I2909" t="s">
        <v>699</v>
      </c>
    </row>
    <row r="2910" customHeight="1" ht="14.0">
      <c r="A2910" t="s">
        <v>2526</v>
      </c>
      <c r="B2910" s="153" t="s">
        <v>2527</v>
      </c>
      <c r="C2910">
        <v>0.0</v>
      </c>
      <c r="D2910">
        <v>0.0</v>
      </c>
      <c r="F2910" t="s">
        <v>2942</v>
      </c>
      <c r="G2910" t="s">
        <v>2943</v>
      </c>
      <c r="H2910" t="s">
        <v>2944</v>
      </c>
      <c r="I2910" t="s">
        <v>197</v>
      </c>
    </row>
    <row r="2911" customHeight="1" ht="14.0">
      <c r="A2911" t="s">
        <v>710</v>
      </c>
      <c r="B2911" s="153" t="s">
        <v>711</v>
      </c>
      <c r="C2911">
        <v>0.0</v>
      </c>
      <c r="D2911">
        <v>0.0</v>
      </c>
      <c r="F2911" t="s">
        <v>2942</v>
      </c>
      <c r="G2911" t="s">
        <v>2962</v>
      </c>
      <c r="H2911" t="s">
        <v>30</v>
      </c>
      <c r="I2911" t="s">
        <v>699</v>
      </c>
    </row>
    <row r="2912" customHeight="1" ht="14.0">
      <c r="A2912" t="s">
        <v>2528</v>
      </c>
      <c r="B2912" s="153" t="s">
        <v>2529</v>
      </c>
      <c r="C2912">
        <v>0.0</v>
      </c>
      <c r="D2912">
        <v>0.0</v>
      </c>
      <c r="F2912" t="s">
        <v>2942</v>
      </c>
      <c r="G2912" t="s">
        <v>2943</v>
      </c>
      <c r="H2912" t="s">
        <v>2944</v>
      </c>
      <c r="I2912" t="s">
        <v>699</v>
      </c>
    </row>
    <row r="2913" customHeight="1" ht="14.0">
      <c r="A2913" t="s">
        <v>712</v>
      </c>
      <c r="B2913" s="153" t="s">
        <v>713</v>
      </c>
      <c r="C2913">
        <v>0.0</v>
      </c>
      <c r="D2913">
        <v>0.0</v>
      </c>
      <c r="F2913" t="s">
        <v>2942</v>
      </c>
      <c r="G2913" t="s">
        <v>2962</v>
      </c>
      <c r="H2913" t="s">
        <v>30</v>
      </c>
      <c r="I2913" t="s">
        <v>699</v>
      </c>
    </row>
    <row r="2914" customHeight="1" ht="14.0">
      <c r="A2914" t="s">
        <v>724</v>
      </c>
      <c r="B2914" s="153" t="s">
        <v>725</v>
      </c>
      <c r="C2914">
        <v>1.0</v>
      </c>
      <c r="D2914">
        <v>114.71</v>
      </c>
      <c r="E2914">
        <v>114.71</v>
      </c>
      <c r="F2914" t="s">
        <v>2994</v>
      </c>
      <c r="G2914" t="s">
        <v>2962</v>
      </c>
      <c r="H2914" t="s">
        <v>30</v>
      </c>
      <c r="I2914" t="s">
        <v>699</v>
      </c>
    </row>
    <row r="2915" customHeight="1" ht="14.0">
      <c r="A2915" t="s">
        <v>2879</v>
      </c>
      <c r="B2915" s="153" t="s">
        <v>2880</v>
      </c>
      <c r="C2915">
        <v>0.0</v>
      </c>
      <c r="D2915">
        <v>0.0</v>
      </c>
      <c r="F2915" t="s">
        <v>2942</v>
      </c>
      <c r="G2915" t="s">
        <v>2962</v>
      </c>
      <c r="H2915" t="s">
        <v>2984</v>
      </c>
      <c r="I2915" t="s">
        <v>699</v>
      </c>
    </row>
    <row r="2916" customHeight="1" ht="14.0">
      <c r="A2916" t="s">
        <v>6076</v>
      </c>
      <c r="B2916" s="153" t="s">
        <v>6077</v>
      </c>
      <c r="C2916">
        <v>228.0</v>
      </c>
      <c r="D2916">
        <v>1231.5</v>
      </c>
      <c r="E2916">
        <v>5.4013</v>
      </c>
      <c r="F2916" t="s">
        <v>2942</v>
      </c>
      <c r="G2916" t="s">
        <v>2962</v>
      </c>
      <c r="H2916" t="s">
        <v>2984</v>
      </c>
      <c r="I2916" t="s">
        <v>699</v>
      </c>
    </row>
    <row r="2917" customHeight="1" ht="14.0">
      <c r="A2917" t="s">
        <v>6078</v>
      </c>
      <c r="B2917" s="153" t="s">
        <v>6079</v>
      </c>
      <c r="C2917">
        <v>304.0</v>
      </c>
      <c r="D2917">
        <v>1641.89</v>
      </c>
      <c r="E2917">
        <v>5.401</v>
      </c>
      <c r="F2917" t="s">
        <v>2942</v>
      </c>
      <c r="G2917" t="s">
        <v>2962</v>
      </c>
      <c r="H2917" t="s">
        <v>2984</v>
      </c>
      <c r="I2917" t="s">
        <v>699</v>
      </c>
    </row>
    <row r="2918" customHeight="1" ht="14.0">
      <c r="A2918" t="s">
        <v>6080</v>
      </c>
      <c r="B2918" s="153" t="s">
        <v>6081</v>
      </c>
      <c r="C2918">
        <v>242.0</v>
      </c>
      <c r="D2918">
        <v>1307.1</v>
      </c>
      <c r="E2918">
        <v>5.4012</v>
      </c>
      <c r="F2918" t="s">
        <v>2942</v>
      </c>
      <c r="G2918" t="s">
        <v>2962</v>
      </c>
      <c r="H2918" t="s">
        <v>2984</v>
      </c>
      <c r="I2918" t="s">
        <v>699</v>
      </c>
    </row>
    <row r="2919" customHeight="1" ht="14.0">
      <c r="A2919" t="s">
        <v>6082</v>
      </c>
      <c r="B2919" s="153" t="s">
        <v>6083</v>
      </c>
      <c r="C2919">
        <v>114.0</v>
      </c>
      <c r="D2919">
        <v>615.88</v>
      </c>
      <c r="E2919">
        <v>5.4025</v>
      </c>
      <c r="F2919" t="s">
        <v>2942</v>
      </c>
      <c r="G2919" t="s">
        <v>2962</v>
      </c>
      <c r="H2919" t="s">
        <v>2984</v>
      </c>
      <c r="I2919" t="s">
        <v>699</v>
      </c>
    </row>
    <row r="2920" customHeight="1" ht="14.0">
      <c r="A2920" t="s">
        <v>6084</v>
      </c>
      <c r="B2920" s="153" t="s">
        <v>6085</v>
      </c>
      <c r="C2920">
        <v>309.0</v>
      </c>
      <c r="D2920">
        <v>1668.9</v>
      </c>
      <c r="E2920">
        <v>5.401</v>
      </c>
      <c r="F2920" t="s">
        <v>2942</v>
      </c>
      <c r="G2920" t="s">
        <v>2962</v>
      </c>
      <c r="H2920" t="s">
        <v>2963</v>
      </c>
      <c r="I2920" t="s">
        <v>699</v>
      </c>
    </row>
    <row r="2921" customHeight="1" ht="14.0">
      <c r="A2921" t="s">
        <v>6086</v>
      </c>
      <c r="B2921" s="153" t="s">
        <v>6087</v>
      </c>
      <c r="C2921">
        <v>0.0</v>
      </c>
      <c r="D2921">
        <v>0.0</v>
      </c>
      <c r="F2921" t="s">
        <v>2942</v>
      </c>
      <c r="G2921" t="s">
        <v>2943</v>
      </c>
      <c r="H2921" t="s">
        <v>2944</v>
      </c>
      <c r="I2921" t="s">
        <v>3724</v>
      </c>
    </row>
    <row r="2922" customHeight="1" ht="14.0">
      <c r="A2922" t="s">
        <v>6088</v>
      </c>
      <c r="B2922" s="153" t="s">
        <v>6089</v>
      </c>
      <c r="C2922">
        <v>0.0</v>
      </c>
      <c r="D2922">
        <v>0.0</v>
      </c>
      <c r="F2922" t="s">
        <v>2942</v>
      </c>
      <c r="G2922" t="s">
        <v>2943</v>
      </c>
      <c r="H2922" t="s">
        <v>2944</v>
      </c>
      <c r="I2922" t="s">
        <v>3724</v>
      </c>
    </row>
    <row r="2923" customHeight="1" ht="14.0">
      <c r="A2923" t="s">
        <v>6090</v>
      </c>
      <c r="B2923" s="153" t="s">
        <v>6091</v>
      </c>
      <c r="C2923">
        <v>0.0</v>
      </c>
      <c r="D2923">
        <v>0.0</v>
      </c>
      <c r="F2923" t="s">
        <v>2942</v>
      </c>
      <c r="G2923" t="s">
        <v>2962</v>
      </c>
      <c r="H2923" t="s">
        <v>4425</v>
      </c>
      <c r="I2923" t="s">
        <v>3724</v>
      </c>
    </row>
    <row r="2924" customHeight="1" ht="14.0">
      <c r="A2924" t="s">
        <v>6092</v>
      </c>
      <c r="B2924" s="153" t="s">
        <v>6093</v>
      </c>
      <c r="C2924">
        <v>863.0</v>
      </c>
      <c r="D2924">
        <v>360.51</v>
      </c>
      <c r="E2924">
        <v>0.4177</v>
      </c>
      <c r="F2924" t="s">
        <v>3197</v>
      </c>
      <c r="G2924" t="s">
        <v>2962</v>
      </c>
      <c r="H2924" t="s">
        <v>3455</v>
      </c>
    </row>
    <row r="2925" customHeight="1" ht="14.0">
      <c r="A2925" t="s">
        <v>6094</v>
      </c>
      <c r="B2925" s="153" t="s">
        <v>6095</v>
      </c>
      <c r="C2925">
        <v>0.0</v>
      </c>
      <c r="D2925">
        <v>0.0</v>
      </c>
      <c r="F2925" t="s">
        <v>2942</v>
      </c>
      <c r="G2925" t="s">
        <v>2962</v>
      </c>
      <c r="H2925" t="s">
        <v>4425</v>
      </c>
      <c r="I2925" t="s">
        <v>6096</v>
      </c>
    </row>
    <row r="2926" customHeight="1" ht="14.0">
      <c r="A2926" t="s">
        <v>2530</v>
      </c>
      <c r="B2926" s="153" t="s">
        <v>2531</v>
      </c>
      <c r="C2926">
        <v>0.0</v>
      </c>
      <c r="D2926">
        <v>0.0</v>
      </c>
      <c r="F2926" t="s">
        <v>2942</v>
      </c>
      <c r="G2926" t="s">
        <v>2962</v>
      </c>
      <c r="H2926" t="s">
        <v>4425</v>
      </c>
      <c r="I2926" t="s">
        <v>2965</v>
      </c>
    </row>
    <row r="2927" customHeight="1" ht="14.0">
      <c r="A2927" t="s">
        <v>6097</v>
      </c>
      <c r="B2927" s="153" t="s">
        <v>6098</v>
      </c>
      <c r="C2927">
        <v>0.0</v>
      </c>
      <c r="D2927">
        <v>0.0</v>
      </c>
      <c r="F2927" t="s">
        <v>2942</v>
      </c>
      <c r="G2927" t="s">
        <v>2962</v>
      </c>
      <c r="H2927" t="s">
        <v>4425</v>
      </c>
      <c r="I2927" t="s">
        <v>3153</v>
      </c>
    </row>
    <row r="2928" customHeight="1" ht="14.0">
      <c r="A2928" t="s">
        <v>2532</v>
      </c>
      <c r="B2928" s="153" t="s">
        <v>2533</v>
      </c>
      <c r="C2928">
        <v>0.0</v>
      </c>
      <c r="D2928">
        <v>0.0</v>
      </c>
      <c r="F2928" t="s">
        <v>2942</v>
      </c>
      <c r="G2928" t="s">
        <v>2962</v>
      </c>
      <c r="H2928" t="s">
        <v>4425</v>
      </c>
      <c r="I2928" t="s">
        <v>6099</v>
      </c>
    </row>
    <row r="2929" customHeight="1" ht="14.0">
      <c r="A2929" t="s">
        <v>2534</v>
      </c>
      <c r="B2929" s="153" t="s">
        <v>2535</v>
      </c>
      <c r="C2929">
        <v>0.0</v>
      </c>
      <c r="D2929">
        <v>0.0</v>
      </c>
      <c r="F2929" t="s">
        <v>2942</v>
      </c>
      <c r="G2929" t="s">
        <v>2962</v>
      </c>
      <c r="H2929" t="s">
        <v>4425</v>
      </c>
      <c r="I2929" t="s">
        <v>3724</v>
      </c>
    </row>
    <row r="2930" customHeight="1" ht="14.0">
      <c r="A2930" t="s">
        <v>6100</v>
      </c>
      <c r="B2930" s="153" t="s">
        <v>6101</v>
      </c>
      <c r="C2930">
        <v>0.0</v>
      </c>
      <c r="D2930">
        <v>0.0</v>
      </c>
      <c r="F2930" t="s">
        <v>2942</v>
      </c>
      <c r="G2930" t="s">
        <v>2962</v>
      </c>
      <c r="H2930" t="s">
        <v>4425</v>
      </c>
      <c r="I2930" t="s">
        <v>3724</v>
      </c>
    </row>
    <row r="2931" customHeight="1" ht="14.0">
      <c r="A2931" t="s">
        <v>6102</v>
      </c>
      <c r="B2931" s="153" t="s">
        <v>2537</v>
      </c>
      <c r="C2931">
        <v>0.0</v>
      </c>
      <c r="D2931">
        <v>0.0</v>
      </c>
      <c r="F2931" t="s">
        <v>2942</v>
      </c>
      <c r="G2931" t="s">
        <v>2962</v>
      </c>
      <c r="H2931" t="s">
        <v>4425</v>
      </c>
      <c r="I2931" t="s">
        <v>3724</v>
      </c>
    </row>
    <row r="2932" customHeight="1" ht="14.0">
      <c r="A2932" t="s">
        <v>2538</v>
      </c>
      <c r="B2932" s="153" t="s">
        <v>2539</v>
      </c>
      <c r="C2932">
        <v>0.0</v>
      </c>
      <c r="D2932">
        <v>0.0</v>
      </c>
      <c r="F2932" t="s">
        <v>2942</v>
      </c>
      <c r="G2932" t="s">
        <v>2962</v>
      </c>
      <c r="H2932" t="s">
        <v>4425</v>
      </c>
      <c r="I2932" t="s">
        <v>3724</v>
      </c>
    </row>
    <row r="2933" customHeight="1" ht="14.0">
      <c r="A2933" t="s">
        <v>6103</v>
      </c>
      <c r="B2933" s="153" t="s">
        <v>6104</v>
      </c>
      <c r="C2933">
        <v>0.0</v>
      </c>
      <c r="D2933">
        <v>0.0</v>
      </c>
      <c r="F2933" t="s">
        <v>2942</v>
      </c>
      <c r="G2933" t="s">
        <v>2962</v>
      </c>
      <c r="H2933" t="s">
        <v>4425</v>
      </c>
      <c r="I2933" t="s">
        <v>3724</v>
      </c>
    </row>
    <row r="2934" customHeight="1" ht="14.0">
      <c r="A2934" t="s">
        <v>6105</v>
      </c>
      <c r="B2934" s="153" t="s">
        <v>6106</v>
      </c>
      <c r="C2934">
        <v>0.0</v>
      </c>
      <c r="D2934">
        <v>0.0</v>
      </c>
      <c r="F2934" t="s">
        <v>2942</v>
      </c>
      <c r="G2934" t="s">
        <v>2962</v>
      </c>
      <c r="H2934" t="s">
        <v>4425</v>
      </c>
      <c r="I2934" t="s">
        <v>3724</v>
      </c>
    </row>
    <row r="2935" customHeight="1" ht="14.0">
      <c r="A2935" t="s">
        <v>2540</v>
      </c>
      <c r="B2935" s="153" t="s">
        <v>2541</v>
      </c>
      <c r="C2935">
        <v>0.0</v>
      </c>
      <c r="D2935">
        <v>0.0</v>
      </c>
      <c r="F2935" t="s">
        <v>2942</v>
      </c>
      <c r="G2935" t="s">
        <v>2962</v>
      </c>
      <c r="H2935" t="s">
        <v>4425</v>
      </c>
      <c r="I2935" t="s">
        <v>3724</v>
      </c>
    </row>
    <row r="2936" customHeight="1" ht="14.0">
      <c r="A2936" t="s">
        <v>6107</v>
      </c>
      <c r="B2936" s="153" t="s">
        <v>6108</v>
      </c>
      <c r="C2936">
        <v>0.0</v>
      </c>
      <c r="D2936">
        <v>0.0</v>
      </c>
      <c r="F2936" t="s">
        <v>2942</v>
      </c>
      <c r="G2936" t="s">
        <v>2962</v>
      </c>
      <c r="H2936" t="s">
        <v>4425</v>
      </c>
      <c r="I2936" t="s">
        <v>3724</v>
      </c>
    </row>
    <row r="2937" customHeight="1" ht="14.0">
      <c r="A2937" t="s">
        <v>2542</v>
      </c>
      <c r="B2937" s="153" t="s">
        <v>2543</v>
      </c>
      <c r="C2937">
        <v>0.0</v>
      </c>
      <c r="D2937">
        <v>0.0</v>
      </c>
      <c r="F2937" t="s">
        <v>2942</v>
      </c>
      <c r="G2937" t="s">
        <v>2962</v>
      </c>
      <c r="H2937" t="s">
        <v>4425</v>
      </c>
      <c r="I2937" t="s">
        <v>3724</v>
      </c>
    </row>
    <row r="2938" customHeight="1" ht="14.0">
      <c r="A2938" t="s">
        <v>6109</v>
      </c>
      <c r="B2938" s="153" t="s">
        <v>6110</v>
      </c>
      <c r="C2938">
        <v>0.0</v>
      </c>
      <c r="D2938">
        <v>0.0</v>
      </c>
      <c r="F2938" t="s">
        <v>2942</v>
      </c>
      <c r="G2938" t="s">
        <v>2962</v>
      </c>
      <c r="H2938" t="s">
        <v>4425</v>
      </c>
      <c r="I2938" t="s">
        <v>3724</v>
      </c>
    </row>
    <row r="2939" customHeight="1" ht="14.0">
      <c r="A2939" t="s">
        <v>2544</v>
      </c>
      <c r="B2939" s="153" t="s">
        <v>2545</v>
      </c>
      <c r="C2939">
        <v>0.0</v>
      </c>
      <c r="D2939">
        <v>0.0</v>
      </c>
      <c r="F2939" t="s">
        <v>2942</v>
      </c>
      <c r="G2939" t="s">
        <v>2962</v>
      </c>
      <c r="H2939" t="s">
        <v>4425</v>
      </c>
      <c r="I2939" t="s">
        <v>3724</v>
      </c>
    </row>
    <row r="2940" customHeight="1" ht="14.0">
      <c r="A2940" t="s">
        <v>2546</v>
      </c>
      <c r="B2940" s="153" t="s">
        <v>2547</v>
      </c>
      <c r="C2940">
        <v>0.0</v>
      </c>
      <c r="D2940">
        <v>0.0</v>
      </c>
      <c r="F2940" t="s">
        <v>2942</v>
      </c>
      <c r="G2940" t="s">
        <v>2962</v>
      </c>
      <c r="H2940" t="s">
        <v>4425</v>
      </c>
      <c r="I2940" t="s">
        <v>3442</v>
      </c>
    </row>
    <row r="2941" customHeight="1" ht="14.0">
      <c r="A2941" t="s">
        <v>2548</v>
      </c>
      <c r="B2941" s="153" t="s">
        <v>2549</v>
      </c>
      <c r="C2941">
        <v>0.0</v>
      </c>
      <c r="D2941">
        <v>0.0</v>
      </c>
      <c r="F2941" t="s">
        <v>2942</v>
      </c>
      <c r="G2941" t="s">
        <v>2962</v>
      </c>
      <c r="H2941" t="s">
        <v>4425</v>
      </c>
      <c r="I2941" t="s">
        <v>4426</v>
      </c>
    </row>
    <row r="2942" customHeight="1" ht="14.0">
      <c r="A2942" t="s">
        <v>2550</v>
      </c>
      <c r="B2942" s="153" t="s">
        <v>2551</v>
      </c>
      <c r="C2942">
        <v>0.0</v>
      </c>
      <c r="D2942">
        <v>0.0</v>
      </c>
      <c r="F2942" t="s">
        <v>2942</v>
      </c>
      <c r="G2942" t="s">
        <v>2962</v>
      </c>
      <c r="H2942" t="s">
        <v>4425</v>
      </c>
      <c r="I2942" t="s">
        <v>3724</v>
      </c>
    </row>
    <row r="2943" customHeight="1" ht="14.0">
      <c r="A2943" t="s">
        <v>6111</v>
      </c>
      <c r="B2943" s="153" t="s">
        <v>6112</v>
      </c>
      <c r="C2943">
        <v>0.0</v>
      </c>
      <c r="D2943">
        <v>0.0</v>
      </c>
      <c r="F2943" t="s">
        <v>2942</v>
      </c>
      <c r="G2943" t="s">
        <v>2962</v>
      </c>
      <c r="H2943" t="s">
        <v>4425</v>
      </c>
      <c r="I2943" t="s">
        <v>3724</v>
      </c>
    </row>
    <row r="2944" customHeight="1" ht="14.0">
      <c r="A2944" t="s">
        <v>6113</v>
      </c>
      <c r="B2944" s="153" t="s">
        <v>6114</v>
      </c>
      <c r="C2944">
        <v>0.0</v>
      </c>
      <c r="D2944">
        <v>0.0</v>
      </c>
      <c r="F2944" t="s">
        <v>2942</v>
      </c>
      <c r="G2944" t="s">
        <v>2962</v>
      </c>
      <c r="H2944" t="s">
        <v>4425</v>
      </c>
      <c r="I2944" t="s">
        <v>3724</v>
      </c>
    </row>
    <row r="2945" customHeight="1" ht="14.0">
      <c r="A2945" t="s">
        <v>2552</v>
      </c>
      <c r="B2945" s="153" t="s">
        <v>2553</v>
      </c>
      <c r="C2945">
        <v>0.0</v>
      </c>
      <c r="D2945">
        <v>0.0</v>
      </c>
      <c r="F2945" t="s">
        <v>2942</v>
      </c>
      <c r="G2945" t="s">
        <v>2962</v>
      </c>
      <c r="H2945" t="s">
        <v>4425</v>
      </c>
      <c r="I2945" t="s">
        <v>3724</v>
      </c>
    </row>
    <row r="2946" customHeight="1" ht="14.0">
      <c r="A2946" t="s">
        <v>6115</v>
      </c>
      <c r="B2946" s="153" t="s">
        <v>6116</v>
      </c>
      <c r="C2946">
        <v>0.0</v>
      </c>
      <c r="D2946">
        <v>0.0</v>
      </c>
      <c r="F2946" t="s">
        <v>2942</v>
      </c>
      <c r="G2946" t="s">
        <v>2962</v>
      </c>
      <c r="H2946" t="s">
        <v>4425</v>
      </c>
      <c r="I2946" t="s">
        <v>4855</v>
      </c>
    </row>
    <row r="2947" customHeight="1" ht="14.0">
      <c r="A2947" t="s">
        <v>6117</v>
      </c>
      <c r="B2947" s="153" t="s">
        <v>6118</v>
      </c>
      <c r="C2947">
        <v>0.0</v>
      </c>
      <c r="D2947">
        <v>0.0</v>
      </c>
      <c r="F2947" t="s">
        <v>2942</v>
      </c>
      <c r="G2947" t="s">
        <v>2962</v>
      </c>
      <c r="H2947" t="s">
        <v>4425</v>
      </c>
      <c r="I2947" t="s">
        <v>4855</v>
      </c>
    </row>
    <row r="2948" customHeight="1" ht="14.0">
      <c r="A2948" t="s">
        <v>2554</v>
      </c>
      <c r="B2948" s="153" t="s">
        <v>2555</v>
      </c>
      <c r="C2948">
        <v>0.0</v>
      </c>
      <c r="D2948">
        <v>0.0</v>
      </c>
      <c r="F2948" t="s">
        <v>2942</v>
      </c>
      <c r="G2948" t="s">
        <v>2962</v>
      </c>
      <c r="H2948" t="s">
        <v>4425</v>
      </c>
      <c r="I2948" t="s">
        <v>3724</v>
      </c>
    </row>
    <row r="2949" customHeight="1" ht="14.0">
      <c r="A2949" t="s">
        <v>2556</v>
      </c>
      <c r="B2949" s="153" t="s">
        <v>2557</v>
      </c>
      <c r="C2949">
        <v>0.0</v>
      </c>
      <c r="D2949">
        <v>0.0</v>
      </c>
      <c r="F2949" t="s">
        <v>2942</v>
      </c>
      <c r="G2949" t="s">
        <v>2962</v>
      </c>
      <c r="H2949" t="s">
        <v>4425</v>
      </c>
      <c r="I2949" t="s">
        <v>3724</v>
      </c>
    </row>
    <row r="2950" customHeight="1" ht="14.0">
      <c r="A2950" t="s">
        <v>2558</v>
      </c>
      <c r="B2950" s="153" t="s">
        <v>2559</v>
      </c>
      <c r="C2950">
        <v>0.0</v>
      </c>
      <c r="D2950">
        <v>0.0</v>
      </c>
      <c r="F2950" t="s">
        <v>2942</v>
      </c>
      <c r="G2950" t="s">
        <v>2962</v>
      </c>
      <c r="H2950" t="s">
        <v>4425</v>
      </c>
      <c r="I2950" t="s">
        <v>3724</v>
      </c>
    </row>
    <row r="2951" customHeight="1" ht="14.0">
      <c r="A2951" t="s">
        <v>6119</v>
      </c>
      <c r="B2951" s="153" t="s">
        <v>6120</v>
      </c>
      <c r="C2951">
        <v>0.0</v>
      </c>
      <c r="D2951">
        <v>0.0</v>
      </c>
      <c r="F2951" t="s">
        <v>2942</v>
      </c>
      <c r="G2951" t="s">
        <v>2962</v>
      </c>
      <c r="H2951" t="s">
        <v>4425</v>
      </c>
      <c r="I2951" t="s">
        <v>3724</v>
      </c>
    </row>
    <row r="2952" customHeight="1" ht="14.0">
      <c r="A2952" t="s">
        <v>6121</v>
      </c>
      <c r="B2952" s="153" t="s">
        <v>6122</v>
      </c>
      <c r="C2952">
        <v>0.0</v>
      </c>
      <c r="D2952">
        <v>0.0</v>
      </c>
      <c r="F2952" t="s">
        <v>2942</v>
      </c>
      <c r="G2952" t="s">
        <v>2962</v>
      </c>
      <c r="H2952" t="s">
        <v>4425</v>
      </c>
      <c r="I2952" t="s">
        <v>6096</v>
      </c>
    </row>
    <row r="2953" customHeight="1" ht="14.0">
      <c r="A2953" t="s">
        <v>6123</v>
      </c>
      <c r="B2953" s="153" t="s">
        <v>6124</v>
      </c>
      <c r="C2953">
        <v>0.0</v>
      </c>
      <c r="D2953">
        <v>0.0</v>
      </c>
      <c r="F2953" t="s">
        <v>2942</v>
      </c>
      <c r="G2953" t="s">
        <v>2962</v>
      </c>
      <c r="H2953" t="s">
        <v>4425</v>
      </c>
      <c r="I2953" t="s">
        <v>6096</v>
      </c>
    </row>
    <row r="2954" customHeight="1" ht="14.0">
      <c r="A2954" t="s">
        <v>6125</v>
      </c>
      <c r="B2954" s="153" t="s">
        <v>6126</v>
      </c>
      <c r="C2954">
        <v>0.0</v>
      </c>
      <c r="D2954">
        <v>0.0</v>
      </c>
      <c r="F2954" t="s">
        <v>2942</v>
      </c>
      <c r="G2954" t="s">
        <v>2962</v>
      </c>
      <c r="H2954" t="s">
        <v>4425</v>
      </c>
      <c r="I2954" t="s">
        <v>6096</v>
      </c>
    </row>
    <row r="2955" customHeight="1" ht="14.0">
      <c r="A2955" t="s">
        <v>6127</v>
      </c>
      <c r="B2955" s="153" t="s">
        <v>6128</v>
      </c>
      <c r="C2955">
        <v>0.0</v>
      </c>
      <c r="D2955">
        <v>0.0</v>
      </c>
      <c r="F2955" t="s">
        <v>2942</v>
      </c>
      <c r="G2955" t="s">
        <v>2962</v>
      </c>
      <c r="H2955" t="s">
        <v>4425</v>
      </c>
      <c r="I2955" t="s">
        <v>6096</v>
      </c>
    </row>
    <row r="2956" customHeight="1" ht="14.0">
      <c r="A2956" t="s">
        <v>6129</v>
      </c>
      <c r="B2956" s="153" t="s">
        <v>6130</v>
      </c>
      <c r="C2956">
        <v>0.0</v>
      </c>
      <c r="D2956">
        <v>0.0</v>
      </c>
      <c r="F2956" t="s">
        <v>2942</v>
      </c>
      <c r="G2956" t="s">
        <v>2962</v>
      </c>
      <c r="H2956" t="s">
        <v>4425</v>
      </c>
      <c r="I2956" t="s">
        <v>83</v>
      </c>
    </row>
    <row r="2957" customHeight="1" ht="14.0">
      <c r="A2957" t="s">
        <v>6131</v>
      </c>
      <c r="B2957" s="153" t="s">
        <v>6132</v>
      </c>
      <c r="C2957">
        <v>0.0</v>
      </c>
      <c r="D2957">
        <v>0.0</v>
      </c>
      <c r="F2957" t="s">
        <v>2942</v>
      </c>
      <c r="G2957" t="s">
        <v>2962</v>
      </c>
      <c r="H2957" t="s">
        <v>4425</v>
      </c>
      <c r="I2957" t="s">
        <v>3724</v>
      </c>
    </row>
    <row r="2958" customHeight="1" ht="14.0">
      <c r="A2958" t="s">
        <v>2560</v>
      </c>
      <c r="B2958" s="153" t="s">
        <v>2561</v>
      </c>
      <c r="C2958">
        <v>0.0</v>
      </c>
      <c r="D2958">
        <v>0.0</v>
      </c>
      <c r="F2958" t="s">
        <v>2942</v>
      </c>
      <c r="G2958" t="s">
        <v>2962</v>
      </c>
      <c r="H2958" t="s">
        <v>4425</v>
      </c>
    </row>
    <row r="2959" customHeight="1" ht="14.0">
      <c r="A2959" t="s">
        <v>6133</v>
      </c>
      <c r="B2959" s="153" t="s">
        <v>6134</v>
      </c>
      <c r="C2959">
        <v>0.0</v>
      </c>
      <c r="D2959">
        <v>0.0</v>
      </c>
      <c r="F2959" t="s">
        <v>2942</v>
      </c>
      <c r="G2959" t="s">
        <v>2962</v>
      </c>
      <c r="H2959" t="s">
        <v>4425</v>
      </c>
    </row>
    <row r="2960" customHeight="1" ht="14.0">
      <c r="A2960" t="s">
        <v>6135</v>
      </c>
      <c r="B2960" s="153" t="s">
        <v>6136</v>
      </c>
      <c r="C2960">
        <v>0.0</v>
      </c>
      <c r="D2960">
        <v>0.0</v>
      </c>
      <c r="F2960" t="s">
        <v>2942</v>
      </c>
      <c r="G2960" t="s">
        <v>2962</v>
      </c>
      <c r="H2960" t="s">
        <v>4425</v>
      </c>
      <c r="I2960" t="s">
        <v>3153</v>
      </c>
    </row>
    <row r="2961" customHeight="1" ht="14.0">
      <c r="A2961" t="s">
        <v>6137</v>
      </c>
      <c r="B2961" s="153" t="s">
        <v>6138</v>
      </c>
      <c r="C2961">
        <v>0.0</v>
      </c>
      <c r="D2961">
        <v>0.0</v>
      </c>
      <c r="F2961" t="s">
        <v>2942</v>
      </c>
      <c r="G2961" t="s">
        <v>2962</v>
      </c>
      <c r="H2961" t="s">
        <v>4425</v>
      </c>
      <c r="I2961" t="s">
        <v>3153</v>
      </c>
    </row>
    <row r="2962" customHeight="1" ht="14.0">
      <c r="A2962" t="s">
        <v>6139</v>
      </c>
      <c r="B2962" s="153" t="s">
        <v>6140</v>
      </c>
      <c r="C2962">
        <v>0.0</v>
      </c>
      <c r="D2962">
        <v>0.0</v>
      </c>
      <c r="F2962" t="s">
        <v>2942</v>
      </c>
      <c r="G2962" t="s">
        <v>2962</v>
      </c>
      <c r="H2962" t="s">
        <v>4425</v>
      </c>
      <c r="I2962" t="s">
        <v>3724</v>
      </c>
    </row>
    <row r="2963" customHeight="1" ht="14.0">
      <c r="A2963" t="s">
        <v>2562</v>
      </c>
      <c r="B2963" s="153" t="s">
        <v>2563</v>
      </c>
      <c r="C2963">
        <v>0.0</v>
      </c>
      <c r="D2963">
        <v>0.0</v>
      </c>
      <c r="F2963" t="s">
        <v>2942</v>
      </c>
      <c r="G2963" t="s">
        <v>2962</v>
      </c>
      <c r="H2963" t="s">
        <v>4425</v>
      </c>
      <c r="I2963" t="s">
        <v>3724</v>
      </c>
    </row>
    <row r="2964" customHeight="1" ht="14.0">
      <c r="A2964" t="s">
        <v>6141</v>
      </c>
      <c r="B2964" s="153" t="s">
        <v>6142</v>
      </c>
      <c r="C2964">
        <v>0.0</v>
      </c>
      <c r="D2964">
        <v>0.0</v>
      </c>
      <c r="F2964" t="s">
        <v>2942</v>
      </c>
      <c r="G2964" t="s">
        <v>2962</v>
      </c>
      <c r="H2964" t="s">
        <v>4425</v>
      </c>
      <c r="I2964" t="s">
        <v>2965</v>
      </c>
    </row>
    <row r="2965" customHeight="1" ht="14.0">
      <c r="A2965" t="s">
        <v>2564</v>
      </c>
      <c r="B2965" s="153" t="s">
        <v>2565</v>
      </c>
      <c r="C2965">
        <v>0.0</v>
      </c>
      <c r="D2965">
        <v>0.0</v>
      </c>
      <c r="F2965" t="s">
        <v>2942</v>
      </c>
      <c r="G2965" t="s">
        <v>2962</v>
      </c>
      <c r="H2965" t="s">
        <v>4425</v>
      </c>
      <c r="I2965" t="s">
        <v>3724</v>
      </c>
    </row>
    <row r="2966" customHeight="1" ht="14.0">
      <c r="A2966" t="s">
        <v>6143</v>
      </c>
      <c r="B2966" s="153" t="s">
        <v>6144</v>
      </c>
      <c r="C2966">
        <v>0.0</v>
      </c>
      <c r="D2966">
        <v>0.0</v>
      </c>
      <c r="F2966" t="s">
        <v>2942</v>
      </c>
      <c r="G2966" t="s">
        <v>2962</v>
      </c>
      <c r="H2966" t="s">
        <v>4425</v>
      </c>
      <c r="I2966" t="s">
        <v>3724</v>
      </c>
    </row>
    <row r="2967" customHeight="1" ht="14.0">
      <c r="A2967" t="s">
        <v>6145</v>
      </c>
      <c r="B2967" s="153" t="s">
        <v>6146</v>
      </c>
      <c r="C2967">
        <v>0.0</v>
      </c>
      <c r="D2967">
        <v>0.0</v>
      </c>
      <c r="F2967" t="s">
        <v>2942</v>
      </c>
      <c r="G2967" t="s">
        <v>2962</v>
      </c>
      <c r="H2967" t="s">
        <v>4425</v>
      </c>
      <c r="I2967" t="s">
        <v>2965</v>
      </c>
    </row>
    <row r="2968" customHeight="1" ht="14.0">
      <c r="A2968" t="s">
        <v>6147</v>
      </c>
      <c r="B2968" s="153" t="s">
        <v>6148</v>
      </c>
      <c r="C2968">
        <v>0.0</v>
      </c>
      <c r="D2968">
        <v>0.0</v>
      </c>
      <c r="F2968" t="s">
        <v>2942</v>
      </c>
      <c r="G2968" t="s">
        <v>2962</v>
      </c>
      <c r="H2968" t="s">
        <v>4425</v>
      </c>
      <c r="I2968" t="s">
        <v>3724</v>
      </c>
    </row>
    <row r="2969" customHeight="1" ht="14.0">
      <c r="A2969" t="s">
        <v>6149</v>
      </c>
      <c r="B2969" s="153" t="s">
        <v>6150</v>
      </c>
      <c r="C2969">
        <v>0.0</v>
      </c>
      <c r="D2969">
        <v>0.0</v>
      </c>
      <c r="F2969" t="s">
        <v>2942</v>
      </c>
      <c r="G2969" t="s">
        <v>2962</v>
      </c>
      <c r="H2969" t="s">
        <v>4425</v>
      </c>
      <c r="I2969" t="s">
        <v>3724</v>
      </c>
    </row>
    <row r="2970" customHeight="1" ht="14.0">
      <c r="A2970" t="s">
        <v>2566</v>
      </c>
      <c r="B2970" s="153" t="s">
        <v>2567</v>
      </c>
      <c r="C2970">
        <v>0.0</v>
      </c>
      <c r="D2970">
        <v>0.0</v>
      </c>
      <c r="F2970" t="s">
        <v>2942</v>
      </c>
      <c r="G2970" t="s">
        <v>2962</v>
      </c>
      <c r="H2970" t="s">
        <v>4425</v>
      </c>
      <c r="I2970" t="s">
        <v>3724</v>
      </c>
    </row>
    <row r="2971" customHeight="1" ht="14.0">
      <c r="A2971" t="s">
        <v>6151</v>
      </c>
      <c r="B2971" s="153" t="s">
        <v>6152</v>
      </c>
      <c r="C2971">
        <v>0.0</v>
      </c>
      <c r="D2971">
        <v>0.0</v>
      </c>
      <c r="F2971" t="s">
        <v>2942</v>
      </c>
      <c r="G2971" t="s">
        <v>2962</v>
      </c>
      <c r="H2971" t="s">
        <v>4425</v>
      </c>
      <c r="I2971" t="s">
        <v>3724</v>
      </c>
    </row>
    <row r="2972" customHeight="1" ht="14.0">
      <c r="A2972" t="s">
        <v>6153</v>
      </c>
      <c r="B2972" s="153" t="s">
        <v>6154</v>
      </c>
      <c r="C2972">
        <v>0.0</v>
      </c>
      <c r="D2972">
        <v>0.0</v>
      </c>
      <c r="F2972" t="s">
        <v>2942</v>
      </c>
      <c r="G2972" t="s">
        <v>2962</v>
      </c>
      <c r="H2972" t="s">
        <v>4425</v>
      </c>
      <c r="I2972" t="s">
        <v>3724</v>
      </c>
    </row>
    <row r="2973" customHeight="1" ht="14.0">
      <c r="A2973" t="s">
        <v>6155</v>
      </c>
      <c r="B2973" s="153" t="s">
        <v>6156</v>
      </c>
      <c r="C2973">
        <v>0.0</v>
      </c>
      <c r="D2973">
        <v>0.0</v>
      </c>
      <c r="F2973" t="s">
        <v>2942</v>
      </c>
      <c r="G2973" t="s">
        <v>2962</v>
      </c>
      <c r="H2973" t="s">
        <v>4425</v>
      </c>
      <c r="I2973" t="s">
        <v>3724</v>
      </c>
    </row>
    <row r="2974" customHeight="1" ht="14.0">
      <c r="A2974" t="s">
        <v>6157</v>
      </c>
      <c r="B2974" s="153" t="s">
        <v>6158</v>
      </c>
      <c r="C2974">
        <v>0.0</v>
      </c>
      <c r="D2974">
        <v>0.0</v>
      </c>
      <c r="F2974" t="s">
        <v>2942</v>
      </c>
      <c r="G2974" t="s">
        <v>2962</v>
      </c>
      <c r="H2974" t="s">
        <v>4425</v>
      </c>
      <c r="I2974" t="s">
        <v>6159</v>
      </c>
    </row>
    <row r="2975" customHeight="1" ht="14.0">
      <c r="A2975" t="s">
        <v>6160</v>
      </c>
      <c r="B2975" s="153" t="s">
        <v>6161</v>
      </c>
      <c r="C2975">
        <v>0.0</v>
      </c>
      <c r="D2975">
        <v>0.0</v>
      </c>
      <c r="F2975" t="s">
        <v>2942</v>
      </c>
      <c r="G2975" t="s">
        <v>2962</v>
      </c>
      <c r="H2975" t="s">
        <v>4425</v>
      </c>
      <c r="I2975" t="s">
        <v>3724</v>
      </c>
    </row>
    <row r="2976" customHeight="1" ht="14.0">
      <c r="A2976" t="s">
        <v>6162</v>
      </c>
      <c r="B2976" s="153" t="s">
        <v>6163</v>
      </c>
      <c r="C2976">
        <v>0.0</v>
      </c>
      <c r="D2976">
        <v>0.0</v>
      </c>
      <c r="F2976" t="s">
        <v>2942</v>
      </c>
      <c r="G2976" t="s">
        <v>2962</v>
      </c>
      <c r="H2976" t="s">
        <v>4425</v>
      </c>
      <c r="I2976" t="s">
        <v>2965</v>
      </c>
    </row>
    <row r="2977" customHeight="1" ht="14.0">
      <c r="A2977" t="s">
        <v>6164</v>
      </c>
      <c r="B2977" s="153" t="s">
        <v>6165</v>
      </c>
      <c r="C2977">
        <v>0.0</v>
      </c>
      <c r="D2977">
        <v>0.0</v>
      </c>
      <c r="F2977" t="s">
        <v>2942</v>
      </c>
      <c r="G2977" t="s">
        <v>2962</v>
      </c>
      <c r="H2977" t="s">
        <v>4425</v>
      </c>
      <c r="I2977" t="s">
        <v>6096</v>
      </c>
    </row>
    <row r="2978" customHeight="1" ht="14.0">
      <c r="A2978" t="s">
        <v>6166</v>
      </c>
      <c r="B2978" s="153" t="s">
        <v>6167</v>
      </c>
      <c r="C2978">
        <v>0.0</v>
      </c>
      <c r="D2978">
        <v>0.0</v>
      </c>
      <c r="F2978" t="s">
        <v>2942</v>
      </c>
      <c r="G2978" t="s">
        <v>2962</v>
      </c>
      <c r="H2978" t="s">
        <v>4425</v>
      </c>
      <c r="I2978" t="s">
        <v>2965</v>
      </c>
    </row>
    <row r="2979" customHeight="1" ht="14.0">
      <c r="A2979" t="s">
        <v>6168</v>
      </c>
      <c r="B2979" s="153" t="s">
        <v>6169</v>
      </c>
      <c r="C2979">
        <v>0.0</v>
      </c>
      <c r="D2979">
        <v>0.0</v>
      </c>
      <c r="F2979" t="s">
        <v>2942</v>
      </c>
      <c r="G2979" t="s">
        <v>2962</v>
      </c>
      <c r="H2979" t="s">
        <v>4425</v>
      </c>
      <c r="I2979" t="s">
        <v>6096</v>
      </c>
    </row>
    <row r="2980" customHeight="1" ht="14.0">
      <c r="A2980" t="s">
        <v>6170</v>
      </c>
      <c r="B2980" s="153" t="s">
        <v>6171</v>
      </c>
      <c r="C2980">
        <v>0.0</v>
      </c>
      <c r="D2980">
        <v>0.0</v>
      </c>
      <c r="F2980" t="s">
        <v>2942</v>
      </c>
      <c r="G2980" t="s">
        <v>2962</v>
      </c>
      <c r="H2980" t="s">
        <v>4425</v>
      </c>
      <c r="I2980" t="s">
        <v>6096</v>
      </c>
    </row>
    <row r="2981" customHeight="1" ht="14.0">
      <c r="A2981" t="s">
        <v>6172</v>
      </c>
      <c r="B2981" s="153" t="s">
        <v>6173</v>
      </c>
      <c r="C2981">
        <v>0.0</v>
      </c>
      <c r="D2981">
        <v>0.0</v>
      </c>
      <c r="F2981" t="s">
        <v>2942</v>
      </c>
      <c r="G2981" t="s">
        <v>2962</v>
      </c>
      <c r="H2981" t="s">
        <v>4425</v>
      </c>
      <c r="I2981" t="s">
        <v>6096</v>
      </c>
    </row>
    <row r="2982" customHeight="1" ht="14.0">
      <c r="A2982" t="s">
        <v>6174</v>
      </c>
      <c r="B2982" s="153" t="s">
        <v>6175</v>
      </c>
      <c r="C2982">
        <v>0.0</v>
      </c>
      <c r="D2982">
        <v>0.0</v>
      </c>
      <c r="F2982" t="s">
        <v>2942</v>
      </c>
      <c r="G2982" t="s">
        <v>2962</v>
      </c>
      <c r="H2982" t="s">
        <v>4425</v>
      </c>
      <c r="I2982" t="s">
        <v>6096</v>
      </c>
    </row>
    <row r="2983" customHeight="1" ht="14.0">
      <c r="A2983" t="s">
        <v>6176</v>
      </c>
      <c r="B2983" s="153" t="s">
        <v>6177</v>
      </c>
      <c r="C2983">
        <v>0.0</v>
      </c>
      <c r="D2983">
        <v>0.0</v>
      </c>
      <c r="F2983" t="s">
        <v>2942</v>
      </c>
      <c r="G2983" t="s">
        <v>2962</v>
      </c>
      <c r="H2983" t="s">
        <v>4425</v>
      </c>
      <c r="I2983" t="s">
        <v>6096</v>
      </c>
    </row>
    <row r="2984" customHeight="1" ht="14.0">
      <c r="A2984" t="s">
        <v>6178</v>
      </c>
      <c r="B2984" s="153" t="s">
        <v>6179</v>
      </c>
      <c r="C2984">
        <v>0.0</v>
      </c>
      <c r="D2984">
        <v>0.0</v>
      </c>
      <c r="F2984" t="s">
        <v>2942</v>
      </c>
      <c r="G2984" t="s">
        <v>2962</v>
      </c>
      <c r="H2984" t="s">
        <v>4425</v>
      </c>
      <c r="I2984" t="s">
        <v>5077</v>
      </c>
    </row>
    <row r="2985" customHeight="1" ht="14.0">
      <c r="A2985" t="s">
        <v>6180</v>
      </c>
      <c r="B2985" s="153" t="s">
        <v>6181</v>
      </c>
      <c r="C2985">
        <v>0.0</v>
      </c>
      <c r="D2985">
        <v>0.0</v>
      </c>
      <c r="F2985" t="s">
        <v>2942</v>
      </c>
      <c r="G2985" t="s">
        <v>2962</v>
      </c>
      <c r="H2985" t="s">
        <v>4425</v>
      </c>
      <c r="I2985" t="s">
        <v>5077</v>
      </c>
    </row>
    <row r="2986" customHeight="1" ht="14.0">
      <c r="A2986" t="s">
        <v>6182</v>
      </c>
      <c r="B2986" s="153" t="s">
        <v>6183</v>
      </c>
      <c r="C2986">
        <v>0.0</v>
      </c>
      <c r="D2986">
        <v>0.0</v>
      </c>
      <c r="F2986" t="s">
        <v>2942</v>
      </c>
      <c r="G2986" t="s">
        <v>2962</v>
      </c>
      <c r="H2986" t="s">
        <v>4425</v>
      </c>
      <c r="I2986" t="s">
        <v>5077</v>
      </c>
    </row>
    <row r="2987" customHeight="1" ht="14.0">
      <c r="A2987" t="s">
        <v>6184</v>
      </c>
      <c r="B2987" s="153" t="s">
        <v>6185</v>
      </c>
      <c r="C2987">
        <v>0.0</v>
      </c>
      <c r="D2987">
        <v>0.0</v>
      </c>
      <c r="F2987" t="s">
        <v>2942</v>
      </c>
      <c r="G2987" t="s">
        <v>2962</v>
      </c>
      <c r="H2987" t="s">
        <v>4425</v>
      </c>
      <c r="I2987" t="s">
        <v>5077</v>
      </c>
    </row>
    <row r="2988" customHeight="1" ht="14.0">
      <c r="A2988" t="s">
        <v>6186</v>
      </c>
      <c r="B2988" s="153" t="s">
        <v>6187</v>
      </c>
      <c r="C2988">
        <v>0.0</v>
      </c>
      <c r="D2988">
        <v>0.0</v>
      </c>
      <c r="F2988" t="s">
        <v>2942</v>
      </c>
      <c r="G2988" t="s">
        <v>2962</v>
      </c>
      <c r="H2988" t="s">
        <v>4425</v>
      </c>
      <c r="I2988" t="s">
        <v>5077</v>
      </c>
    </row>
    <row r="2989" customHeight="1" ht="14.0">
      <c r="A2989" t="s">
        <v>6188</v>
      </c>
      <c r="B2989" s="153" t="s">
        <v>6189</v>
      </c>
      <c r="C2989">
        <v>0.0</v>
      </c>
      <c r="D2989">
        <v>0.0</v>
      </c>
      <c r="F2989" t="s">
        <v>2942</v>
      </c>
      <c r="G2989" t="s">
        <v>2962</v>
      </c>
      <c r="H2989" t="s">
        <v>4425</v>
      </c>
      <c r="I2989" t="s">
        <v>5077</v>
      </c>
    </row>
    <row r="2990" customHeight="1" ht="14.0">
      <c r="A2990" t="s">
        <v>6190</v>
      </c>
      <c r="B2990" s="153" t="s">
        <v>6191</v>
      </c>
      <c r="C2990">
        <v>0.0</v>
      </c>
      <c r="D2990">
        <v>0.0</v>
      </c>
      <c r="F2990" t="s">
        <v>2942</v>
      </c>
      <c r="G2990" t="s">
        <v>2962</v>
      </c>
      <c r="H2990" t="s">
        <v>4425</v>
      </c>
      <c r="I2990" t="s">
        <v>2965</v>
      </c>
    </row>
    <row r="2991" customHeight="1" ht="14.0">
      <c r="A2991" t="s">
        <v>6192</v>
      </c>
      <c r="B2991" s="153" t="s">
        <v>6193</v>
      </c>
      <c r="C2991">
        <v>0.0</v>
      </c>
      <c r="D2991">
        <v>0.0</v>
      </c>
      <c r="F2991" t="s">
        <v>2942</v>
      </c>
      <c r="G2991" t="s">
        <v>2962</v>
      </c>
      <c r="H2991" t="s">
        <v>4425</v>
      </c>
      <c r="I2991" t="s">
        <v>3153</v>
      </c>
    </row>
    <row r="2992" customHeight="1" ht="14.0">
      <c r="A2992" t="s">
        <v>6194</v>
      </c>
      <c r="B2992" s="153" t="s">
        <v>6195</v>
      </c>
      <c r="C2992">
        <v>0.0</v>
      </c>
      <c r="D2992">
        <v>0.0</v>
      </c>
      <c r="F2992" t="s">
        <v>2942</v>
      </c>
      <c r="G2992" t="s">
        <v>2962</v>
      </c>
      <c r="H2992" t="s">
        <v>4425</v>
      </c>
      <c r="I2992" t="s">
        <v>3153</v>
      </c>
    </row>
    <row r="2993" customHeight="1" ht="14.0">
      <c r="A2993" t="s">
        <v>6196</v>
      </c>
      <c r="B2993" s="153" t="s">
        <v>6197</v>
      </c>
      <c r="C2993">
        <v>0.0</v>
      </c>
      <c r="D2993">
        <v>0.0</v>
      </c>
      <c r="F2993" t="s">
        <v>2942</v>
      </c>
      <c r="G2993" t="s">
        <v>2962</v>
      </c>
      <c r="H2993" t="s">
        <v>4425</v>
      </c>
      <c r="I2993" t="s">
        <v>3153</v>
      </c>
    </row>
    <row r="2994" customHeight="1" ht="14.0">
      <c r="A2994" t="s">
        <v>6198</v>
      </c>
      <c r="B2994" s="153" t="s">
        <v>6199</v>
      </c>
      <c r="C2994">
        <v>0.0</v>
      </c>
      <c r="D2994">
        <v>0.0</v>
      </c>
      <c r="F2994" t="s">
        <v>2942</v>
      </c>
      <c r="G2994" t="s">
        <v>2962</v>
      </c>
      <c r="H2994" t="s">
        <v>4425</v>
      </c>
      <c r="I2994" t="s">
        <v>3153</v>
      </c>
    </row>
    <row r="2995" customHeight="1" ht="14.0">
      <c r="A2995" t="s">
        <v>6200</v>
      </c>
      <c r="B2995" s="153" t="s">
        <v>6201</v>
      </c>
      <c r="C2995">
        <v>0.0</v>
      </c>
      <c r="D2995">
        <v>0.0</v>
      </c>
      <c r="F2995" t="s">
        <v>2942</v>
      </c>
      <c r="G2995" t="s">
        <v>2962</v>
      </c>
      <c r="H2995" t="s">
        <v>4425</v>
      </c>
      <c r="I2995" t="s">
        <v>3153</v>
      </c>
    </row>
    <row r="2996" customHeight="1" ht="14.0">
      <c r="A2996" t="s">
        <v>6202</v>
      </c>
      <c r="B2996" s="153" t="s">
        <v>6203</v>
      </c>
      <c r="C2996">
        <v>0.0</v>
      </c>
      <c r="D2996">
        <v>0.0</v>
      </c>
      <c r="F2996" t="s">
        <v>2942</v>
      </c>
      <c r="G2996" t="s">
        <v>2962</v>
      </c>
      <c r="H2996" t="s">
        <v>4425</v>
      </c>
      <c r="I2996" t="s">
        <v>3153</v>
      </c>
    </row>
    <row r="2997" customHeight="1" ht="14.0">
      <c r="A2997" t="s">
        <v>6204</v>
      </c>
      <c r="B2997" s="153" t="s">
        <v>6205</v>
      </c>
      <c r="C2997">
        <v>0.0</v>
      </c>
      <c r="D2997">
        <v>0.0</v>
      </c>
      <c r="F2997" t="s">
        <v>2942</v>
      </c>
      <c r="G2997" t="s">
        <v>2962</v>
      </c>
      <c r="H2997" t="s">
        <v>4425</v>
      </c>
      <c r="I2997" t="s">
        <v>3153</v>
      </c>
    </row>
    <row r="2998" customHeight="1" ht="14.0">
      <c r="A2998" t="s">
        <v>6206</v>
      </c>
      <c r="B2998" s="153" t="s">
        <v>6207</v>
      </c>
      <c r="C2998">
        <v>0.0</v>
      </c>
      <c r="D2998">
        <v>0.0</v>
      </c>
      <c r="F2998" t="s">
        <v>2942</v>
      </c>
      <c r="G2998" t="s">
        <v>2962</v>
      </c>
      <c r="H2998" t="s">
        <v>4425</v>
      </c>
      <c r="I2998" t="s">
        <v>3153</v>
      </c>
    </row>
    <row r="2999" customHeight="1" ht="14.0">
      <c r="A2999" t="s">
        <v>6208</v>
      </c>
      <c r="B2999" s="153" t="s">
        <v>6209</v>
      </c>
      <c r="C2999">
        <v>0.0</v>
      </c>
      <c r="D2999">
        <v>0.0</v>
      </c>
      <c r="F2999" t="s">
        <v>2942</v>
      </c>
      <c r="G2999" t="s">
        <v>2962</v>
      </c>
      <c r="H2999" t="s">
        <v>4425</v>
      </c>
      <c r="I2999" t="s">
        <v>3153</v>
      </c>
    </row>
    <row r="3000" customHeight="1" ht="14.0">
      <c r="A3000" t="s">
        <v>6210</v>
      </c>
      <c r="B3000" s="153" t="s">
        <v>6211</v>
      </c>
      <c r="C3000">
        <v>0.0</v>
      </c>
      <c r="D3000">
        <v>0.0</v>
      </c>
      <c r="F3000" t="s">
        <v>2942</v>
      </c>
      <c r="G3000" t="s">
        <v>2962</v>
      </c>
      <c r="H3000" t="s">
        <v>4425</v>
      </c>
      <c r="I3000" t="s">
        <v>3153</v>
      </c>
    </row>
    <row r="3001" customHeight="1" ht="14.0">
      <c r="A3001" t="s">
        <v>6212</v>
      </c>
      <c r="B3001" s="153">
        <v>97202.0</v>
      </c>
      <c r="C3001">
        <v>0.0</v>
      </c>
      <c r="D3001">
        <v>0.0</v>
      </c>
      <c r="F3001" t="s">
        <v>2942</v>
      </c>
      <c r="G3001" t="s">
        <v>2943</v>
      </c>
      <c r="H3001" t="s">
        <v>2944</v>
      </c>
      <c r="I3001" t="s">
        <v>3680</v>
      </c>
    </row>
    <row r="3002" customHeight="1" ht="14.0">
      <c r="A3002" t="s">
        <v>6213</v>
      </c>
      <c r="B3002" s="153">
        <v>97204.0</v>
      </c>
      <c r="C3002">
        <v>0.0</v>
      </c>
      <c r="D3002">
        <v>0.0</v>
      </c>
      <c r="F3002" t="s">
        <v>2942</v>
      </c>
      <c r="G3002" t="s">
        <v>2943</v>
      </c>
      <c r="H3002" t="s">
        <v>2944</v>
      </c>
      <c r="I3002" t="s">
        <v>3680</v>
      </c>
    </row>
    <row r="3003" customHeight="1" ht="14.0">
      <c r="A3003" t="s">
        <v>6214</v>
      </c>
      <c r="B3003" s="153">
        <v>97203.0</v>
      </c>
      <c r="C3003">
        <v>0.0</v>
      </c>
      <c r="D3003">
        <v>0.0</v>
      </c>
      <c r="F3003" t="s">
        <v>2942</v>
      </c>
      <c r="G3003" t="s">
        <v>2943</v>
      </c>
      <c r="H3003" t="s">
        <v>2944</v>
      </c>
      <c r="I3003" t="s">
        <v>3680</v>
      </c>
    </row>
    <row r="3004" customHeight="1" ht="14.0">
      <c r="A3004" t="s">
        <v>6215</v>
      </c>
      <c r="B3004" s="153">
        <v>97201.0</v>
      </c>
      <c r="C3004">
        <v>0.0</v>
      </c>
      <c r="D3004">
        <v>0.0</v>
      </c>
      <c r="F3004" t="s">
        <v>2942</v>
      </c>
      <c r="G3004" t="s">
        <v>2943</v>
      </c>
      <c r="H3004" t="s">
        <v>2944</v>
      </c>
      <c r="I3004" t="s">
        <v>3680</v>
      </c>
    </row>
    <row r="3005" customHeight="1" ht="14.0">
      <c r="A3005" t="s">
        <v>6216</v>
      </c>
      <c r="B3005" s="153">
        <v>97306.0</v>
      </c>
      <c r="C3005">
        <v>0.0</v>
      </c>
      <c r="D3005">
        <v>0.0</v>
      </c>
      <c r="F3005" t="s">
        <v>2942</v>
      </c>
      <c r="G3005" t="s">
        <v>2943</v>
      </c>
      <c r="H3005" t="s">
        <v>2944</v>
      </c>
      <c r="I3005" t="s">
        <v>83</v>
      </c>
    </row>
    <row r="3006" customHeight="1" ht="14.0">
      <c r="A3006" t="s">
        <v>6217</v>
      </c>
      <c r="B3006" s="153">
        <v>97305.0</v>
      </c>
      <c r="C3006">
        <v>0.0</v>
      </c>
      <c r="D3006">
        <v>0.0</v>
      </c>
      <c r="F3006" t="s">
        <v>2942</v>
      </c>
      <c r="G3006" t="s">
        <v>2943</v>
      </c>
      <c r="H3006" t="s">
        <v>2944</v>
      </c>
      <c r="I3006" t="s">
        <v>83</v>
      </c>
    </row>
    <row r="3007" customHeight="1" ht="14.0">
      <c r="A3007" t="s">
        <v>6218</v>
      </c>
      <c r="B3007" s="153">
        <v>97307.0</v>
      </c>
      <c r="C3007">
        <v>0.0</v>
      </c>
      <c r="D3007">
        <v>0.0</v>
      </c>
      <c r="F3007" t="s">
        <v>2942</v>
      </c>
      <c r="G3007" t="s">
        <v>2943</v>
      </c>
      <c r="H3007" t="s">
        <v>2944</v>
      </c>
      <c r="I3007" t="s">
        <v>83</v>
      </c>
    </row>
    <row r="3008" customHeight="1" ht="14.0">
      <c r="A3008" t="s">
        <v>6219</v>
      </c>
      <c r="B3008" s="153">
        <v>97304.0</v>
      </c>
      <c r="C3008">
        <v>0.0</v>
      </c>
      <c r="D3008">
        <v>0.0</v>
      </c>
      <c r="F3008" t="s">
        <v>2942</v>
      </c>
      <c r="G3008" t="s">
        <v>2943</v>
      </c>
      <c r="H3008" t="s">
        <v>2944</v>
      </c>
      <c r="I3008" t="s">
        <v>83</v>
      </c>
    </row>
    <row r="3009" customHeight="1" ht="14.0">
      <c r="A3009" t="s">
        <v>6220</v>
      </c>
      <c r="B3009" s="153">
        <v>97302.0</v>
      </c>
      <c r="C3009">
        <v>0.0</v>
      </c>
      <c r="D3009">
        <v>0.0</v>
      </c>
      <c r="F3009" t="s">
        <v>2942</v>
      </c>
      <c r="G3009" t="s">
        <v>2943</v>
      </c>
      <c r="H3009" t="s">
        <v>2944</v>
      </c>
      <c r="I3009" t="s">
        <v>83</v>
      </c>
    </row>
    <row r="3010" customHeight="1" ht="14.0">
      <c r="A3010" t="s">
        <v>6221</v>
      </c>
      <c r="B3010" s="153">
        <v>97303.0</v>
      </c>
      <c r="C3010">
        <v>0.0</v>
      </c>
      <c r="D3010">
        <v>0.0</v>
      </c>
      <c r="F3010" t="s">
        <v>2942</v>
      </c>
      <c r="G3010" t="s">
        <v>2943</v>
      </c>
      <c r="H3010" t="s">
        <v>2944</v>
      </c>
      <c r="I3010" t="s">
        <v>83</v>
      </c>
    </row>
    <row r="3011" customHeight="1" ht="14.0">
      <c r="A3011" t="s">
        <v>6222</v>
      </c>
      <c r="B3011" s="153">
        <v>97301.0</v>
      </c>
      <c r="C3011">
        <v>0.0</v>
      </c>
      <c r="D3011">
        <v>0.0</v>
      </c>
      <c r="F3011" t="s">
        <v>2942</v>
      </c>
      <c r="G3011" t="s">
        <v>2943</v>
      </c>
      <c r="H3011" t="s">
        <v>2944</v>
      </c>
      <c r="I3011" t="s">
        <v>83</v>
      </c>
    </row>
    <row r="3012" customHeight="1" ht="14.0">
      <c r="A3012" t="s">
        <v>6223</v>
      </c>
      <c r="B3012" s="153" t="s">
        <v>6224</v>
      </c>
      <c r="C3012">
        <v>0.0</v>
      </c>
      <c r="D3012">
        <v>0.0</v>
      </c>
      <c r="F3012" t="s">
        <v>2942</v>
      </c>
      <c r="G3012" t="s">
        <v>2943</v>
      </c>
      <c r="H3012" t="s">
        <v>2944</v>
      </c>
      <c r="I3012" t="s">
        <v>228</v>
      </c>
    </row>
    <row r="3013" customHeight="1" ht="14.0">
      <c r="A3013" t="s">
        <v>6225</v>
      </c>
      <c r="B3013" s="153" t="s">
        <v>6226</v>
      </c>
      <c r="C3013">
        <v>0.0</v>
      </c>
      <c r="D3013">
        <v>0.0</v>
      </c>
      <c r="F3013" t="s">
        <v>2942</v>
      </c>
      <c r="G3013" t="s">
        <v>2943</v>
      </c>
      <c r="H3013" t="s">
        <v>2944</v>
      </c>
      <c r="I3013" t="s">
        <v>401</v>
      </c>
    </row>
    <row r="3014" customHeight="1" ht="14.0">
      <c r="A3014" t="s">
        <v>2568</v>
      </c>
      <c r="B3014" s="153" t="s">
        <v>2569</v>
      </c>
      <c r="C3014">
        <v>14.0</v>
      </c>
      <c r="D3014">
        <v>70.59</v>
      </c>
      <c r="E3014">
        <v>5.0421</v>
      </c>
      <c r="F3014" t="s">
        <v>2942</v>
      </c>
      <c r="G3014" t="s">
        <v>2962</v>
      </c>
      <c r="H3014" t="s">
        <v>2963</v>
      </c>
      <c r="I3014" t="s">
        <v>5544</v>
      </c>
    </row>
    <row r="3015" customHeight="1" ht="14.0">
      <c r="A3015" t="s">
        <v>2570</v>
      </c>
      <c r="B3015" s="153" t="s">
        <v>2571</v>
      </c>
      <c r="C3015">
        <v>442.0</v>
      </c>
      <c r="D3015">
        <v>3851.19</v>
      </c>
      <c r="E3015">
        <v>8.7131</v>
      </c>
      <c r="F3015" t="s">
        <v>2942</v>
      </c>
      <c r="G3015" t="s">
        <v>2962</v>
      </c>
      <c r="H3015" t="s">
        <v>2963</v>
      </c>
      <c r="I3015" t="s">
        <v>5544</v>
      </c>
    </row>
    <row r="3016" customHeight="1" ht="14.0">
      <c r="A3016" t="s">
        <v>2572</v>
      </c>
      <c r="B3016" s="153" t="s">
        <v>2573</v>
      </c>
      <c r="C3016">
        <v>63.0</v>
      </c>
      <c r="D3016">
        <v>325.94</v>
      </c>
      <c r="E3016">
        <v>5.1737</v>
      </c>
      <c r="F3016" t="s">
        <v>2942</v>
      </c>
      <c r="G3016" t="s">
        <v>2962</v>
      </c>
      <c r="H3016" t="s">
        <v>2963</v>
      </c>
      <c r="I3016" t="s">
        <v>5544</v>
      </c>
    </row>
    <row r="3017" customHeight="1" ht="14.0">
      <c r="A3017" t="s">
        <v>2574</v>
      </c>
      <c r="B3017" s="153" t="s">
        <v>2575</v>
      </c>
      <c r="C3017">
        <v>0.0</v>
      </c>
      <c r="D3017">
        <v>0.0</v>
      </c>
      <c r="F3017" t="s">
        <v>2942</v>
      </c>
      <c r="G3017" t="s">
        <v>2943</v>
      </c>
      <c r="H3017" t="s">
        <v>2963</v>
      </c>
      <c r="I3017" t="s">
        <v>5544</v>
      </c>
    </row>
    <row r="3018" customHeight="1" ht="14.0">
      <c r="A3018" t="s">
        <v>2576</v>
      </c>
      <c r="B3018" s="153" t="s">
        <v>2577</v>
      </c>
      <c r="C3018">
        <v>80.0</v>
      </c>
      <c r="D3018">
        <v>273.2</v>
      </c>
      <c r="E3018">
        <v>3.415</v>
      </c>
      <c r="F3018" t="s">
        <v>2942</v>
      </c>
      <c r="G3018" t="s">
        <v>2962</v>
      </c>
      <c r="H3018" t="s">
        <v>2963</v>
      </c>
      <c r="I3018" t="s">
        <v>5544</v>
      </c>
    </row>
    <row r="3019" customHeight="1" ht="14.0">
      <c r="A3019" t="s">
        <v>2578</v>
      </c>
      <c r="B3019" s="153" t="s">
        <v>2579</v>
      </c>
      <c r="C3019">
        <v>0.0</v>
      </c>
      <c r="D3019">
        <v>0.0</v>
      </c>
      <c r="F3019" t="s">
        <v>2942</v>
      </c>
      <c r="G3019" t="s">
        <v>2962</v>
      </c>
      <c r="H3019" t="s">
        <v>2963</v>
      </c>
      <c r="I3019" t="s">
        <v>5544</v>
      </c>
    </row>
    <row r="3020" customHeight="1" ht="14.0">
      <c r="A3020" t="s">
        <v>2580</v>
      </c>
      <c r="B3020" s="153" t="s">
        <v>2581</v>
      </c>
      <c r="C3020">
        <v>0.0</v>
      </c>
      <c r="D3020">
        <v>0.0</v>
      </c>
      <c r="F3020" t="s">
        <v>2942</v>
      </c>
      <c r="G3020" t="s">
        <v>2943</v>
      </c>
      <c r="H3020" t="s">
        <v>2963</v>
      </c>
      <c r="I3020" t="s">
        <v>5544</v>
      </c>
    </row>
    <row r="3021" customHeight="1" ht="14.0">
      <c r="A3021" t="s">
        <v>2582</v>
      </c>
      <c r="B3021" s="153" t="s">
        <v>2583</v>
      </c>
      <c r="C3021">
        <v>455.0</v>
      </c>
      <c r="D3021">
        <v>1161.35</v>
      </c>
      <c r="E3021">
        <v>2.5524</v>
      </c>
      <c r="F3021" t="s">
        <v>2942</v>
      </c>
      <c r="G3021" t="s">
        <v>2962</v>
      </c>
      <c r="H3021" t="s">
        <v>2963</v>
      </c>
      <c r="I3021" t="s">
        <v>5544</v>
      </c>
    </row>
    <row r="3022" customHeight="1" ht="14.0">
      <c r="A3022" t="s">
        <v>2584</v>
      </c>
      <c r="B3022" s="153" t="s">
        <v>2585</v>
      </c>
      <c r="C3022">
        <v>28.0</v>
      </c>
      <c r="D3022">
        <v>71.5</v>
      </c>
      <c r="E3022">
        <v>2.5536</v>
      </c>
      <c r="F3022" t="s">
        <v>2942</v>
      </c>
      <c r="G3022" t="s">
        <v>2962</v>
      </c>
      <c r="H3022" t="s">
        <v>2963</v>
      </c>
      <c r="I3022" t="s">
        <v>5544</v>
      </c>
    </row>
    <row r="3023" customHeight="1" ht="14.0">
      <c r="A3023" t="s">
        <v>2586</v>
      </c>
      <c r="B3023" s="153" t="s">
        <v>2587</v>
      </c>
      <c r="C3023">
        <v>4.0</v>
      </c>
      <c r="D3023">
        <v>10.61</v>
      </c>
      <c r="E3023">
        <v>2.6525</v>
      </c>
      <c r="F3023" t="s">
        <v>2942</v>
      </c>
      <c r="G3023" t="s">
        <v>2962</v>
      </c>
      <c r="H3023" t="s">
        <v>2963</v>
      </c>
      <c r="I3023" t="s">
        <v>5544</v>
      </c>
    </row>
    <row r="3024" customHeight="1" ht="14.0">
      <c r="A3024" t="s">
        <v>2588</v>
      </c>
      <c r="B3024" s="153" t="s">
        <v>2589</v>
      </c>
      <c r="C3024">
        <v>156.0</v>
      </c>
      <c r="D3024">
        <v>558.17</v>
      </c>
      <c r="E3024">
        <v>3.578</v>
      </c>
      <c r="F3024" t="s">
        <v>2942</v>
      </c>
      <c r="G3024" t="s">
        <v>2962</v>
      </c>
      <c r="H3024" t="s">
        <v>2963</v>
      </c>
      <c r="I3024" t="s">
        <v>5544</v>
      </c>
    </row>
    <row r="3025" customHeight="1" ht="14.0">
      <c r="A3025" t="s">
        <v>2590</v>
      </c>
      <c r="B3025" s="153" t="s">
        <v>2591</v>
      </c>
      <c r="C3025">
        <v>0.0</v>
      </c>
      <c r="D3025">
        <v>0.0</v>
      </c>
      <c r="F3025" t="s">
        <v>2942</v>
      </c>
      <c r="G3025" t="s">
        <v>2943</v>
      </c>
      <c r="H3025" t="s">
        <v>2963</v>
      </c>
      <c r="I3025" t="s">
        <v>5544</v>
      </c>
    </row>
    <row r="3026" customHeight="1" ht="14.0">
      <c r="A3026" t="s">
        <v>2592</v>
      </c>
      <c r="B3026" s="153" t="s">
        <v>2593</v>
      </c>
      <c r="C3026">
        <v>187.0</v>
      </c>
      <c r="D3026">
        <v>805.53</v>
      </c>
      <c r="E3026">
        <v>4.3076</v>
      </c>
      <c r="F3026" t="s">
        <v>2942</v>
      </c>
      <c r="G3026" t="s">
        <v>2962</v>
      </c>
      <c r="H3026" t="s">
        <v>2963</v>
      </c>
      <c r="I3026" t="s">
        <v>5544</v>
      </c>
    </row>
    <row r="3027" customHeight="1" ht="14.0">
      <c r="A3027" t="s">
        <v>2594</v>
      </c>
      <c r="B3027" s="153" t="s">
        <v>2595</v>
      </c>
      <c r="C3027">
        <v>0.0</v>
      </c>
      <c r="D3027">
        <v>0.0</v>
      </c>
      <c r="F3027" t="s">
        <v>2942</v>
      </c>
      <c r="G3027" t="s">
        <v>2943</v>
      </c>
      <c r="H3027" t="s">
        <v>2963</v>
      </c>
      <c r="I3027" t="s">
        <v>5544</v>
      </c>
    </row>
    <row r="3028" customHeight="1" ht="14.0">
      <c r="A3028" t="s">
        <v>2596</v>
      </c>
      <c r="B3028" s="153" t="s">
        <v>2597</v>
      </c>
      <c r="C3028">
        <v>15.0</v>
      </c>
      <c r="D3028">
        <v>47.08</v>
      </c>
      <c r="E3028">
        <v>3.1387</v>
      </c>
      <c r="F3028" t="s">
        <v>2942</v>
      </c>
      <c r="G3028" t="s">
        <v>2962</v>
      </c>
      <c r="H3028" t="s">
        <v>2963</v>
      </c>
      <c r="I3028" t="s">
        <v>5544</v>
      </c>
    </row>
    <row r="3029" customHeight="1" ht="14.0">
      <c r="A3029" t="s">
        <v>2598</v>
      </c>
      <c r="B3029" s="153" t="s">
        <v>2599</v>
      </c>
      <c r="C3029">
        <v>256.0</v>
      </c>
      <c r="D3029">
        <v>618.01</v>
      </c>
      <c r="E3029">
        <v>2.4141</v>
      </c>
      <c r="F3029" t="s">
        <v>2942</v>
      </c>
      <c r="G3029" t="s">
        <v>2962</v>
      </c>
      <c r="H3029" t="s">
        <v>2963</v>
      </c>
      <c r="I3029" t="s">
        <v>5544</v>
      </c>
    </row>
    <row r="3030" customHeight="1" ht="14.0">
      <c r="A3030" t="s">
        <v>2600</v>
      </c>
      <c r="B3030" s="153" t="s">
        <v>2601</v>
      </c>
      <c r="C3030">
        <v>214.0</v>
      </c>
      <c r="D3030">
        <v>576.23</v>
      </c>
      <c r="E3030">
        <v>2.6927</v>
      </c>
      <c r="F3030" t="s">
        <v>2942</v>
      </c>
      <c r="G3030" t="s">
        <v>2962</v>
      </c>
      <c r="H3030" t="s">
        <v>2963</v>
      </c>
      <c r="I3030" t="s">
        <v>5544</v>
      </c>
    </row>
    <row r="3031" customHeight="1" ht="14.0">
      <c r="A3031" t="s">
        <v>2604</v>
      </c>
      <c r="B3031" s="153" t="s">
        <v>2605</v>
      </c>
      <c r="C3031">
        <v>1.0</v>
      </c>
      <c r="D3031">
        <v>32.47</v>
      </c>
      <c r="E3031">
        <v>32.47</v>
      </c>
      <c r="F3031" t="s">
        <v>2942</v>
      </c>
      <c r="G3031" t="s">
        <v>2962</v>
      </c>
      <c r="H3031" t="s">
        <v>2963</v>
      </c>
      <c r="I3031" t="s">
        <v>5544</v>
      </c>
    </row>
    <row r="3032" customHeight="1" ht="14.0">
      <c r="A3032" t="s">
        <v>6227</v>
      </c>
      <c r="B3032" s="153" t="s">
        <v>2603</v>
      </c>
      <c r="C3032">
        <v>4.0</v>
      </c>
      <c r="D3032">
        <v>0.04</v>
      </c>
      <c r="E3032">
        <v>0.01</v>
      </c>
      <c r="F3032" t="s">
        <v>2942</v>
      </c>
      <c r="G3032" t="s">
        <v>2962</v>
      </c>
      <c r="H3032" t="s">
        <v>3161</v>
      </c>
      <c r="I3032" t="s">
        <v>5544</v>
      </c>
    </row>
    <row r="3033" customHeight="1" ht="14.0">
      <c r="A3033" t="s">
        <v>6228</v>
      </c>
      <c r="B3033" s="153" t="s">
        <v>6229</v>
      </c>
      <c r="C3033">
        <v>0.0</v>
      </c>
      <c r="D3033">
        <v>0.0</v>
      </c>
      <c r="F3033" t="s">
        <v>2942</v>
      </c>
      <c r="G3033" t="s">
        <v>2943</v>
      </c>
      <c r="H3033" t="s">
        <v>2944</v>
      </c>
      <c r="I3033" t="s">
        <v>3450</v>
      </c>
    </row>
    <row r="3034" customHeight="1" ht="14.0">
      <c r="A3034" t="s">
        <v>6230</v>
      </c>
      <c r="B3034" s="153" t="s">
        <v>6231</v>
      </c>
      <c r="C3034">
        <v>530.0</v>
      </c>
      <c r="D3034">
        <v>291.5</v>
      </c>
      <c r="E3034">
        <v>0.55</v>
      </c>
      <c r="F3034" t="s">
        <v>2942</v>
      </c>
      <c r="G3034" t="s">
        <v>2962</v>
      </c>
      <c r="H3034" t="s">
        <v>3161</v>
      </c>
      <c r="I3034" t="s">
        <v>3167</v>
      </c>
    </row>
    <row r="3035" customHeight="1" ht="14.0">
      <c r="A3035" t="s">
        <v>6232</v>
      </c>
      <c r="B3035" s="153" t="s">
        <v>6233</v>
      </c>
      <c r="C3035">
        <v>89.0</v>
      </c>
      <c r="D3035">
        <v>44.5</v>
      </c>
      <c r="E3035">
        <v>0.5</v>
      </c>
      <c r="F3035" t="s">
        <v>2942</v>
      </c>
      <c r="G3035" t="s">
        <v>2962</v>
      </c>
      <c r="H3035" t="s">
        <v>3161</v>
      </c>
      <c r="I3035" t="s">
        <v>3447</v>
      </c>
    </row>
    <row r="3036" customHeight="1" ht="14.0">
      <c r="A3036" t="s">
        <v>2606</v>
      </c>
      <c r="B3036" s="153" t="s">
        <v>2607</v>
      </c>
      <c r="C3036">
        <v>216.0</v>
      </c>
      <c r="D3036">
        <v>355.1</v>
      </c>
      <c r="E3036">
        <v>1.644</v>
      </c>
      <c r="F3036" t="s">
        <v>2942</v>
      </c>
      <c r="G3036" t="s">
        <v>2962</v>
      </c>
      <c r="H3036" t="s">
        <v>2963</v>
      </c>
      <c r="I3036" t="s">
        <v>3125</v>
      </c>
    </row>
    <row r="3037" customHeight="1" ht="14.0">
      <c r="A3037" t="s">
        <v>2608</v>
      </c>
      <c r="B3037" s="153" t="s">
        <v>2609</v>
      </c>
      <c r="C3037">
        <v>18.0</v>
      </c>
      <c r="D3037">
        <v>378.0</v>
      </c>
      <c r="E3037">
        <v>21.0</v>
      </c>
      <c r="F3037" t="s">
        <v>2942</v>
      </c>
      <c r="G3037" t="s">
        <v>2962</v>
      </c>
      <c r="H3037" t="s">
        <v>2963</v>
      </c>
      <c r="I3037" t="s">
        <v>197</v>
      </c>
    </row>
    <row r="3038" customHeight="1" ht="14.0">
      <c r="A3038" t="s">
        <v>2610</v>
      </c>
      <c r="B3038" s="153" t="s">
        <v>2611</v>
      </c>
      <c r="C3038">
        <v>0.0</v>
      </c>
      <c r="D3038">
        <v>0.0</v>
      </c>
      <c r="F3038" t="s">
        <v>2942</v>
      </c>
      <c r="G3038" t="s">
        <v>2943</v>
      </c>
      <c r="H3038" t="s">
        <v>2963</v>
      </c>
      <c r="I3038" t="s">
        <v>3125</v>
      </c>
    </row>
    <row r="3039" customHeight="1" ht="14.0">
      <c r="A3039" t="s">
        <v>2612</v>
      </c>
      <c r="B3039" s="153" t="s">
        <v>2613</v>
      </c>
      <c r="C3039">
        <v>822.0</v>
      </c>
      <c r="D3039">
        <v>1446.2</v>
      </c>
      <c r="E3039">
        <v>1.7594</v>
      </c>
      <c r="F3039" t="s">
        <v>2942</v>
      </c>
      <c r="G3039" t="s">
        <v>2962</v>
      </c>
      <c r="H3039" t="s">
        <v>2963</v>
      </c>
      <c r="I3039" t="s">
        <v>3125</v>
      </c>
    </row>
    <row r="3040" customHeight="1" ht="14.0">
      <c r="A3040" t="s">
        <v>2614</v>
      </c>
      <c r="B3040" s="153" t="s">
        <v>2615</v>
      </c>
      <c r="C3040">
        <v>0.0</v>
      </c>
      <c r="D3040">
        <v>0.0</v>
      </c>
      <c r="F3040" t="s">
        <v>2942</v>
      </c>
      <c r="G3040" t="s">
        <v>2962</v>
      </c>
      <c r="H3040" t="s">
        <v>2963</v>
      </c>
      <c r="I3040" t="s">
        <v>3125</v>
      </c>
    </row>
    <row r="3041" customHeight="1" ht="14.0">
      <c r="A3041" t="s">
        <v>2616</v>
      </c>
      <c r="B3041" s="153" t="s">
        <v>2617</v>
      </c>
      <c r="C3041">
        <v>0.0</v>
      </c>
      <c r="D3041">
        <v>0.0</v>
      </c>
      <c r="F3041" t="s">
        <v>2942</v>
      </c>
      <c r="G3041" t="s">
        <v>2962</v>
      </c>
      <c r="H3041" t="s">
        <v>2963</v>
      </c>
      <c r="I3041" t="s">
        <v>3125</v>
      </c>
    </row>
    <row r="3042" customHeight="1" ht="14.0">
      <c r="A3042" t="s">
        <v>2618</v>
      </c>
      <c r="B3042" s="153" t="s">
        <v>2619</v>
      </c>
      <c r="C3042">
        <v>0.0</v>
      </c>
      <c r="D3042">
        <v>0.0</v>
      </c>
      <c r="F3042" t="s">
        <v>2942</v>
      </c>
      <c r="G3042" t="s">
        <v>2943</v>
      </c>
      <c r="H3042" t="s">
        <v>2963</v>
      </c>
      <c r="I3042" t="s">
        <v>3125</v>
      </c>
    </row>
    <row r="3043" customHeight="1" ht="14.0">
      <c r="A3043" t="s">
        <v>2620</v>
      </c>
      <c r="B3043" s="153" t="s">
        <v>2621</v>
      </c>
      <c r="C3043">
        <v>546.0</v>
      </c>
      <c r="D3043">
        <v>894.21</v>
      </c>
      <c r="E3043">
        <v>1.6377</v>
      </c>
      <c r="F3043" t="s">
        <v>2942</v>
      </c>
      <c r="G3043" t="s">
        <v>2962</v>
      </c>
      <c r="H3043" t="s">
        <v>2963</v>
      </c>
      <c r="I3043" t="s">
        <v>3125</v>
      </c>
    </row>
    <row r="3044" customHeight="1" ht="14.0">
      <c r="A3044" t="s">
        <v>2622</v>
      </c>
      <c r="B3044" s="153" t="s">
        <v>2623</v>
      </c>
      <c r="C3044">
        <v>846.0</v>
      </c>
      <c r="D3044">
        <v>1383.71</v>
      </c>
      <c r="E3044">
        <v>1.6356</v>
      </c>
      <c r="F3044" t="s">
        <v>2942</v>
      </c>
      <c r="G3044" t="s">
        <v>2962</v>
      </c>
      <c r="H3044" t="s">
        <v>2963</v>
      </c>
      <c r="I3044" t="s">
        <v>3125</v>
      </c>
    </row>
    <row r="3045" customHeight="1" ht="14.0">
      <c r="A3045" t="s">
        <v>2624</v>
      </c>
      <c r="B3045" s="153" t="s">
        <v>2625</v>
      </c>
      <c r="C3045">
        <v>378.0</v>
      </c>
      <c r="D3045">
        <v>619.77</v>
      </c>
      <c r="E3045">
        <v>1.6396</v>
      </c>
      <c r="F3045" t="s">
        <v>2942</v>
      </c>
      <c r="G3045" t="s">
        <v>2962</v>
      </c>
      <c r="H3045" t="s">
        <v>2963</v>
      </c>
      <c r="I3045" t="s">
        <v>3125</v>
      </c>
    </row>
    <row r="3046" customHeight="1" ht="14.0">
      <c r="A3046" t="s">
        <v>2626</v>
      </c>
      <c r="B3046" s="153" t="s">
        <v>2627</v>
      </c>
      <c r="C3046">
        <v>0.0</v>
      </c>
      <c r="D3046">
        <v>0.0</v>
      </c>
      <c r="F3046" t="s">
        <v>2942</v>
      </c>
      <c r="G3046" t="s">
        <v>2943</v>
      </c>
      <c r="H3046" t="s">
        <v>2963</v>
      </c>
      <c r="I3046" t="s">
        <v>3125</v>
      </c>
    </row>
    <row r="3047" customHeight="1" ht="14.0">
      <c r="A3047" t="s">
        <v>2628</v>
      </c>
      <c r="B3047" s="153" t="s">
        <v>2629</v>
      </c>
      <c r="C3047">
        <v>276.0</v>
      </c>
      <c r="D3047">
        <v>453.25</v>
      </c>
      <c r="E3047">
        <v>1.6422</v>
      </c>
      <c r="F3047" t="s">
        <v>2942</v>
      </c>
      <c r="G3047" t="s">
        <v>2962</v>
      </c>
      <c r="H3047" t="s">
        <v>2963</v>
      </c>
      <c r="I3047" t="s">
        <v>3125</v>
      </c>
    </row>
    <row r="3048" customHeight="1" ht="14.0">
      <c r="A3048" t="s">
        <v>2630</v>
      </c>
      <c r="B3048" s="153" t="s">
        <v>2631</v>
      </c>
      <c r="C3048">
        <v>0.0</v>
      </c>
      <c r="D3048">
        <v>0.0</v>
      </c>
      <c r="F3048" t="s">
        <v>2942</v>
      </c>
      <c r="G3048" t="s">
        <v>2943</v>
      </c>
      <c r="H3048" t="s">
        <v>2963</v>
      </c>
      <c r="I3048" t="s">
        <v>3125</v>
      </c>
    </row>
    <row r="3049" customHeight="1" ht="14.0">
      <c r="A3049" t="s">
        <v>2632</v>
      </c>
      <c r="B3049" s="153" t="s">
        <v>2633</v>
      </c>
      <c r="C3049">
        <v>3.0</v>
      </c>
      <c r="D3049">
        <v>239.64</v>
      </c>
      <c r="E3049">
        <v>79.88</v>
      </c>
      <c r="F3049" t="s">
        <v>2942</v>
      </c>
      <c r="G3049" t="s">
        <v>2962</v>
      </c>
      <c r="H3049" t="s">
        <v>2963</v>
      </c>
      <c r="I3049" t="s">
        <v>3125</v>
      </c>
    </row>
    <row r="3050" customHeight="1" ht="14.0">
      <c r="A3050" t="s">
        <v>2634</v>
      </c>
      <c r="B3050" s="153" t="s">
        <v>2635</v>
      </c>
      <c r="C3050">
        <v>900.0</v>
      </c>
      <c r="D3050">
        <v>1472.02</v>
      </c>
      <c r="E3050">
        <v>1.6356</v>
      </c>
      <c r="F3050" t="s">
        <v>2942</v>
      </c>
      <c r="G3050" t="s">
        <v>2962</v>
      </c>
      <c r="H3050" t="s">
        <v>2963</v>
      </c>
      <c r="I3050" t="s">
        <v>3125</v>
      </c>
    </row>
    <row r="3051" customHeight="1" ht="14.0">
      <c r="A3051" t="s">
        <v>2636</v>
      </c>
      <c r="B3051" s="153" t="s">
        <v>2637</v>
      </c>
      <c r="C3051">
        <v>0.0</v>
      </c>
      <c r="D3051">
        <v>0.0</v>
      </c>
      <c r="F3051" t="s">
        <v>2942</v>
      </c>
      <c r="G3051" t="s">
        <v>2943</v>
      </c>
      <c r="H3051" t="s">
        <v>2944</v>
      </c>
      <c r="I3051" t="s">
        <v>3021</v>
      </c>
    </row>
    <row r="3052" customHeight="1" ht="14.0">
      <c r="A3052" t="s">
        <v>2638</v>
      </c>
      <c r="B3052" s="153" t="s">
        <v>2639</v>
      </c>
      <c r="C3052">
        <v>0.0</v>
      </c>
      <c r="D3052">
        <v>0.0</v>
      </c>
      <c r="F3052" t="s">
        <v>2942</v>
      </c>
      <c r="G3052" t="s">
        <v>2943</v>
      </c>
      <c r="H3052" t="s">
        <v>2963</v>
      </c>
      <c r="I3052" t="s">
        <v>3697</v>
      </c>
    </row>
    <row r="3053" customHeight="1" ht="14.0">
      <c r="A3053" t="s">
        <v>6234</v>
      </c>
      <c r="B3053" s="153" t="s">
        <v>6235</v>
      </c>
      <c r="C3053">
        <v>0.0</v>
      </c>
      <c r="D3053">
        <v>0.0</v>
      </c>
      <c r="F3053" t="s">
        <v>2942</v>
      </c>
      <c r="G3053" t="s">
        <v>2943</v>
      </c>
      <c r="H3053" t="s">
        <v>2944</v>
      </c>
      <c r="I3053" t="s">
        <v>3021</v>
      </c>
    </row>
    <row r="3054" customHeight="1" ht="14.0">
      <c r="A3054" t="s">
        <v>6236</v>
      </c>
      <c r="B3054" s="153" t="s">
        <v>6237</v>
      </c>
      <c r="C3054">
        <v>0.0</v>
      </c>
      <c r="D3054">
        <v>0.0</v>
      </c>
      <c r="F3054" t="s">
        <v>2942</v>
      </c>
      <c r="G3054" t="s">
        <v>2943</v>
      </c>
      <c r="H3054" t="s">
        <v>2944</v>
      </c>
      <c r="I3054" t="s">
        <v>3021</v>
      </c>
    </row>
    <row r="3055" customHeight="1" ht="14.0">
      <c r="A3055" t="s">
        <v>2818</v>
      </c>
      <c r="B3055" s="153" t="s">
        <v>2819</v>
      </c>
      <c r="C3055">
        <v>0.0</v>
      </c>
      <c r="D3055">
        <v>0.0</v>
      </c>
      <c r="F3055" t="s">
        <v>2942</v>
      </c>
      <c r="G3055" t="s">
        <v>2962</v>
      </c>
      <c r="H3055" t="s">
        <v>2984</v>
      </c>
      <c r="I3055" t="s">
        <v>4815</v>
      </c>
    </row>
    <row r="3056" customHeight="1" ht="14.0">
      <c r="A3056" t="s">
        <v>2640</v>
      </c>
      <c r="B3056" s="153" t="s">
        <v>2641</v>
      </c>
      <c r="C3056">
        <v>183.0</v>
      </c>
      <c r="D3056">
        <v>1459.61</v>
      </c>
      <c r="E3056">
        <v>7.976</v>
      </c>
      <c r="F3056" t="s">
        <v>2942</v>
      </c>
      <c r="G3056" t="s">
        <v>2962</v>
      </c>
      <c r="H3056" t="s">
        <v>2984</v>
      </c>
      <c r="I3056" t="s">
        <v>4815</v>
      </c>
    </row>
    <row r="3057" customHeight="1" ht="14.0">
      <c r="A3057" t="s">
        <v>2820</v>
      </c>
      <c r="B3057" s="153" t="s">
        <v>2821</v>
      </c>
      <c r="C3057">
        <v>53.0</v>
      </c>
      <c r="D3057">
        <v>434.83</v>
      </c>
      <c r="E3057">
        <v>8.2043</v>
      </c>
      <c r="F3057" t="s">
        <v>2942</v>
      </c>
      <c r="G3057" t="s">
        <v>2962</v>
      </c>
      <c r="H3057" t="s">
        <v>2984</v>
      </c>
      <c r="I3057" t="s">
        <v>4815</v>
      </c>
    </row>
    <row r="3058" customHeight="1" ht="14.0">
      <c r="A3058" t="s">
        <v>2642</v>
      </c>
      <c r="B3058" s="153" t="s">
        <v>2643</v>
      </c>
      <c r="C3058">
        <v>271.0</v>
      </c>
      <c r="D3058">
        <v>2156.06</v>
      </c>
      <c r="E3058">
        <v>7.9559</v>
      </c>
      <c r="F3058" t="s">
        <v>2942</v>
      </c>
      <c r="G3058" t="s">
        <v>2962</v>
      </c>
      <c r="H3058" t="s">
        <v>2984</v>
      </c>
      <c r="I3058" t="s">
        <v>4815</v>
      </c>
    </row>
    <row r="3059" customHeight="1" ht="14.0">
      <c r="A3059" t="s">
        <v>2644</v>
      </c>
      <c r="B3059" s="153" t="s">
        <v>2645</v>
      </c>
      <c r="C3059">
        <v>263.0</v>
      </c>
      <c r="D3059">
        <v>2097.84</v>
      </c>
      <c r="E3059">
        <v>7.9766</v>
      </c>
      <c r="F3059" t="s">
        <v>2942</v>
      </c>
      <c r="G3059" t="s">
        <v>2962</v>
      </c>
      <c r="H3059" t="s">
        <v>2984</v>
      </c>
      <c r="I3059" t="s">
        <v>4815</v>
      </c>
    </row>
    <row r="3060" customHeight="1" ht="14.0">
      <c r="A3060" t="s">
        <v>2646</v>
      </c>
      <c r="B3060" s="153" t="s">
        <v>6238</v>
      </c>
      <c r="C3060">
        <v>151.0</v>
      </c>
      <c r="D3060">
        <v>1258.1</v>
      </c>
      <c r="E3060">
        <v>8.3318</v>
      </c>
      <c r="F3060" t="s">
        <v>2942</v>
      </c>
      <c r="G3060" t="s">
        <v>2962</v>
      </c>
      <c r="H3060" t="s">
        <v>2984</v>
      </c>
      <c r="I3060" t="s">
        <v>4815</v>
      </c>
    </row>
    <row r="3061" customHeight="1" ht="14.0">
      <c r="A3061" t="s">
        <v>2648</v>
      </c>
      <c r="B3061" s="153" t="s">
        <v>2649</v>
      </c>
      <c r="C3061">
        <v>95.0</v>
      </c>
      <c r="D3061">
        <v>792.91</v>
      </c>
      <c r="E3061">
        <v>8.3464</v>
      </c>
      <c r="F3061" t="s">
        <v>2942</v>
      </c>
      <c r="G3061" t="s">
        <v>2962</v>
      </c>
      <c r="H3061" t="s">
        <v>2984</v>
      </c>
      <c r="I3061" t="s">
        <v>4815</v>
      </c>
    </row>
    <row r="3062" customHeight="1" ht="14.0">
      <c r="A3062" t="s">
        <v>2650</v>
      </c>
      <c r="B3062" s="153" t="s">
        <v>2651</v>
      </c>
      <c r="C3062">
        <v>270.0</v>
      </c>
      <c r="D3062">
        <v>2153.61</v>
      </c>
      <c r="E3062">
        <v>7.9763</v>
      </c>
      <c r="F3062" t="s">
        <v>2942</v>
      </c>
      <c r="G3062" t="s">
        <v>2962</v>
      </c>
      <c r="H3062" t="s">
        <v>2963</v>
      </c>
      <c r="I3062" t="s">
        <v>4815</v>
      </c>
    </row>
    <row r="3063" customHeight="1" ht="14.0">
      <c r="A3063" t="s">
        <v>2824</v>
      </c>
      <c r="B3063" s="153" t="s">
        <v>2825</v>
      </c>
      <c r="C3063">
        <v>650.0</v>
      </c>
      <c r="D3063">
        <v>0.0</v>
      </c>
      <c r="E3063">
        <v>0.0</v>
      </c>
      <c r="F3063" t="s">
        <v>2942</v>
      </c>
      <c r="G3063" t="s">
        <v>2962</v>
      </c>
      <c r="H3063" t="s">
        <v>3198</v>
      </c>
      <c r="I3063" t="s">
        <v>4815</v>
      </c>
    </row>
    <row r="3064" customHeight="1" ht="14.0">
      <c r="A3064" t="s">
        <v>6239</v>
      </c>
      <c r="B3064" s="153" t="s">
        <v>6240</v>
      </c>
      <c r="C3064">
        <v>0.0</v>
      </c>
      <c r="D3064">
        <v>0.0</v>
      </c>
      <c r="F3064" t="s">
        <v>2994</v>
      </c>
      <c r="G3064" t="s">
        <v>2943</v>
      </c>
      <c r="H3064" t="s">
        <v>2944</v>
      </c>
    </row>
    <row r="3065" customHeight="1" ht="14.0">
      <c r="A3065" t="s">
        <v>2652</v>
      </c>
      <c r="B3065" s="153" t="s">
        <v>2653</v>
      </c>
      <c r="C3065">
        <v>437.0</v>
      </c>
      <c r="D3065">
        <v>2054.0</v>
      </c>
      <c r="E3065">
        <v>4.7002</v>
      </c>
      <c r="F3065" t="s">
        <v>2942</v>
      </c>
      <c r="G3065" t="s">
        <v>2962</v>
      </c>
      <c r="H3065" t="s">
        <v>3005</v>
      </c>
      <c r="I3065" t="s">
        <v>3006</v>
      </c>
    </row>
    <row r="3066" customHeight="1" ht="14.0">
      <c r="A3066" t="s">
        <v>6241</v>
      </c>
      <c r="B3066" s="153" t="s">
        <v>6242</v>
      </c>
      <c r="C3066">
        <v>0.0</v>
      </c>
      <c r="D3066">
        <v>0.0</v>
      </c>
      <c r="F3066" t="s">
        <v>2942</v>
      </c>
      <c r="G3066" t="s">
        <v>2943</v>
      </c>
      <c r="H3066" t="s">
        <v>2944</v>
      </c>
      <c r="I3066" t="s">
        <v>6243</v>
      </c>
    </row>
    <row r="3067" customHeight="1" ht="14.0">
      <c r="A3067" t="s">
        <v>6244</v>
      </c>
      <c r="B3067" s="153" t="s">
        <v>6245</v>
      </c>
      <c r="C3067">
        <v>0.0</v>
      </c>
      <c r="D3067">
        <v>0.0</v>
      </c>
      <c r="F3067" t="s">
        <v>2942</v>
      </c>
      <c r="G3067" t="s">
        <v>2943</v>
      </c>
      <c r="H3067" t="s">
        <v>2944</v>
      </c>
      <c r="I3067" t="s">
        <v>6243</v>
      </c>
    </row>
    <row r="3068" customHeight="1" ht="14.0">
      <c r="A3068" t="s">
        <v>2654</v>
      </c>
      <c r="B3068" s="153" t="s">
        <v>2655</v>
      </c>
      <c r="C3068">
        <v>0.0</v>
      </c>
      <c r="D3068">
        <v>0.0</v>
      </c>
      <c r="F3068" t="s">
        <v>2942</v>
      </c>
      <c r="G3068" t="s">
        <v>2943</v>
      </c>
      <c r="H3068" t="s">
        <v>2963</v>
      </c>
      <c r="I3068" t="s">
        <v>3154</v>
      </c>
    </row>
    <row r="3069" customHeight="1" ht="14.0">
      <c r="A3069" t="s">
        <v>6246</v>
      </c>
      <c r="B3069" s="153" t="s">
        <v>6247</v>
      </c>
      <c r="C3069">
        <v>0.0</v>
      </c>
      <c r="D3069">
        <v>0.0</v>
      </c>
      <c r="F3069" t="s">
        <v>2942</v>
      </c>
      <c r="G3069" t="s">
        <v>2943</v>
      </c>
      <c r="H3069" t="s">
        <v>2944</v>
      </c>
      <c r="I3069" t="s">
        <v>197</v>
      </c>
    </row>
    <row r="3070" customHeight="1" ht="14.0">
      <c r="A3070" t="s">
        <v>2658</v>
      </c>
      <c r="B3070" s="153" t="s">
        <v>2659</v>
      </c>
      <c r="C3070">
        <v>0.0</v>
      </c>
      <c r="D3070">
        <v>0.0</v>
      </c>
      <c r="F3070" t="s">
        <v>2942</v>
      </c>
      <c r="G3070" t="s">
        <v>2943</v>
      </c>
      <c r="H3070" t="s">
        <v>2963</v>
      </c>
      <c r="I3070" t="s">
        <v>83</v>
      </c>
    </row>
    <row r="3071" customHeight="1" ht="14.0">
      <c r="A3071" t="s">
        <v>2660</v>
      </c>
      <c r="B3071" s="153" t="s">
        <v>2661</v>
      </c>
      <c r="C3071">
        <v>0.0</v>
      </c>
      <c r="D3071">
        <v>0.0</v>
      </c>
      <c r="F3071" t="s">
        <v>2942</v>
      </c>
      <c r="G3071" t="s">
        <v>2962</v>
      </c>
      <c r="H3071" t="s">
        <v>2963</v>
      </c>
      <c r="I3071" t="s">
        <v>83</v>
      </c>
    </row>
    <row r="3072" customHeight="1" ht="14.0">
      <c r="A3072" t="s">
        <v>2662</v>
      </c>
      <c r="B3072" s="153" t="s">
        <v>2663</v>
      </c>
      <c r="C3072">
        <v>0.0</v>
      </c>
      <c r="D3072">
        <v>0.0</v>
      </c>
      <c r="F3072" t="s">
        <v>2942</v>
      </c>
      <c r="G3072" t="s">
        <v>2962</v>
      </c>
      <c r="H3072" t="s">
        <v>2963</v>
      </c>
      <c r="I3072" t="s">
        <v>83</v>
      </c>
    </row>
    <row r="3073" customHeight="1" ht="14.0">
      <c r="A3073" t="s">
        <v>2664</v>
      </c>
      <c r="B3073" s="153" t="s">
        <v>2665</v>
      </c>
      <c r="C3073">
        <v>0.0</v>
      </c>
      <c r="D3073">
        <v>0.0</v>
      </c>
      <c r="F3073" t="s">
        <v>2942</v>
      </c>
      <c r="G3073" t="s">
        <v>2962</v>
      </c>
      <c r="H3073" t="s">
        <v>2963</v>
      </c>
      <c r="I3073" t="s">
        <v>83</v>
      </c>
    </row>
    <row r="3074" customHeight="1" ht="14.0">
      <c r="A3074" t="s">
        <v>2666</v>
      </c>
      <c r="B3074" s="153" t="s">
        <v>2667</v>
      </c>
      <c r="C3074">
        <v>516.0</v>
      </c>
      <c r="D3074">
        <v>197.56</v>
      </c>
      <c r="E3074">
        <v>0.3829</v>
      </c>
      <c r="F3074" t="s">
        <v>2942</v>
      </c>
      <c r="G3074" t="s">
        <v>2962</v>
      </c>
      <c r="H3074" t="s">
        <v>2963</v>
      </c>
      <c r="I3074" t="s">
        <v>83</v>
      </c>
    </row>
    <row r="3075" customHeight="1" ht="14.0">
      <c r="A3075" t="s">
        <v>2668</v>
      </c>
      <c r="B3075" s="153" t="s">
        <v>2669</v>
      </c>
      <c r="C3075">
        <v>324.0</v>
      </c>
      <c r="D3075">
        <v>159.73</v>
      </c>
      <c r="E3075">
        <v>0.493</v>
      </c>
      <c r="F3075" t="s">
        <v>2942</v>
      </c>
      <c r="G3075" t="s">
        <v>2962</v>
      </c>
      <c r="H3075" t="s">
        <v>2963</v>
      </c>
      <c r="I3075" t="s">
        <v>83</v>
      </c>
    </row>
    <row r="3076" customHeight="1" ht="14.0">
      <c r="A3076" t="s">
        <v>2670</v>
      </c>
      <c r="B3076" s="153" t="s">
        <v>2671</v>
      </c>
      <c r="C3076">
        <v>504.0</v>
      </c>
      <c r="D3076">
        <v>190.05</v>
      </c>
      <c r="E3076">
        <v>0.3771</v>
      </c>
      <c r="F3076" t="s">
        <v>2942</v>
      </c>
      <c r="G3076" t="s">
        <v>2962</v>
      </c>
      <c r="H3076" t="s">
        <v>2963</v>
      </c>
      <c r="I3076" t="s">
        <v>83</v>
      </c>
    </row>
    <row r="3077" customHeight="1" ht="14.0">
      <c r="A3077" t="s">
        <v>2672</v>
      </c>
      <c r="B3077" s="153" t="s">
        <v>2673</v>
      </c>
      <c r="C3077">
        <v>252.0</v>
      </c>
      <c r="D3077">
        <v>124.1</v>
      </c>
      <c r="E3077">
        <v>0.4925</v>
      </c>
      <c r="F3077" t="s">
        <v>2942</v>
      </c>
      <c r="G3077" t="s">
        <v>2962</v>
      </c>
      <c r="H3077" t="s">
        <v>2963</v>
      </c>
      <c r="I3077" t="s">
        <v>83</v>
      </c>
    </row>
    <row r="3078" customHeight="1" ht="14.0">
      <c r="A3078" t="s">
        <v>2674</v>
      </c>
      <c r="B3078" s="153" t="s">
        <v>2675</v>
      </c>
      <c r="C3078">
        <v>396.0</v>
      </c>
      <c r="D3078">
        <v>151.58</v>
      </c>
      <c r="E3078">
        <v>0.3828</v>
      </c>
      <c r="F3078" t="s">
        <v>2942</v>
      </c>
      <c r="G3078" t="s">
        <v>2962</v>
      </c>
      <c r="H3078" t="s">
        <v>2963</v>
      </c>
      <c r="I3078" t="s">
        <v>83</v>
      </c>
    </row>
    <row r="3079" customHeight="1" ht="14.0">
      <c r="A3079" t="s">
        <v>2676</v>
      </c>
      <c r="B3079" s="153" t="s">
        <v>2677</v>
      </c>
      <c r="C3079">
        <v>42.0</v>
      </c>
      <c r="D3079">
        <v>15.85</v>
      </c>
      <c r="E3079">
        <v>0.3774</v>
      </c>
      <c r="F3079" t="s">
        <v>2942</v>
      </c>
      <c r="G3079" t="s">
        <v>2962</v>
      </c>
      <c r="H3079" t="s">
        <v>2963</v>
      </c>
      <c r="I3079" t="s">
        <v>83</v>
      </c>
    </row>
    <row r="3080" customHeight="1" ht="14.0">
      <c r="A3080" t="s">
        <v>2678</v>
      </c>
      <c r="B3080" s="153" t="s">
        <v>2679</v>
      </c>
      <c r="C3080">
        <v>270.0</v>
      </c>
      <c r="D3080">
        <v>133.08</v>
      </c>
      <c r="E3080">
        <v>0.4929</v>
      </c>
      <c r="F3080" t="s">
        <v>2942</v>
      </c>
      <c r="G3080" t="s">
        <v>2962</v>
      </c>
      <c r="H3080" t="s">
        <v>2963</v>
      </c>
      <c r="I3080" t="s">
        <v>83</v>
      </c>
    </row>
    <row r="3081" customHeight="1" ht="14.0">
      <c r="A3081" t="s">
        <v>2680</v>
      </c>
      <c r="B3081" s="153" t="s">
        <v>2681</v>
      </c>
      <c r="C3081">
        <v>0.0</v>
      </c>
      <c r="D3081">
        <v>0.0</v>
      </c>
      <c r="F3081" t="s">
        <v>2942</v>
      </c>
      <c r="G3081" t="s">
        <v>2962</v>
      </c>
      <c r="H3081" t="s">
        <v>2963</v>
      </c>
      <c r="I3081" t="s">
        <v>83</v>
      </c>
    </row>
    <row r="3082" customHeight="1" ht="14.0">
      <c r="A3082" t="s">
        <v>6248</v>
      </c>
      <c r="B3082" s="153" t="s">
        <v>2657</v>
      </c>
      <c r="C3082">
        <v>0.0</v>
      </c>
      <c r="D3082">
        <v>0.0</v>
      </c>
      <c r="F3082" t="s">
        <v>2994</v>
      </c>
      <c r="G3082" t="s">
        <v>2962</v>
      </c>
      <c r="H3082" t="s">
        <v>2963</v>
      </c>
      <c r="I3082" t="s">
        <v>83</v>
      </c>
    </row>
    <row r="3083" customHeight="1" ht="14.0">
      <c r="A3083" t="s">
        <v>6249</v>
      </c>
      <c r="B3083" s="153" t="s">
        <v>2687</v>
      </c>
      <c r="C3083">
        <v>0.0</v>
      </c>
      <c r="D3083">
        <v>0.0</v>
      </c>
      <c r="F3083" t="s">
        <v>2942</v>
      </c>
      <c r="G3083" t="s">
        <v>2943</v>
      </c>
      <c r="H3083" t="s">
        <v>2944</v>
      </c>
      <c r="I3083" t="s">
        <v>597</v>
      </c>
    </row>
    <row r="3084" customHeight="1" ht="14.0">
      <c r="A3084" t="s">
        <v>6250</v>
      </c>
      <c r="B3084" s="153">
        <v>78358.0</v>
      </c>
      <c r="C3084">
        <v>0.0</v>
      </c>
      <c r="D3084">
        <v>0.0</v>
      </c>
      <c r="F3084" t="s">
        <v>2942</v>
      </c>
      <c r="G3084" t="s">
        <v>2943</v>
      </c>
      <c r="H3084" t="s">
        <v>2944</v>
      </c>
      <c r="I3084" t="s">
        <v>3783</v>
      </c>
    </row>
    <row r="3085" customHeight="1" ht="14.0">
      <c r="A3085" t="s">
        <v>6251</v>
      </c>
      <c r="B3085" s="153">
        <v>78354.0</v>
      </c>
      <c r="C3085">
        <v>0.0</v>
      </c>
      <c r="D3085">
        <v>0.0</v>
      </c>
      <c r="F3085" t="s">
        <v>2942</v>
      </c>
      <c r="G3085" t="s">
        <v>2943</v>
      </c>
      <c r="H3085" t="s">
        <v>2944</v>
      </c>
      <c r="I3085" t="s">
        <v>3783</v>
      </c>
    </row>
    <row r="3086" customHeight="1" ht="14.0">
      <c r="A3086" t="s">
        <v>6252</v>
      </c>
      <c r="B3086" s="153" t="s">
        <v>6253</v>
      </c>
      <c r="C3086">
        <v>1.0</v>
      </c>
      <c r="D3086">
        <v>0.0</v>
      </c>
      <c r="E3086">
        <v>0.0</v>
      </c>
      <c r="F3086" t="s">
        <v>2942</v>
      </c>
      <c r="G3086" t="s">
        <v>2962</v>
      </c>
      <c r="H3086" t="s">
        <v>3161</v>
      </c>
    </row>
    <row r="3087" customHeight="1" ht="14.0">
      <c r="A3087" t="s">
        <v>6254</v>
      </c>
      <c r="B3087" s="153">
        <v>78799.0</v>
      </c>
      <c r="C3087">
        <v>0.0</v>
      </c>
      <c r="D3087">
        <v>0.0</v>
      </c>
      <c r="F3087" t="s">
        <v>2942</v>
      </c>
      <c r="G3087" t="s">
        <v>2943</v>
      </c>
      <c r="H3087" t="s">
        <v>2944</v>
      </c>
      <c r="I3087" t="s">
        <v>3783</v>
      </c>
    </row>
    <row r="3088" customHeight="1" ht="14.0">
      <c r="A3088" t="s">
        <v>6255</v>
      </c>
      <c r="B3088" s="153">
        <v>78795.0</v>
      </c>
      <c r="C3088">
        <v>0.0</v>
      </c>
      <c r="D3088">
        <v>0.0</v>
      </c>
      <c r="F3088" t="s">
        <v>2942</v>
      </c>
      <c r="G3088" t="s">
        <v>2943</v>
      </c>
      <c r="H3088" t="s">
        <v>2944</v>
      </c>
      <c r="I3088" t="s">
        <v>3783</v>
      </c>
    </row>
    <row r="3089" customHeight="1" ht="14.0">
      <c r="A3089" t="s">
        <v>2688</v>
      </c>
      <c r="B3089" s="153" t="s">
        <v>2689</v>
      </c>
      <c r="C3089">
        <v>0.0</v>
      </c>
      <c r="D3089">
        <v>0.0</v>
      </c>
      <c r="F3089" t="s">
        <v>2942</v>
      </c>
      <c r="G3089" t="s">
        <v>2943</v>
      </c>
      <c r="H3089" t="s">
        <v>2963</v>
      </c>
      <c r="I3089" t="s">
        <v>197</v>
      </c>
    </row>
    <row r="3090" customHeight="1" ht="14.0">
      <c r="A3090" t="s">
        <v>202</v>
      </c>
      <c r="B3090" s="153" t="s">
        <v>203</v>
      </c>
      <c r="C3090">
        <v>304.0</v>
      </c>
      <c r="D3090">
        <v>7192.23</v>
      </c>
      <c r="E3090">
        <v>23.6587</v>
      </c>
      <c r="F3090" t="s">
        <v>2942</v>
      </c>
      <c r="G3090" t="s">
        <v>2962</v>
      </c>
      <c r="H3090" t="s">
        <v>30</v>
      </c>
      <c r="I3090" t="s">
        <v>197</v>
      </c>
    </row>
    <row r="3091" customHeight="1" ht="14.0">
      <c r="A3091" t="s">
        <v>6256</v>
      </c>
      <c r="B3091" s="153" t="s">
        <v>6257</v>
      </c>
      <c r="C3091">
        <v>0.0</v>
      </c>
      <c r="D3091">
        <v>0.0</v>
      </c>
      <c r="F3091" t="s">
        <v>2942</v>
      </c>
      <c r="G3091" t="s">
        <v>2962</v>
      </c>
      <c r="H3091" t="s">
        <v>2963</v>
      </c>
    </row>
    <row r="3092" customHeight="1" ht="14.0">
      <c r="A3092" t="s">
        <v>6258</v>
      </c>
      <c r="B3092" s="153" t="s">
        <v>6259</v>
      </c>
      <c r="C3092">
        <v>6.0</v>
      </c>
      <c r="D3092">
        <v>2.88</v>
      </c>
      <c r="E3092">
        <v>0.48</v>
      </c>
      <c r="F3092" t="s">
        <v>2942</v>
      </c>
      <c r="G3092" t="s">
        <v>2962</v>
      </c>
      <c r="H3092" t="s">
        <v>3161</v>
      </c>
      <c r="I3092" t="s">
        <v>3366</v>
      </c>
    </row>
    <row r="3093" customHeight="1" ht="14.0">
      <c r="A3093" t="s">
        <v>6260</v>
      </c>
      <c r="B3093" s="153" t="s">
        <v>6261</v>
      </c>
      <c r="C3093">
        <v>0.0</v>
      </c>
      <c r="D3093">
        <v>0.0</v>
      </c>
      <c r="F3093" t="s">
        <v>2942</v>
      </c>
      <c r="G3093" t="s">
        <v>2943</v>
      </c>
      <c r="H3093" t="s">
        <v>2944</v>
      </c>
      <c r="I3093" t="s">
        <v>6262</v>
      </c>
    </row>
    <row r="3094" customHeight="1" ht="14.0">
      <c r="A3094" t="s">
        <v>6263</v>
      </c>
      <c r="B3094" s="153" t="s">
        <v>6264</v>
      </c>
      <c r="C3094">
        <v>0.0</v>
      </c>
      <c r="D3094">
        <v>0.0</v>
      </c>
      <c r="F3094" t="s">
        <v>2994</v>
      </c>
      <c r="G3094" t="s">
        <v>2943</v>
      </c>
      <c r="H3094" t="s">
        <v>2944</v>
      </c>
    </row>
    <row r="3095" customHeight="1" ht="14.0">
      <c r="A3095" t="s">
        <v>2690</v>
      </c>
      <c r="B3095" s="153" t="s">
        <v>2691</v>
      </c>
      <c r="C3095">
        <v>0.0</v>
      </c>
      <c r="D3095">
        <v>0.0</v>
      </c>
      <c r="F3095" t="s">
        <v>2942</v>
      </c>
      <c r="G3095" t="s">
        <v>2943</v>
      </c>
      <c r="H3095" t="s">
        <v>2963</v>
      </c>
      <c r="I3095" t="s">
        <v>6262</v>
      </c>
    </row>
    <row r="3096" customHeight="1" ht="14.0">
      <c r="A3096" t="s">
        <v>6265</v>
      </c>
      <c r="B3096" s="153" t="s">
        <v>6266</v>
      </c>
      <c r="C3096">
        <v>0.0</v>
      </c>
      <c r="D3096">
        <v>0.0</v>
      </c>
      <c r="F3096" t="s">
        <v>2994</v>
      </c>
      <c r="G3096" t="s">
        <v>2943</v>
      </c>
      <c r="H3096" t="s">
        <v>2944</v>
      </c>
    </row>
    <row r="3097" customHeight="1" ht="14.0">
      <c r="A3097" t="s">
        <v>2692</v>
      </c>
      <c r="B3097" s="153" t="s">
        <v>2693</v>
      </c>
      <c r="C3097">
        <v>0.0</v>
      </c>
      <c r="D3097">
        <v>0.0</v>
      </c>
      <c r="F3097" t="s">
        <v>2942</v>
      </c>
      <c r="G3097" t="s">
        <v>2962</v>
      </c>
      <c r="H3097" t="s">
        <v>2963</v>
      </c>
      <c r="I3097" t="s">
        <v>6262</v>
      </c>
    </row>
    <row r="3098" customHeight="1" ht="14.0">
      <c r="A3098" t="s">
        <v>2694</v>
      </c>
      <c r="B3098" s="153" t="s">
        <v>2695</v>
      </c>
      <c r="C3098">
        <v>0.0</v>
      </c>
      <c r="D3098">
        <v>0.0</v>
      </c>
      <c r="F3098" t="s">
        <v>2942</v>
      </c>
      <c r="G3098" t="s">
        <v>2943</v>
      </c>
      <c r="H3098" t="s">
        <v>2944</v>
      </c>
    </row>
    <row r="3099" customHeight="1" ht="14.0">
      <c r="A3099" t="s">
        <v>6267</v>
      </c>
      <c r="B3099" s="153" t="s">
        <v>6268</v>
      </c>
      <c r="C3099">
        <v>0.0</v>
      </c>
      <c r="D3099">
        <v>0.0</v>
      </c>
      <c r="F3099" t="s">
        <v>2942</v>
      </c>
      <c r="G3099" t="s">
        <v>2943</v>
      </c>
      <c r="H3099" t="s">
        <v>2944</v>
      </c>
      <c r="I3099" t="s">
        <v>6262</v>
      </c>
    </row>
    <row r="3100" customHeight="1" ht="14.0">
      <c r="A3100" t="s">
        <v>6269</v>
      </c>
      <c r="B3100" s="153" t="s">
        <v>6270</v>
      </c>
      <c r="C3100">
        <v>15.0</v>
      </c>
      <c r="D3100">
        <v>37.05</v>
      </c>
      <c r="E3100">
        <v>2.47</v>
      </c>
      <c r="F3100" t="s">
        <v>2942</v>
      </c>
      <c r="G3100" t="s">
        <v>2962</v>
      </c>
      <c r="I3100" t="s">
        <v>197</v>
      </c>
    </row>
    <row r="3101" customHeight="1" ht="14.0">
      <c r="A3101" t="s">
        <v>6271</v>
      </c>
      <c r="B3101" s="153" t="s">
        <v>6272</v>
      </c>
      <c r="C3101">
        <v>4000.0</v>
      </c>
      <c r="D3101">
        <v>721.44</v>
      </c>
      <c r="E3101">
        <v>0.1804</v>
      </c>
      <c r="F3101" t="s">
        <v>3197</v>
      </c>
      <c r="G3101" t="s">
        <v>2962</v>
      </c>
      <c r="H3101" t="s">
        <v>3455</v>
      </c>
    </row>
    <row r="3102" customHeight="1" ht="14.0">
      <c r="A3102" t="s">
        <v>6273</v>
      </c>
      <c r="B3102" s="153" t="s">
        <v>6274</v>
      </c>
      <c r="C3102">
        <v>1.0</v>
      </c>
      <c r="D3102">
        <v>0.0</v>
      </c>
      <c r="E3102">
        <v>0.0</v>
      </c>
      <c r="F3102" t="s">
        <v>2942</v>
      </c>
      <c r="G3102" t="s">
        <v>2962</v>
      </c>
      <c r="H3102" t="s">
        <v>2944</v>
      </c>
      <c r="I3102" t="s">
        <v>197</v>
      </c>
    </row>
    <row r="3103" customHeight="1" ht="14.0">
      <c r="A3103" t="s">
        <v>2696</v>
      </c>
      <c r="B3103" s="153" t="s">
        <v>2697</v>
      </c>
      <c r="C3103">
        <v>0.0</v>
      </c>
      <c r="D3103">
        <v>0.0</v>
      </c>
      <c r="F3103" t="s">
        <v>2942</v>
      </c>
      <c r="G3103" t="s">
        <v>2962</v>
      </c>
      <c r="H3103" t="s">
        <v>3005</v>
      </c>
      <c r="I3103" t="s">
        <v>289</v>
      </c>
    </row>
    <row r="3104" customHeight="1" ht="14.0">
      <c r="A3104" t="s">
        <v>6275</v>
      </c>
      <c r="B3104" s="153" t="s">
        <v>2699</v>
      </c>
      <c r="C3104">
        <v>20.0</v>
      </c>
      <c r="D3104">
        <v>178.58</v>
      </c>
      <c r="E3104">
        <v>8.929</v>
      </c>
      <c r="F3104" t="s">
        <v>2942</v>
      </c>
      <c r="G3104" t="s">
        <v>2962</v>
      </c>
      <c r="I3104" t="s">
        <v>197</v>
      </c>
    </row>
    <row r="3105" customHeight="1" ht="14.0">
      <c r="A3105" t="s">
        <v>2700</v>
      </c>
      <c r="B3105" s="153" t="s">
        <v>2701</v>
      </c>
      <c r="C3105">
        <v>408.0</v>
      </c>
      <c r="D3105">
        <v>1808.41</v>
      </c>
      <c r="E3105">
        <v>4.4324</v>
      </c>
      <c r="F3105" t="s">
        <v>2942</v>
      </c>
      <c r="G3105" t="s">
        <v>2962</v>
      </c>
      <c r="H3105" t="s">
        <v>3005</v>
      </c>
      <c r="I3105" t="s">
        <v>289</v>
      </c>
    </row>
    <row r="3106" customHeight="1" ht="14.0">
      <c r="A3106" t="s">
        <v>2702</v>
      </c>
      <c r="B3106" s="153" t="s">
        <v>2703</v>
      </c>
      <c r="C3106">
        <v>348.0</v>
      </c>
      <c r="D3106">
        <v>1520.66</v>
      </c>
      <c r="E3106">
        <v>4.3697</v>
      </c>
      <c r="F3106" t="s">
        <v>2942</v>
      </c>
      <c r="G3106" t="s">
        <v>2962</v>
      </c>
      <c r="H3106" t="s">
        <v>3005</v>
      </c>
      <c r="I3106" t="s">
        <v>289</v>
      </c>
    </row>
    <row r="3107" customHeight="1" ht="14.0">
      <c r="A3107" t="s">
        <v>2704</v>
      </c>
      <c r="B3107" s="153" t="s">
        <v>2705</v>
      </c>
      <c r="C3107">
        <v>264.0</v>
      </c>
      <c r="D3107">
        <v>1114.86</v>
      </c>
      <c r="E3107">
        <v>4.223</v>
      </c>
      <c r="F3107" t="s">
        <v>2942</v>
      </c>
      <c r="G3107" t="s">
        <v>2962</v>
      </c>
      <c r="H3107" t="s">
        <v>3005</v>
      </c>
      <c r="I3107" t="s">
        <v>289</v>
      </c>
    </row>
    <row r="3108" customHeight="1" ht="14.0">
      <c r="A3108" t="s">
        <v>2706</v>
      </c>
      <c r="B3108" s="153" t="s">
        <v>2707</v>
      </c>
      <c r="C3108">
        <v>200.0</v>
      </c>
      <c r="D3108">
        <v>864.75</v>
      </c>
      <c r="E3108">
        <v>4.3238</v>
      </c>
      <c r="F3108" t="s">
        <v>2942</v>
      </c>
      <c r="G3108" t="s">
        <v>2962</v>
      </c>
      <c r="H3108" t="s">
        <v>3005</v>
      </c>
      <c r="I3108" t="s">
        <v>289</v>
      </c>
    </row>
    <row r="3109" customHeight="1" ht="14.0">
      <c r="A3109" t="s">
        <v>2708</v>
      </c>
      <c r="B3109" s="153" t="s">
        <v>2709</v>
      </c>
      <c r="C3109">
        <v>305.0</v>
      </c>
      <c r="D3109">
        <v>1433.1</v>
      </c>
      <c r="E3109">
        <v>4.6987</v>
      </c>
      <c r="F3109" t="s">
        <v>2942</v>
      </c>
      <c r="G3109" t="s">
        <v>2962</v>
      </c>
      <c r="H3109" t="s">
        <v>3005</v>
      </c>
      <c r="I3109" t="s">
        <v>289</v>
      </c>
    </row>
    <row r="3110" customHeight="1" ht="14.0">
      <c r="A3110" t="s">
        <v>2710</v>
      </c>
      <c r="B3110" s="153" t="s">
        <v>2711</v>
      </c>
      <c r="C3110">
        <v>177.0</v>
      </c>
      <c r="D3110">
        <v>773.44</v>
      </c>
      <c r="E3110">
        <v>4.3697</v>
      </c>
      <c r="F3110" t="s">
        <v>2942</v>
      </c>
      <c r="G3110" t="s">
        <v>2962</v>
      </c>
      <c r="H3110" t="s">
        <v>3005</v>
      </c>
      <c r="I3110" t="s">
        <v>289</v>
      </c>
    </row>
    <row r="3111" customHeight="1" ht="14.0">
      <c r="A3111" t="s">
        <v>6276</v>
      </c>
      <c r="B3111" s="153" t="s">
        <v>6277</v>
      </c>
      <c r="C3111">
        <v>0.0</v>
      </c>
      <c r="D3111">
        <v>0.0</v>
      </c>
      <c r="F3111" t="s">
        <v>2942</v>
      </c>
      <c r="G3111" t="s">
        <v>2943</v>
      </c>
      <c r="H3111" t="s">
        <v>2944</v>
      </c>
      <c r="I3111" t="s">
        <v>3153</v>
      </c>
    </row>
    <row r="3112" customHeight="1" ht="14.0">
      <c r="A3112" t="s">
        <v>2712</v>
      </c>
      <c r="B3112" s="153" t="s">
        <v>2713</v>
      </c>
      <c r="C3112">
        <v>1425.0</v>
      </c>
      <c r="D3112">
        <v>11551.52</v>
      </c>
      <c r="E3112">
        <v>8.1063</v>
      </c>
      <c r="F3112" t="s">
        <v>2942</v>
      </c>
      <c r="G3112" t="s">
        <v>2962</v>
      </c>
      <c r="H3112" t="s">
        <v>3155</v>
      </c>
      <c r="I3112" t="s">
        <v>3153</v>
      </c>
    </row>
    <row r="3113" customHeight="1" ht="14.0">
      <c r="A3113" t="s">
        <v>2714</v>
      </c>
      <c r="B3113" s="153" t="s">
        <v>2715</v>
      </c>
      <c r="C3113">
        <v>657.0</v>
      </c>
      <c r="D3113">
        <v>5227.45</v>
      </c>
      <c r="E3113">
        <v>7.9565</v>
      </c>
      <c r="F3113" t="s">
        <v>2942</v>
      </c>
      <c r="G3113" t="s">
        <v>2962</v>
      </c>
      <c r="H3113" t="s">
        <v>3155</v>
      </c>
      <c r="I3113" t="s">
        <v>3153</v>
      </c>
    </row>
    <row r="3114" customHeight="1" ht="14.0">
      <c r="A3114" t="s">
        <v>6278</v>
      </c>
      <c r="B3114" s="153" t="s">
        <v>6279</v>
      </c>
      <c r="C3114">
        <v>0.0</v>
      </c>
      <c r="D3114">
        <v>0.0</v>
      </c>
      <c r="F3114" t="s">
        <v>2942</v>
      </c>
      <c r="G3114" t="s">
        <v>2943</v>
      </c>
      <c r="H3114" t="s">
        <v>2944</v>
      </c>
      <c r="I3114" t="s">
        <v>3059</v>
      </c>
    </row>
    <row r="3115" customHeight="1" ht="14.0">
      <c r="A3115" t="s">
        <v>6280</v>
      </c>
      <c r="B3115" s="153" t="s">
        <v>6281</v>
      </c>
      <c r="C3115">
        <v>0.0</v>
      </c>
      <c r="D3115">
        <v>0.0</v>
      </c>
      <c r="F3115" t="s">
        <v>2942</v>
      </c>
      <c r="G3115" t="s">
        <v>2943</v>
      </c>
      <c r="H3115" t="s">
        <v>2944</v>
      </c>
      <c r="I3115" t="s">
        <v>401</v>
      </c>
    </row>
    <row r="3116" customHeight="1" ht="14.0">
      <c r="A3116" t="s">
        <v>6282</v>
      </c>
      <c r="B3116" s="153" t="s">
        <v>6283</v>
      </c>
      <c r="C3116">
        <v>0.0</v>
      </c>
      <c r="D3116">
        <v>0.0</v>
      </c>
      <c r="F3116" t="s">
        <v>2942</v>
      </c>
      <c r="G3116" t="s">
        <v>2943</v>
      </c>
      <c r="H3116" t="s">
        <v>3161</v>
      </c>
      <c r="I3116" t="s">
        <v>83</v>
      </c>
    </row>
    <row r="3117" customHeight="1" ht="14.0">
      <c r="A3117" t="s">
        <v>6284</v>
      </c>
      <c r="B3117" s="153" t="s">
        <v>6285</v>
      </c>
      <c r="C3117">
        <v>0.0</v>
      </c>
      <c r="D3117">
        <v>0.0</v>
      </c>
      <c r="F3117" t="s">
        <v>2942</v>
      </c>
      <c r="G3117" t="s">
        <v>2943</v>
      </c>
      <c r="H3117" t="s">
        <v>3161</v>
      </c>
      <c r="I3117" t="s">
        <v>453</v>
      </c>
    </row>
    <row r="3118" customHeight="1" ht="14.0">
      <c r="A3118" t="s">
        <v>6286</v>
      </c>
      <c r="B3118" s="153" t="s">
        <v>6287</v>
      </c>
      <c r="C3118">
        <v>0.0</v>
      </c>
      <c r="D3118">
        <v>0.0</v>
      </c>
      <c r="F3118" t="s">
        <v>2942</v>
      </c>
      <c r="G3118" t="s">
        <v>2943</v>
      </c>
      <c r="H3118" t="s">
        <v>3161</v>
      </c>
      <c r="I3118" t="s">
        <v>453</v>
      </c>
    </row>
    <row r="3119" customHeight="1" ht="14.0">
      <c r="A3119" t="s">
        <v>6288</v>
      </c>
      <c r="B3119" s="153" t="s">
        <v>6289</v>
      </c>
      <c r="C3119">
        <v>0.0</v>
      </c>
      <c r="D3119">
        <v>0.0</v>
      </c>
      <c r="F3119" t="s">
        <v>2942</v>
      </c>
      <c r="G3119" t="s">
        <v>2943</v>
      </c>
      <c r="H3119" t="s">
        <v>3161</v>
      </c>
      <c r="I3119" t="s">
        <v>197</v>
      </c>
    </row>
    <row r="3120" customHeight="1" ht="14.0">
      <c r="A3120" t="s">
        <v>6290</v>
      </c>
      <c r="B3120" s="153" t="s">
        <v>6291</v>
      </c>
      <c r="C3120">
        <v>0.0</v>
      </c>
      <c r="D3120">
        <v>0.0</v>
      </c>
      <c r="F3120" t="s">
        <v>2942</v>
      </c>
      <c r="G3120" t="s">
        <v>2943</v>
      </c>
      <c r="H3120" t="s">
        <v>3161</v>
      </c>
      <c r="I3120" t="s">
        <v>197</v>
      </c>
    </row>
    <row r="3121" customHeight="1" ht="14.0">
      <c r="A3121" t="s">
        <v>6292</v>
      </c>
      <c r="B3121" s="153" t="s">
        <v>6293</v>
      </c>
      <c r="C3121">
        <v>0.0</v>
      </c>
      <c r="D3121">
        <v>0.0</v>
      </c>
      <c r="F3121" t="s">
        <v>2942</v>
      </c>
      <c r="G3121" t="s">
        <v>2943</v>
      </c>
      <c r="H3121" t="s">
        <v>3161</v>
      </c>
      <c r="I3121" t="s">
        <v>83</v>
      </c>
    </row>
    <row r="3122" customHeight="1" ht="14.0">
      <c r="A3122" t="s">
        <v>6294</v>
      </c>
      <c r="B3122" s="153" t="s">
        <v>6295</v>
      </c>
      <c r="C3122">
        <v>0.0</v>
      </c>
      <c r="D3122">
        <v>0.0</v>
      </c>
      <c r="F3122" t="s">
        <v>2942</v>
      </c>
      <c r="G3122" t="s">
        <v>2943</v>
      </c>
      <c r="H3122" t="s">
        <v>3161</v>
      </c>
      <c r="I3122" t="s">
        <v>3366</v>
      </c>
    </row>
    <row r="3123" customHeight="1" ht="14.0">
      <c r="A3123" t="s">
        <v>6296</v>
      </c>
      <c r="B3123" s="153" t="s">
        <v>6297</v>
      </c>
      <c r="C3123">
        <v>0.0</v>
      </c>
      <c r="D3123">
        <v>0.0</v>
      </c>
      <c r="F3123" t="s">
        <v>2942</v>
      </c>
      <c r="G3123" t="s">
        <v>2943</v>
      </c>
      <c r="H3123" t="s">
        <v>3161</v>
      </c>
      <c r="I3123" t="s">
        <v>83</v>
      </c>
    </row>
    <row r="3124" customHeight="1" ht="14.0">
      <c r="A3124" t="s">
        <v>6298</v>
      </c>
      <c r="B3124" s="153" t="s">
        <v>6299</v>
      </c>
      <c r="C3124">
        <v>0.0</v>
      </c>
      <c r="D3124">
        <v>0.0</v>
      </c>
      <c r="F3124" t="s">
        <v>2942</v>
      </c>
      <c r="G3124" t="s">
        <v>2943</v>
      </c>
      <c r="H3124" t="s">
        <v>3161</v>
      </c>
      <c r="I3124" t="s">
        <v>3366</v>
      </c>
    </row>
    <row r="3125" customHeight="1" ht="14.0">
      <c r="A3125" t="s">
        <v>6300</v>
      </c>
      <c r="B3125" s="153" t="s">
        <v>6301</v>
      </c>
      <c r="C3125">
        <v>0.0</v>
      </c>
      <c r="D3125">
        <v>0.0</v>
      </c>
      <c r="F3125" t="s">
        <v>2942</v>
      </c>
      <c r="G3125" t="s">
        <v>2943</v>
      </c>
      <c r="H3125" t="s">
        <v>3161</v>
      </c>
      <c r="I3125" t="s">
        <v>3366</v>
      </c>
    </row>
    <row r="3126" customHeight="1" ht="14.0">
      <c r="A3126" t="s">
        <v>6302</v>
      </c>
      <c r="B3126" s="153" t="s">
        <v>6303</v>
      </c>
      <c r="C3126">
        <v>0.0</v>
      </c>
      <c r="D3126">
        <v>0.0</v>
      </c>
      <c r="F3126" t="s">
        <v>2942</v>
      </c>
      <c r="G3126" t="s">
        <v>2943</v>
      </c>
      <c r="H3126" t="s">
        <v>3161</v>
      </c>
      <c r="I3126" t="s">
        <v>3366</v>
      </c>
    </row>
    <row r="3127" customHeight="1" ht="14.0">
      <c r="A3127" t="s">
        <v>6304</v>
      </c>
      <c r="B3127" s="153" t="s">
        <v>6305</v>
      </c>
      <c r="C3127">
        <v>0.0</v>
      </c>
      <c r="D3127">
        <v>0.0</v>
      </c>
      <c r="F3127" t="s">
        <v>2942</v>
      </c>
      <c r="G3127" t="s">
        <v>2943</v>
      </c>
      <c r="H3127" t="s">
        <v>3161</v>
      </c>
      <c r="I3127" t="s">
        <v>3366</v>
      </c>
    </row>
    <row r="3128" customHeight="1" ht="14.0">
      <c r="A3128" t="s">
        <v>6306</v>
      </c>
      <c r="B3128" s="153" t="s">
        <v>6307</v>
      </c>
      <c r="C3128">
        <v>0.0</v>
      </c>
      <c r="D3128">
        <v>0.0</v>
      </c>
      <c r="F3128" t="s">
        <v>2942</v>
      </c>
      <c r="G3128" t="s">
        <v>2943</v>
      </c>
      <c r="H3128" t="s">
        <v>3161</v>
      </c>
      <c r="I3128" t="s">
        <v>3366</v>
      </c>
    </row>
    <row r="3129" customHeight="1" ht="14.0">
      <c r="A3129" t="s">
        <v>6308</v>
      </c>
      <c r="B3129" s="153" t="s">
        <v>6309</v>
      </c>
      <c r="C3129">
        <v>0.0</v>
      </c>
      <c r="D3129">
        <v>0.0</v>
      </c>
      <c r="F3129" t="s">
        <v>2942</v>
      </c>
      <c r="G3129" t="s">
        <v>2943</v>
      </c>
      <c r="H3129" t="s">
        <v>3161</v>
      </c>
      <c r="I3129" t="s">
        <v>3366</v>
      </c>
    </row>
    <row r="3130" customHeight="1" ht="14.0">
      <c r="A3130" t="s">
        <v>6310</v>
      </c>
      <c r="B3130" s="153" t="s">
        <v>6311</v>
      </c>
      <c r="C3130">
        <v>0.0</v>
      </c>
      <c r="D3130">
        <v>0.0</v>
      </c>
      <c r="F3130" t="s">
        <v>2942</v>
      </c>
      <c r="G3130" t="s">
        <v>2943</v>
      </c>
      <c r="H3130" t="s">
        <v>3161</v>
      </c>
      <c r="I3130" t="s">
        <v>3366</v>
      </c>
    </row>
    <row r="3131" customHeight="1" ht="14.0">
      <c r="A3131" t="s">
        <v>6312</v>
      </c>
      <c r="B3131" s="153" t="s">
        <v>6313</v>
      </c>
      <c r="C3131">
        <v>0.0</v>
      </c>
      <c r="D3131">
        <v>0.0</v>
      </c>
      <c r="F3131" t="s">
        <v>2942</v>
      </c>
      <c r="G3131" t="s">
        <v>2943</v>
      </c>
      <c r="H3131" t="s">
        <v>3161</v>
      </c>
      <c r="I3131" t="s">
        <v>3366</v>
      </c>
    </row>
    <row r="3132" customHeight="1" ht="14.0">
      <c r="A3132" t="s">
        <v>6314</v>
      </c>
      <c r="B3132" s="153" t="s">
        <v>6315</v>
      </c>
      <c r="C3132">
        <v>0.0</v>
      </c>
      <c r="D3132">
        <v>0.0</v>
      </c>
      <c r="F3132" t="s">
        <v>2942</v>
      </c>
      <c r="G3132" t="s">
        <v>2943</v>
      </c>
      <c r="H3132" t="s">
        <v>3161</v>
      </c>
      <c r="I3132" t="s">
        <v>3366</v>
      </c>
    </row>
    <row r="3133" customHeight="1" ht="14.0">
      <c r="A3133" t="s">
        <v>6316</v>
      </c>
      <c r="B3133" s="153" t="s">
        <v>6317</v>
      </c>
      <c r="C3133">
        <v>0.0</v>
      </c>
      <c r="D3133">
        <v>0.0</v>
      </c>
      <c r="F3133" t="s">
        <v>2942</v>
      </c>
      <c r="G3133" t="s">
        <v>2943</v>
      </c>
      <c r="H3133" t="s">
        <v>3161</v>
      </c>
      <c r="I3133" t="s">
        <v>3366</v>
      </c>
    </row>
    <row r="3134" customHeight="1" ht="14.0">
      <c r="A3134" t="s">
        <v>6318</v>
      </c>
      <c r="B3134" s="153" t="s">
        <v>6319</v>
      </c>
      <c r="C3134">
        <v>0.0</v>
      </c>
      <c r="D3134">
        <v>0.0</v>
      </c>
      <c r="F3134" t="s">
        <v>2942</v>
      </c>
      <c r="G3134" t="s">
        <v>2943</v>
      </c>
      <c r="H3134" t="s">
        <v>3161</v>
      </c>
      <c r="I3134" t="s">
        <v>3366</v>
      </c>
    </row>
    <row r="3135" customHeight="1" ht="14.0">
      <c r="A3135" t="s">
        <v>6320</v>
      </c>
      <c r="B3135" s="153" t="s">
        <v>6321</v>
      </c>
      <c r="C3135">
        <v>0.0</v>
      </c>
      <c r="D3135">
        <v>0.0</v>
      </c>
      <c r="F3135" t="s">
        <v>2942</v>
      </c>
      <c r="G3135" t="s">
        <v>2943</v>
      </c>
      <c r="H3135" t="s">
        <v>3161</v>
      </c>
      <c r="I3135" t="s">
        <v>3366</v>
      </c>
    </row>
    <row r="3136" customHeight="1" ht="14.0">
      <c r="A3136" t="s">
        <v>6322</v>
      </c>
      <c r="B3136" s="153" t="s">
        <v>6323</v>
      </c>
      <c r="C3136">
        <v>0.0</v>
      </c>
      <c r="D3136">
        <v>0.0</v>
      </c>
      <c r="F3136" t="s">
        <v>2942</v>
      </c>
      <c r="G3136" t="s">
        <v>2943</v>
      </c>
      <c r="H3136" t="s">
        <v>3161</v>
      </c>
      <c r="I3136" t="s">
        <v>3366</v>
      </c>
    </row>
    <row r="3137" customHeight="1" ht="14.0">
      <c r="A3137" t="s">
        <v>6324</v>
      </c>
      <c r="B3137" s="153" t="s">
        <v>6325</v>
      </c>
      <c r="C3137">
        <v>0.0</v>
      </c>
      <c r="D3137">
        <v>0.0</v>
      </c>
      <c r="F3137" t="s">
        <v>2942</v>
      </c>
      <c r="G3137" t="s">
        <v>2943</v>
      </c>
      <c r="H3137" t="s">
        <v>3161</v>
      </c>
      <c r="I3137" t="s">
        <v>3366</v>
      </c>
    </row>
    <row r="3138" customHeight="1" ht="14.0">
      <c r="A3138" t="s">
        <v>6326</v>
      </c>
      <c r="B3138" s="153" t="s">
        <v>6327</v>
      </c>
      <c r="C3138">
        <v>0.0</v>
      </c>
      <c r="D3138">
        <v>0.0</v>
      </c>
      <c r="F3138" t="s">
        <v>2942</v>
      </c>
      <c r="G3138" t="s">
        <v>2943</v>
      </c>
      <c r="H3138" t="s">
        <v>3161</v>
      </c>
      <c r="I3138" t="s">
        <v>3366</v>
      </c>
    </row>
    <row r="3139" customHeight="1" ht="14.0">
      <c r="A3139" t="s">
        <v>6328</v>
      </c>
      <c r="B3139" s="153" t="s">
        <v>6329</v>
      </c>
      <c r="C3139">
        <v>0.0</v>
      </c>
      <c r="D3139">
        <v>0.0</v>
      </c>
      <c r="F3139" t="s">
        <v>2942</v>
      </c>
      <c r="G3139" t="s">
        <v>2943</v>
      </c>
      <c r="H3139" t="s">
        <v>3161</v>
      </c>
      <c r="I3139" t="s">
        <v>3366</v>
      </c>
    </row>
    <row r="3140" customHeight="1" ht="14.0">
      <c r="A3140" t="s">
        <v>6330</v>
      </c>
      <c r="B3140" s="153" t="s">
        <v>6331</v>
      </c>
      <c r="C3140">
        <v>0.0</v>
      </c>
      <c r="D3140">
        <v>0.0</v>
      </c>
      <c r="F3140" t="s">
        <v>2942</v>
      </c>
      <c r="G3140" t="s">
        <v>2943</v>
      </c>
      <c r="H3140" t="s">
        <v>3161</v>
      </c>
      <c r="I3140" t="s">
        <v>3366</v>
      </c>
    </row>
    <row r="3141" customHeight="1" ht="14.0">
      <c r="A3141" t="s">
        <v>6332</v>
      </c>
      <c r="B3141" s="153" t="s">
        <v>6333</v>
      </c>
      <c r="C3141">
        <v>0.0</v>
      </c>
      <c r="D3141">
        <v>0.0</v>
      </c>
      <c r="F3141" t="s">
        <v>2942</v>
      </c>
      <c r="G3141" t="s">
        <v>2943</v>
      </c>
      <c r="H3141" t="s">
        <v>3161</v>
      </c>
      <c r="I3141" t="s">
        <v>3366</v>
      </c>
    </row>
    <row r="3142" customHeight="1" ht="14.0">
      <c r="A3142" t="s">
        <v>6334</v>
      </c>
      <c r="B3142" s="153" t="s">
        <v>6335</v>
      </c>
      <c r="C3142">
        <v>0.0</v>
      </c>
      <c r="D3142">
        <v>0.0</v>
      </c>
      <c r="F3142" t="s">
        <v>2942</v>
      </c>
      <c r="G3142" t="s">
        <v>2943</v>
      </c>
      <c r="H3142" t="s">
        <v>3161</v>
      </c>
      <c r="I3142" t="s">
        <v>3366</v>
      </c>
    </row>
    <row r="3143" customHeight="1" ht="14.0">
      <c r="A3143" t="s">
        <v>6336</v>
      </c>
      <c r="B3143" s="153" t="s">
        <v>6337</v>
      </c>
      <c r="C3143">
        <v>0.0</v>
      </c>
      <c r="D3143">
        <v>0.0</v>
      </c>
      <c r="F3143" t="s">
        <v>2942</v>
      </c>
      <c r="G3143" t="s">
        <v>2943</v>
      </c>
      <c r="H3143" t="s">
        <v>3161</v>
      </c>
      <c r="I3143" t="s">
        <v>3366</v>
      </c>
    </row>
    <row r="3144" customHeight="1" ht="14.0">
      <c r="A3144" t="s">
        <v>6338</v>
      </c>
      <c r="B3144" s="153" t="s">
        <v>6339</v>
      </c>
      <c r="C3144">
        <v>0.0</v>
      </c>
      <c r="D3144">
        <v>0.0</v>
      </c>
      <c r="F3144" t="s">
        <v>2942</v>
      </c>
      <c r="G3144" t="s">
        <v>2943</v>
      </c>
      <c r="H3144" t="s">
        <v>3161</v>
      </c>
      <c r="I3144" t="s">
        <v>3366</v>
      </c>
    </row>
    <row r="3145" customHeight="1" ht="14.0">
      <c r="A3145" t="s">
        <v>6340</v>
      </c>
      <c r="B3145" s="153" t="s">
        <v>6341</v>
      </c>
      <c r="C3145">
        <v>0.0</v>
      </c>
      <c r="D3145">
        <v>0.0</v>
      </c>
      <c r="F3145" t="s">
        <v>2942</v>
      </c>
      <c r="G3145" t="s">
        <v>2943</v>
      </c>
      <c r="H3145" t="s">
        <v>3161</v>
      </c>
      <c r="I3145" t="s">
        <v>3366</v>
      </c>
    </row>
    <row r="3146" customHeight="1" ht="14.0">
      <c r="A3146" t="s">
        <v>6342</v>
      </c>
      <c r="B3146" s="153" t="s">
        <v>6343</v>
      </c>
      <c r="C3146">
        <v>0.0</v>
      </c>
      <c r="D3146">
        <v>0.0</v>
      </c>
      <c r="F3146" t="s">
        <v>2942</v>
      </c>
      <c r="G3146" t="s">
        <v>2943</v>
      </c>
      <c r="H3146" t="s">
        <v>3161</v>
      </c>
      <c r="I3146" t="s">
        <v>3366</v>
      </c>
    </row>
    <row r="3147" customHeight="1" ht="14.0">
      <c r="A3147" t="s">
        <v>6344</v>
      </c>
      <c r="B3147" s="153" t="s">
        <v>6345</v>
      </c>
      <c r="C3147">
        <v>0.0</v>
      </c>
      <c r="D3147">
        <v>0.0</v>
      </c>
      <c r="F3147" t="s">
        <v>2942</v>
      </c>
      <c r="G3147" t="s">
        <v>2943</v>
      </c>
      <c r="H3147" t="s">
        <v>3161</v>
      </c>
      <c r="I3147" t="s">
        <v>3366</v>
      </c>
    </row>
    <row r="3148" customHeight="1" ht="14.0">
      <c r="A3148" t="s">
        <v>6346</v>
      </c>
      <c r="B3148" s="153" t="s">
        <v>6347</v>
      </c>
      <c r="C3148">
        <v>0.0</v>
      </c>
      <c r="D3148">
        <v>0.0</v>
      </c>
      <c r="F3148" t="s">
        <v>2942</v>
      </c>
      <c r="G3148" t="s">
        <v>2943</v>
      </c>
      <c r="H3148" t="s">
        <v>3161</v>
      </c>
      <c r="I3148" t="s">
        <v>3366</v>
      </c>
    </row>
    <row r="3149" customHeight="1" ht="14.0">
      <c r="A3149" t="s">
        <v>6348</v>
      </c>
      <c r="B3149" s="153" t="s">
        <v>6349</v>
      </c>
      <c r="C3149">
        <v>0.0</v>
      </c>
      <c r="D3149">
        <v>0.0</v>
      </c>
      <c r="F3149" t="s">
        <v>2942</v>
      </c>
      <c r="G3149" t="s">
        <v>2943</v>
      </c>
      <c r="H3149" t="s">
        <v>3161</v>
      </c>
      <c r="I3149" t="s">
        <v>3366</v>
      </c>
    </row>
    <row r="3150" customHeight="1" ht="14.0">
      <c r="A3150" t="s">
        <v>6350</v>
      </c>
      <c r="B3150" s="153" t="s">
        <v>6351</v>
      </c>
      <c r="C3150">
        <v>0.0</v>
      </c>
      <c r="D3150">
        <v>0.0</v>
      </c>
      <c r="F3150" t="s">
        <v>2942</v>
      </c>
      <c r="G3150" t="s">
        <v>2943</v>
      </c>
      <c r="H3150" t="s">
        <v>3161</v>
      </c>
      <c r="I3150" t="s">
        <v>3366</v>
      </c>
    </row>
    <row r="3151" customHeight="1" ht="14.0">
      <c r="A3151" t="s">
        <v>6352</v>
      </c>
      <c r="B3151" s="153" t="s">
        <v>6353</v>
      </c>
      <c r="C3151">
        <v>0.0</v>
      </c>
      <c r="D3151">
        <v>0.0</v>
      </c>
      <c r="F3151" t="s">
        <v>2942</v>
      </c>
      <c r="G3151" t="s">
        <v>2943</v>
      </c>
      <c r="H3151" t="s">
        <v>3161</v>
      </c>
      <c r="I3151" t="s">
        <v>3366</v>
      </c>
    </row>
    <row r="3152" customHeight="1" ht="14.0">
      <c r="A3152" t="s">
        <v>6354</v>
      </c>
      <c r="B3152" s="153" t="s">
        <v>6355</v>
      </c>
      <c r="C3152">
        <v>0.0</v>
      </c>
      <c r="D3152">
        <v>0.0</v>
      </c>
      <c r="F3152" t="s">
        <v>2942</v>
      </c>
      <c r="G3152" t="s">
        <v>2943</v>
      </c>
      <c r="H3152" t="s">
        <v>3161</v>
      </c>
      <c r="I3152" t="s">
        <v>3366</v>
      </c>
    </row>
    <row r="3153" customHeight="1" ht="14.0">
      <c r="A3153" t="s">
        <v>6356</v>
      </c>
      <c r="B3153" s="153" t="s">
        <v>6357</v>
      </c>
      <c r="C3153">
        <v>0.0</v>
      </c>
      <c r="D3153">
        <v>0.0</v>
      </c>
      <c r="F3153" t="s">
        <v>2942</v>
      </c>
      <c r="G3153" t="s">
        <v>2943</v>
      </c>
      <c r="H3153" t="s">
        <v>3161</v>
      </c>
      <c r="I3153" t="s">
        <v>3366</v>
      </c>
    </row>
    <row r="3154" customHeight="1" ht="14.0">
      <c r="A3154" t="s">
        <v>6358</v>
      </c>
      <c r="B3154" s="153" t="s">
        <v>6359</v>
      </c>
      <c r="C3154">
        <v>0.0</v>
      </c>
      <c r="D3154">
        <v>0.0</v>
      </c>
      <c r="F3154" t="s">
        <v>2942</v>
      </c>
      <c r="G3154" t="s">
        <v>2943</v>
      </c>
      <c r="H3154" t="s">
        <v>3161</v>
      </c>
      <c r="I3154" t="s">
        <v>3366</v>
      </c>
    </row>
    <row r="3155" customHeight="1" ht="14.0">
      <c r="A3155" t="s">
        <v>6360</v>
      </c>
      <c r="B3155" s="153" t="s">
        <v>6361</v>
      </c>
      <c r="C3155">
        <v>0.0</v>
      </c>
      <c r="D3155">
        <v>0.0</v>
      </c>
      <c r="F3155" t="s">
        <v>2942</v>
      </c>
      <c r="G3155" t="s">
        <v>2943</v>
      </c>
      <c r="H3155" t="s">
        <v>3161</v>
      </c>
      <c r="I3155" t="s">
        <v>3366</v>
      </c>
    </row>
    <row r="3156" customHeight="1" ht="14.0">
      <c r="A3156" t="s">
        <v>6362</v>
      </c>
      <c r="B3156" s="153" t="s">
        <v>6363</v>
      </c>
      <c r="C3156">
        <v>0.0</v>
      </c>
      <c r="D3156">
        <v>0.0</v>
      </c>
      <c r="F3156" t="s">
        <v>2942</v>
      </c>
      <c r="G3156" t="s">
        <v>2943</v>
      </c>
      <c r="H3156" t="s">
        <v>3161</v>
      </c>
      <c r="I3156" t="s">
        <v>3366</v>
      </c>
    </row>
    <row r="3157" customHeight="1" ht="14.0">
      <c r="A3157" t="s">
        <v>6364</v>
      </c>
      <c r="B3157" s="153" t="s">
        <v>6365</v>
      </c>
      <c r="C3157">
        <v>0.0</v>
      </c>
      <c r="D3157">
        <v>0.0</v>
      </c>
      <c r="F3157" t="s">
        <v>2942</v>
      </c>
      <c r="G3157" t="s">
        <v>2943</v>
      </c>
      <c r="H3157" t="s">
        <v>3161</v>
      </c>
      <c r="I3157" t="s">
        <v>3366</v>
      </c>
    </row>
    <row r="3158" customHeight="1" ht="14.0">
      <c r="A3158" t="s">
        <v>6366</v>
      </c>
      <c r="B3158" s="153" t="s">
        <v>6367</v>
      </c>
      <c r="C3158">
        <v>0.0</v>
      </c>
      <c r="D3158">
        <v>0.0</v>
      </c>
      <c r="F3158" t="s">
        <v>2942</v>
      </c>
      <c r="G3158" t="s">
        <v>2943</v>
      </c>
      <c r="H3158" t="s">
        <v>3161</v>
      </c>
      <c r="I3158" t="s">
        <v>63</v>
      </c>
    </row>
    <row r="3159" customHeight="1" ht="14.0">
      <c r="A3159" t="s">
        <v>6368</v>
      </c>
      <c r="B3159" s="153" t="s">
        <v>6369</v>
      </c>
      <c r="C3159">
        <v>0.0</v>
      </c>
      <c r="D3159">
        <v>0.0</v>
      </c>
      <c r="F3159" t="s">
        <v>2942</v>
      </c>
      <c r="G3159" t="s">
        <v>2943</v>
      </c>
      <c r="H3159" t="s">
        <v>3161</v>
      </c>
      <c r="I3159" t="s">
        <v>83</v>
      </c>
    </row>
    <row r="3160" customHeight="1" ht="14.0">
      <c r="A3160" t="s">
        <v>6370</v>
      </c>
      <c r="B3160" s="153" t="s">
        <v>6371</v>
      </c>
      <c r="C3160">
        <v>0.0</v>
      </c>
      <c r="D3160">
        <v>0.0</v>
      </c>
      <c r="F3160" t="s">
        <v>2942</v>
      </c>
      <c r="G3160" t="s">
        <v>2943</v>
      </c>
      <c r="H3160" t="s">
        <v>3161</v>
      </c>
      <c r="I3160" t="s">
        <v>3167</v>
      </c>
    </row>
    <row r="3161" customHeight="1" ht="14.0">
      <c r="A3161" t="s">
        <v>6372</v>
      </c>
      <c r="B3161" s="153" t="s">
        <v>6373</v>
      </c>
      <c r="C3161">
        <v>0.0</v>
      </c>
      <c r="D3161">
        <v>0.0</v>
      </c>
      <c r="F3161" t="s">
        <v>2942</v>
      </c>
      <c r="G3161" t="s">
        <v>2943</v>
      </c>
      <c r="H3161" t="s">
        <v>3161</v>
      </c>
      <c r="I3161" t="s">
        <v>3447</v>
      </c>
    </row>
    <row r="3162" customHeight="1" ht="14.0">
      <c r="A3162" t="s">
        <v>6374</v>
      </c>
      <c r="B3162" s="153" t="s">
        <v>6375</v>
      </c>
      <c r="C3162">
        <v>0.0</v>
      </c>
      <c r="D3162">
        <v>0.0</v>
      </c>
      <c r="F3162" t="s">
        <v>2942</v>
      </c>
      <c r="G3162" t="s">
        <v>2943</v>
      </c>
      <c r="H3162" t="s">
        <v>3161</v>
      </c>
      <c r="I3162" t="s">
        <v>83</v>
      </c>
    </row>
    <row r="3163" customHeight="1" ht="14.0">
      <c r="A3163" t="s">
        <v>6376</v>
      </c>
      <c r="B3163" s="153" t="s">
        <v>6377</v>
      </c>
      <c r="C3163">
        <v>0.0</v>
      </c>
      <c r="D3163">
        <v>0.0</v>
      </c>
      <c r="F3163" t="s">
        <v>2942</v>
      </c>
      <c r="G3163" t="s">
        <v>2943</v>
      </c>
      <c r="H3163" t="s">
        <v>3161</v>
      </c>
      <c r="I3163" t="s">
        <v>3366</v>
      </c>
    </row>
    <row r="3164" customHeight="1" ht="14.0">
      <c r="A3164" t="s">
        <v>6378</v>
      </c>
      <c r="B3164" s="153" t="s">
        <v>6379</v>
      </c>
      <c r="C3164">
        <v>0.0</v>
      </c>
      <c r="D3164">
        <v>0.0</v>
      </c>
      <c r="F3164" t="s">
        <v>2942</v>
      </c>
      <c r="G3164" t="s">
        <v>2943</v>
      </c>
      <c r="H3164" t="s">
        <v>3161</v>
      </c>
      <c r="I3164" t="s">
        <v>3366</v>
      </c>
    </row>
    <row r="3165" customHeight="1" ht="14.0">
      <c r="A3165" t="s">
        <v>6380</v>
      </c>
      <c r="B3165" s="153" t="s">
        <v>6381</v>
      </c>
      <c r="C3165">
        <v>0.0</v>
      </c>
      <c r="D3165">
        <v>0.0</v>
      </c>
      <c r="F3165" t="s">
        <v>2942</v>
      </c>
      <c r="G3165" t="s">
        <v>2943</v>
      </c>
      <c r="H3165" t="s">
        <v>3161</v>
      </c>
      <c r="I3165" t="s">
        <v>83</v>
      </c>
    </row>
    <row r="3166" customHeight="1" ht="14.0">
      <c r="A3166" t="s">
        <v>6382</v>
      </c>
      <c r="B3166" s="153" t="s">
        <v>6383</v>
      </c>
      <c r="C3166">
        <v>0.0</v>
      </c>
      <c r="D3166">
        <v>0.0</v>
      </c>
      <c r="F3166" t="s">
        <v>2942</v>
      </c>
      <c r="G3166" t="s">
        <v>2943</v>
      </c>
      <c r="H3166" t="s">
        <v>3161</v>
      </c>
      <c r="I3166" t="s">
        <v>3167</v>
      </c>
    </row>
    <row r="3167" customHeight="1" ht="14.0">
      <c r="A3167" t="s">
        <v>6384</v>
      </c>
      <c r="B3167" s="153" t="s">
        <v>6385</v>
      </c>
      <c r="C3167">
        <v>0.0</v>
      </c>
      <c r="D3167">
        <v>0.0</v>
      </c>
      <c r="F3167" t="s">
        <v>2942</v>
      </c>
      <c r="G3167" t="s">
        <v>2943</v>
      </c>
      <c r="H3167" t="s">
        <v>3161</v>
      </c>
      <c r="I3167" t="s">
        <v>83</v>
      </c>
    </row>
    <row r="3168" customHeight="1" ht="14.0">
      <c r="A3168" t="s">
        <v>6386</v>
      </c>
      <c r="B3168" s="153" t="s">
        <v>6387</v>
      </c>
      <c r="C3168">
        <v>0.0</v>
      </c>
      <c r="D3168">
        <v>0.0</v>
      </c>
      <c r="F3168" t="s">
        <v>2942</v>
      </c>
      <c r="G3168" t="s">
        <v>2943</v>
      </c>
      <c r="H3168" t="s">
        <v>3161</v>
      </c>
      <c r="I3168" t="s">
        <v>3167</v>
      </c>
    </row>
    <row r="3169" customHeight="1" ht="14.0">
      <c r="A3169" t="s">
        <v>6388</v>
      </c>
      <c r="B3169" s="153" t="s">
        <v>6389</v>
      </c>
      <c r="C3169">
        <v>0.0</v>
      </c>
      <c r="D3169">
        <v>0.0</v>
      </c>
      <c r="F3169" t="s">
        <v>2942</v>
      </c>
      <c r="G3169" t="s">
        <v>2943</v>
      </c>
      <c r="H3169" t="s">
        <v>3161</v>
      </c>
      <c r="I3169" t="s">
        <v>83</v>
      </c>
    </row>
    <row r="3170" customHeight="1" ht="14.0">
      <c r="A3170" t="s">
        <v>6390</v>
      </c>
      <c r="B3170" s="153" t="s">
        <v>6391</v>
      </c>
      <c r="C3170">
        <v>0.0</v>
      </c>
      <c r="D3170">
        <v>0.0</v>
      </c>
      <c r="F3170" t="s">
        <v>2942</v>
      </c>
      <c r="G3170" t="s">
        <v>2943</v>
      </c>
      <c r="H3170" t="s">
        <v>3161</v>
      </c>
      <c r="I3170" t="s">
        <v>3167</v>
      </c>
    </row>
    <row r="3171" customHeight="1" ht="14.0">
      <c r="A3171" t="s">
        <v>6392</v>
      </c>
      <c r="B3171" s="153" t="s">
        <v>6393</v>
      </c>
      <c r="C3171">
        <v>0.0</v>
      </c>
      <c r="D3171">
        <v>0.0</v>
      </c>
      <c r="F3171" t="s">
        <v>2942</v>
      </c>
      <c r="G3171" t="s">
        <v>2943</v>
      </c>
      <c r="H3171" t="s">
        <v>3161</v>
      </c>
      <c r="I3171" t="s">
        <v>83</v>
      </c>
    </row>
    <row r="3172" customHeight="1" ht="14.0">
      <c r="A3172" t="s">
        <v>6394</v>
      </c>
      <c r="B3172" s="153" t="s">
        <v>6395</v>
      </c>
      <c r="C3172">
        <v>0.0</v>
      </c>
      <c r="D3172">
        <v>0.0</v>
      </c>
      <c r="F3172" t="s">
        <v>2942</v>
      </c>
      <c r="G3172" t="s">
        <v>2943</v>
      </c>
      <c r="H3172" t="s">
        <v>3161</v>
      </c>
      <c r="I3172" t="s">
        <v>3167</v>
      </c>
    </row>
    <row r="3173" customHeight="1" ht="14.0">
      <c r="A3173" t="s">
        <v>6396</v>
      </c>
      <c r="B3173" s="153" t="s">
        <v>6397</v>
      </c>
      <c r="C3173">
        <v>0.0</v>
      </c>
      <c r="D3173">
        <v>0.0</v>
      </c>
      <c r="F3173" t="s">
        <v>2942</v>
      </c>
      <c r="G3173" t="s">
        <v>2943</v>
      </c>
      <c r="H3173" t="s">
        <v>3161</v>
      </c>
      <c r="I3173" t="s">
        <v>83</v>
      </c>
    </row>
    <row r="3174" customHeight="1" ht="14.0">
      <c r="A3174" t="s">
        <v>6398</v>
      </c>
      <c r="B3174" s="153" t="s">
        <v>6399</v>
      </c>
      <c r="C3174">
        <v>0.0</v>
      </c>
      <c r="D3174">
        <v>0.0</v>
      </c>
      <c r="F3174" t="s">
        <v>2942</v>
      </c>
      <c r="G3174" t="s">
        <v>2943</v>
      </c>
      <c r="H3174" t="s">
        <v>3161</v>
      </c>
      <c r="I3174" t="s">
        <v>3167</v>
      </c>
    </row>
    <row r="3175" customHeight="1" ht="14.0">
      <c r="A3175" t="s">
        <v>6400</v>
      </c>
      <c r="B3175" s="153" t="s">
        <v>6401</v>
      </c>
      <c r="C3175">
        <v>0.0</v>
      </c>
      <c r="D3175">
        <v>0.0</v>
      </c>
      <c r="F3175" t="s">
        <v>2942</v>
      </c>
      <c r="G3175" t="s">
        <v>2943</v>
      </c>
      <c r="H3175" t="s">
        <v>3161</v>
      </c>
      <c r="I3175" t="s">
        <v>83</v>
      </c>
    </row>
    <row r="3176" customHeight="1" ht="14.0">
      <c r="A3176" t="s">
        <v>6402</v>
      </c>
      <c r="B3176" s="153" t="s">
        <v>6403</v>
      </c>
      <c r="C3176">
        <v>0.0</v>
      </c>
      <c r="D3176">
        <v>0.0</v>
      </c>
      <c r="F3176" t="s">
        <v>2942</v>
      </c>
      <c r="G3176" t="s">
        <v>2943</v>
      </c>
      <c r="H3176" t="s">
        <v>3161</v>
      </c>
      <c r="I3176" t="s">
        <v>3167</v>
      </c>
    </row>
    <row r="3177" customHeight="1" ht="14.0">
      <c r="A3177" t="s">
        <v>6404</v>
      </c>
      <c r="B3177" s="153" t="s">
        <v>6405</v>
      </c>
      <c r="C3177">
        <v>0.0</v>
      </c>
      <c r="D3177">
        <v>0.0</v>
      </c>
      <c r="F3177" t="s">
        <v>2942</v>
      </c>
      <c r="G3177" t="s">
        <v>2943</v>
      </c>
      <c r="H3177" t="s">
        <v>3161</v>
      </c>
      <c r="I3177" t="s">
        <v>83</v>
      </c>
    </row>
    <row r="3178" customHeight="1" ht="14.0">
      <c r="A3178" t="s">
        <v>6406</v>
      </c>
      <c r="B3178" s="153" t="s">
        <v>6407</v>
      </c>
      <c r="C3178">
        <v>0.0</v>
      </c>
      <c r="D3178">
        <v>0.0</v>
      </c>
      <c r="F3178" t="s">
        <v>2942</v>
      </c>
      <c r="G3178" t="s">
        <v>2943</v>
      </c>
      <c r="H3178" t="s">
        <v>3161</v>
      </c>
      <c r="I3178" t="s">
        <v>3167</v>
      </c>
    </row>
    <row r="3179" customHeight="1" ht="14.0">
      <c r="A3179" t="s">
        <v>6408</v>
      </c>
      <c r="B3179" s="153" t="s">
        <v>6409</v>
      </c>
      <c r="C3179">
        <v>0.0</v>
      </c>
      <c r="D3179">
        <v>0.0</v>
      </c>
      <c r="F3179" t="s">
        <v>2942</v>
      </c>
      <c r="G3179" t="s">
        <v>2943</v>
      </c>
      <c r="H3179" t="s">
        <v>3161</v>
      </c>
      <c r="I3179" t="s">
        <v>3366</v>
      </c>
    </row>
    <row r="3180" customHeight="1" ht="14.0">
      <c r="A3180" t="s">
        <v>6410</v>
      </c>
      <c r="B3180" s="153" t="s">
        <v>6411</v>
      </c>
      <c r="C3180">
        <v>0.0</v>
      </c>
      <c r="D3180">
        <v>0.0</v>
      </c>
      <c r="F3180" t="s">
        <v>2942</v>
      </c>
      <c r="G3180" t="s">
        <v>2943</v>
      </c>
      <c r="H3180" t="s">
        <v>3161</v>
      </c>
      <c r="I3180" t="s">
        <v>83</v>
      </c>
    </row>
    <row r="3181" customHeight="1" ht="14.0">
      <c r="A3181" t="s">
        <v>6412</v>
      </c>
      <c r="B3181" s="153" t="s">
        <v>6413</v>
      </c>
      <c r="C3181">
        <v>0.0</v>
      </c>
      <c r="D3181">
        <v>0.0</v>
      </c>
      <c r="F3181" t="s">
        <v>2942</v>
      </c>
      <c r="G3181" t="s">
        <v>2943</v>
      </c>
      <c r="H3181" t="s">
        <v>3161</v>
      </c>
      <c r="I3181" t="s">
        <v>3167</v>
      </c>
    </row>
    <row r="3182" customHeight="1" ht="14.0">
      <c r="A3182" t="s">
        <v>6414</v>
      </c>
      <c r="B3182" s="153" t="s">
        <v>6415</v>
      </c>
      <c r="C3182">
        <v>1.0</v>
      </c>
      <c r="D3182">
        <v>1.0</v>
      </c>
      <c r="E3182">
        <v>1.0</v>
      </c>
      <c r="F3182" t="s">
        <v>2942</v>
      </c>
      <c r="G3182" t="s">
        <v>2943</v>
      </c>
      <c r="H3182" t="s">
        <v>3161</v>
      </c>
      <c r="I3182" t="s">
        <v>3447</v>
      </c>
    </row>
    <row r="3183" customHeight="1" ht="14.0">
      <c r="A3183" t="s">
        <v>6416</v>
      </c>
      <c r="B3183" s="153" t="s">
        <v>6417</v>
      </c>
      <c r="C3183">
        <v>0.0</v>
      </c>
      <c r="D3183">
        <v>0.0</v>
      </c>
      <c r="F3183" t="s">
        <v>2942</v>
      </c>
      <c r="G3183" t="s">
        <v>2943</v>
      </c>
      <c r="H3183" t="s">
        <v>3161</v>
      </c>
      <c r="I3183" t="s">
        <v>3366</v>
      </c>
    </row>
    <row r="3184" customHeight="1" ht="14.0">
      <c r="A3184" t="s">
        <v>6418</v>
      </c>
      <c r="B3184" s="153" t="s">
        <v>6419</v>
      </c>
      <c r="C3184">
        <v>0.0</v>
      </c>
      <c r="D3184">
        <v>0.0</v>
      </c>
      <c r="F3184" t="s">
        <v>2942</v>
      </c>
      <c r="G3184" t="s">
        <v>2943</v>
      </c>
      <c r="H3184" t="s">
        <v>3161</v>
      </c>
      <c r="I3184" t="s">
        <v>83</v>
      </c>
    </row>
    <row r="3185" customHeight="1" ht="14.0">
      <c r="A3185" t="s">
        <v>6420</v>
      </c>
      <c r="B3185" s="153" t="s">
        <v>6421</v>
      </c>
      <c r="C3185">
        <v>0.0</v>
      </c>
      <c r="D3185">
        <v>0.0</v>
      </c>
      <c r="F3185" t="s">
        <v>2942</v>
      </c>
      <c r="G3185" t="s">
        <v>2943</v>
      </c>
      <c r="H3185" t="s">
        <v>3161</v>
      </c>
      <c r="I3185" t="s">
        <v>3167</v>
      </c>
    </row>
    <row r="3186" customHeight="1" ht="14.0">
      <c r="A3186" t="s">
        <v>6422</v>
      </c>
      <c r="B3186" s="153" t="s">
        <v>6423</v>
      </c>
      <c r="C3186">
        <v>0.0</v>
      </c>
      <c r="D3186">
        <v>0.0</v>
      </c>
      <c r="F3186" t="s">
        <v>2942</v>
      </c>
      <c r="G3186" t="s">
        <v>2943</v>
      </c>
      <c r="H3186" t="s">
        <v>3161</v>
      </c>
      <c r="I3186" t="s">
        <v>3447</v>
      </c>
    </row>
    <row r="3187" customHeight="1" ht="14.0">
      <c r="A3187" t="s">
        <v>6424</v>
      </c>
      <c r="B3187" s="153" t="s">
        <v>6425</v>
      </c>
      <c r="C3187">
        <v>0.0</v>
      </c>
      <c r="D3187">
        <v>0.0</v>
      </c>
      <c r="F3187" t="s">
        <v>2942</v>
      </c>
      <c r="G3187" t="s">
        <v>2943</v>
      </c>
      <c r="H3187" t="s">
        <v>3161</v>
      </c>
      <c r="I3187" t="s">
        <v>83</v>
      </c>
    </row>
    <row r="3188" customHeight="1" ht="14.0">
      <c r="A3188" t="s">
        <v>6426</v>
      </c>
      <c r="B3188" s="153" t="s">
        <v>6427</v>
      </c>
      <c r="C3188">
        <v>0.0</v>
      </c>
      <c r="D3188">
        <v>0.0</v>
      </c>
      <c r="F3188" t="s">
        <v>2942</v>
      </c>
      <c r="G3188" t="s">
        <v>2943</v>
      </c>
      <c r="H3188" t="s">
        <v>3161</v>
      </c>
      <c r="I3188" t="s">
        <v>3167</v>
      </c>
    </row>
    <row r="3189" customHeight="1" ht="14.0">
      <c r="A3189" t="s">
        <v>6428</v>
      </c>
      <c r="B3189" s="153" t="s">
        <v>6429</v>
      </c>
      <c r="C3189">
        <v>0.0</v>
      </c>
      <c r="D3189">
        <v>0.0</v>
      </c>
      <c r="F3189" t="s">
        <v>2942</v>
      </c>
      <c r="G3189" t="s">
        <v>2943</v>
      </c>
      <c r="H3189" t="s">
        <v>3161</v>
      </c>
      <c r="I3189" t="s">
        <v>3447</v>
      </c>
    </row>
    <row r="3190" customHeight="1" ht="14.0">
      <c r="A3190" t="s">
        <v>6430</v>
      </c>
      <c r="B3190" s="153" t="s">
        <v>6431</v>
      </c>
      <c r="C3190">
        <v>2.0</v>
      </c>
      <c r="D3190">
        <v>2.0</v>
      </c>
      <c r="E3190">
        <v>1.0</v>
      </c>
      <c r="F3190" t="s">
        <v>2942</v>
      </c>
      <c r="G3190" t="s">
        <v>2943</v>
      </c>
      <c r="H3190" t="s">
        <v>3161</v>
      </c>
      <c r="I3190" t="s">
        <v>83</v>
      </c>
    </row>
    <row r="3191" customHeight="1" ht="14.0">
      <c r="A3191" t="s">
        <v>6432</v>
      </c>
      <c r="B3191" s="153" t="s">
        <v>6433</v>
      </c>
      <c r="C3191">
        <v>0.0</v>
      </c>
      <c r="D3191">
        <v>0.0</v>
      </c>
      <c r="F3191" t="s">
        <v>2942</v>
      </c>
      <c r="G3191" t="s">
        <v>2943</v>
      </c>
      <c r="H3191" t="s">
        <v>3161</v>
      </c>
      <c r="I3191" t="s">
        <v>3167</v>
      </c>
    </row>
    <row r="3192" customHeight="1" ht="14.0">
      <c r="A3192" t="s">
        <v>6434</v>
      </c>
      <c r="B3192" s="153" t="s">
        <v>6435</v>
      </c>
      <c r="C3192">
        <v>0.0</v>
      </c>
      <c r="D3192">
        <v>0.0</v>
      </c>
      <c r="F3192" t="s">
        <v>2942</v>
      </c>
      <c r="G3192" t="s">
        <v>2943</v>
      </c>
      <c r="H3192" t="s">
        <v>3161</v>
      </c>
      <c r="I3192" t="s">
        <v>3447</v>
      </c>
    </row>
    <row r="3193" customHeight="1" ht="14.0">
      <c r="A3193" t="s">
        <v>6436</v>
      </c>
      <c r="B3193" s="153" t="s">
        <v>6437</v>
      </c>
      <c r="C3193">
        <v>0.0</v>
      </c>
      <c r="D3193">
        <v>0.0</v>
      </c>
      <c r="F3193" t="s">
        <v>2942</v>
      </c>
      <c r="G3193" t="s">
        <v>2943</v>
      </c>
      <c r="H3193" t="s">
        <v>3161</v>
      </c>
      <c r="I3193" t="s">
        <v>3366</v>
      </c>
    </row>
    <row r="3194" customHeight="1" ht="14.0">
      <c r="A3194" t="s">
        <v>6438</v>
      </c>
      <c r="B3194" s="153" t="s">
        <v>6439</v>
      </c>
      <c r="C3194">
        <v>0.0</v>
      </c>
      <c r="D3194">
        <v>0.0</v>
      </c>
      <c r="F3194" t="s">
        <v>2942</v>
      </c>
      <c r="G3194" t="s">
        <v>2943</v>
      </c>
      <c r="H3194" t="s">
        <v>3161</v>
      </c>
      <c r="I3194" t="s">
        <v>3134</v>
      </c>
    </row>
    <row r="3195" customHeight="1" ht="14.0">
      <c r="A3195" t="s">
        <v>6440</v>
      </c>
      <c r="B3195" s="153" t="s">
        <v>6441</v>
      </c>
      <c r="C3195">
        <v>0.0</v>
      </c>
      <c r="D3195">
        <v>0.0</v>
      </c>
      <c r="F3195" t="s">
        <v>2942</v>
      </c>
      <c r="G3195" t="s">
        <v>2943</v>
      </c>
      <c r="H3195" t="s">
        <v>3161</v>
      </c>
      <c r="I3195" t="s">
        <v>3134</v>
      </c>
    </row>
    <row r="3196" customHeight="1" ht="14.0">
      <c r="A3196" t="s">
        <v>6442</v>
      </c>
      <c r="B3196" s="153" t="s">
        <v>6443</v>
      </c>
      <c r="C3196">
        <v>0.0</v>
      </c>
      <c r="D3196">
        <v>0.0</v>
      </c>
      <c r="F3196" t="s">
        <v>2942</v>
      </c>
      <c r="G3196" t="s">
        <v>2943</v>
      </c>
      <c r="H3196" t="s">
        <v>3161</v>
      </c>
      <c r="I3196" t="s">
        <v>647</v>
      </c>
    </row>
    <row r="3197" customHeight="1" ht="14.0">
      <c r="A3197" t="s">
        <v>6444</v>
      </c>
      <c r="B3197" s="153" t="s">
        <v>6445</v>
      </c>
      <c r="C3197">
        <v>2.0</v>
      </c>
      <c r="D3197">
        <v>2.0</v>
      </c>
      <c r="E3197">
        <v>1.0</v>
      </c>
      <c r="F3197" t="s">
        <v>2942</v>
      </c>
      <c r="G3197" t="s">
        <v>2943</v>
      </c>
      <c r="H3197" t="s">
        <v>3161</v>
      </c>
      <c r="I3197" t="s">
        <v>83</v>
      </c>
    </row>
    <row r="3198" customHeight="1" ht="14.0">
      <c r="A3198" t="s">
        <v>6446</v>
      </c>
      <c r="B3198" s="153" t="s">
        <v>6447</v>
      </c>
      <c r="C3198">
        <v>0.0</v>
      </c>
      <c r="D3198">
        <v>0.0</v>
      </c>
      <c r="F3198" t="s">
        <v>2942</v>
      </c>
      <c r="G3198" t="s">
        <v>2943</v>
      </c>
      <c r="H3198" t="s">
        <v>3161</v>
      </c>
      <c r="I3198" t="s">
        <v>3167</v>
      </c>
    </row>
    <row r="3199" customHeight="1" ht="14.0">
      <c r="A3199" t="s">
        <v>6448</v>
      </c>
      <c r="B3199" s="153" t="s">
        <v>6449</v>
      </c>
      <c r="C3199">
        <v>0.0</v>
      </c>
      <c r="D3199">
        <v>0.0</v>
      </c>
      <c r="F3199" t="s">
        <v>2942</v>
      </c>
      <c r="G3199" t="s">
        <v>2943</v>
      </c>
      <c r="H3199" t="s">
        <v>3161</v>
      </c>
      <c r="I3199" t="s">
        <v>3447</v>
      </c>
    </row>
    <row r="3200" customHeight="1" ht="14.0">
      <c r="A3200" t="s">
        <v>6450</v>
      </c>
      <c r="B3200" s="153" t="s">
        <v>6451</v>
      </c>
      <c r="C3200">
        <v>0.0</v>
      </c>
      <c r="D3200">
        <v>0.0</v>
      </c>
      <c r="F3200" t="s">
        <v>2942</v>
      </c>
      <c r="G3200" t="s">
        <v>2943</v>
      </c>
      <c r="H3200" t="s">
        <v>3161</v>
      </c>
      <c r="I3200" t="s">
        <v>3366</v>
      </c>
    </row>
    <row r="3201" customHeight="1" ht="14.0">
      <c r="A3201" t="s">
        <v>6452</v>
      </c>
      <c r="B3201" s="153" t="s">
        <v>6453</v>
      </c>
      <c r="C3201">
        <v>0.0</v>
      </c>
      <c r="D3201">
        <v>0.0</v>
      </c>
      <c r="F3201" t="s">
        <v>2942</v>
      </c>
      <c r="G3201" t="s">
        <v>2943</v>
      </c>
      <c r="H3201" t="s">
        <v>3161</v>
      </c>
      <c r="I3201" t="s">
        <v>3366</v>
      </c>
    </row>
    <row r="3202" customHeight="1" ht="14.0">
      <c r="A3202" t="s">
        <v>6454</v>
      </c>
      <c r="B3202" s="153" t="s">
        <v>6455</v>
      </c>
      <c r="C3202">
        <v>4.0</v>
      </c>
      <c r="D3202">
        <v>4.0</v>
      </c>
      <c r="E3202">
        <v>1.0</v>
      </c>
      <c r="F3202" t="s">
        <v>2942</v>
      </c>
      <c r="G3202" t="s">
        <v>2943</v>
      </c>
      <c r="H3202" t="s">
        <v>3161</v>
      </c>
      <c r="I3202" t="s">
        <v>83</v>
      </c>
    </row>
    <row r="3203" customHeight="1" ht="14.0">
      <c r="A3203" t="s">
        <v>6456</v>
      </c>
      <c r="B3203" s="153" t="s">
        <v>6457</v>
      </c>
      <c r="C3203">
        <v>0.0</v>
      </c>
      <c r="D3203">
        <v>0.0</v>
      </c>
      <c r="F3203" t="s">
        <v>2942</v>
      </c>
      <c r="G3203" t="s">
        <v>2943</v>
      </c>
      <c r="H3203" t="s">
        <v>3161</v>
      </c>
      <c r="I3203" t="s">
        <v>3167</v>
      </c>
    </row>
    <row r="3204" customHeight="1" ht="14.0">
      <c r="A3204" t="s">
        <v>6458</v>
      </c>
      <c r="B3204" s="153" t="s">
        <v>6459</v>
      </c>
      <c r="C3204">
        <v>0.0</v>
      </c>
      <c r="D3204">
        <v>0.0</v>
      </c>
      <c r="F3204" t="s">
        <v>2942</v>
      </c>
      <c r="G3204" t="s">
        <v>2943</v>
      </c>
      <c r="H3204" t="s">
        <v>3161</v>
      </c>
      <c r="I3204" t="s">
        <v>3447</v>
      </c>
    </row>
    <row r="3205" customHeight="1" ht="14.0">
      <c r="A3205" t="s">
        <v>6460</v>
      </c>
      <c r="B3205" s="153" t="s">
        <v>6461</v>
      </c>
      <c r="C3205">
        <v>0.0</v>
      </c>
      <c r="D3205">
        <v>0.0</v>
      </c>
      <c r="F3205" t="s">
        <v>2942</v>
      </c>
      <c r="G3205" t="s">
        <v>2943</v>
      </c>
      <c r="H3205" t="s">
        <v>3161</v>
      </c>
      <c r="I3205" t="s">
        <v>3366</v>
      </c>
    </row>
    <row r="3206" customHeight="1" ht="14.0">
      <c r="A3206" t="s">
        <v>6462</v>
      </c>
      <c r="B3206" s="153" t="s">
        <v>6463</v>
      </c>
      <c r="C3206">
        <v>4.0</v>
      </c>
      <c r="D3206">
        <v>4.0</v>
      </c>
      <c r="E3206">
        <v>1.0</v>
      </c>
      <c r="F3206" t="s">
        <v>2942</v>
      </c>
      <c r="G3206" t="s">
        <v>2943</v>
      </c>
      <c r="H3206" t="s">
        <v>3161</v>
      </c>
      <c r="I3206" t="s">
        <v>83</v>
      </c>
    </row>
    <row r="3207" customHeight="1" ht="14.0">
      <c r="A3207" t="s">
        <v>6464</v>
      </c>
      <c r="B3207" s="153" t="s">
        <v>6465</v>
      </c>
      <c r="C3207">
        <v>0.0</v>
      </c>
      <c r="D3207">
        <v>0.0</v>
      </c>
      <c r="F3207" t="s">
        <v>2942</v>
      </c>
      <c r="G3207" t="s">
        <v>2943</v>
      </c>
      <c r="H3207" t="s">
        <v>3161</v>
      </c>
      <c r="I3207" t="s">
        <v>3167</v>
      </c>
    </row>
    <row r="3208" customHeight="1" ht="14.0">
      <c r="A3208" t="s">
        <v>6466</v>
      </c>
      <c r="B3208" s="153" t="s">
        <v>6467</v>
      </c>
      <c r="C3208">
        <v>0.0</v>
      </c>
      <c r="D3208">
        <v>0.0</v>
      </c>
      <c r="F3208" t="s">
        <v>2942</v>
      </c>
      <c r="G3208" t="s">
        <v>2943</v>
      </c>
      <c r="H3208" t="s">
        <v>3161</v>
      </c>
      <c r="I3208" t="s">
        <v>3447</v>
      </c>
    </row>
    <row r="3209" customHeight="1" ht="14.0">
      <c r="A3209" t="s">
        <v>6468</v>
      </c>
      <c r="B3209" s="153" t="s">
        <v>6469</v>
      </c>
      <c r="C3209">
        <v>0.0</v>
      </c>
      <c r="D3209">
        <v>0.0</v>
      </c>
      <c r="F3209" t="s">
        <v>2942</v>
      </c>
      <c r="G3209" t="s">
        <v>2943</v>
      </c>
      <c r="H3209" t="s">
        <v>3161</v>
      </c>
      <c r="I3209" t="s">
        <v>3366</v>
      </c>
    </row>
    <row r="3210" customHeight="1" ht="14.0">
      <c r="A3210" t="s">
        <v>6470</v>
      </c>
      <c r="B3210" s="153" t="s">
        <v>6471</v>
      </c>
      <c r="C3210">
        <v>0.0</v>
      </c>
      <c r="D3210">
        <v>0.0</v>
      </c>
      <c r="F3210" t="s">
        <v>2942</v>
      </c>
      <c r="G3210" t="s">
        <v>2943</v>
      </c>
      <c r="H3210" t="s">
        <v>3161</v>
      </c>
      <c r="I3210" t="s">
        <v>83</v>
      </c>
    </row>
    <row r="3211" customHeight="1" ht="14.0">
      <c r="A3211" t="s">
        <v>6472</v>
      </c>
      <c r="B3211" s="153" t="s">
        <v>6473</v>
      </c>
      <c r="C3211">
        <v>0.0</v>
      </c>
      <c r="D3211">
        <v>0.0</v>
      </c>
      <c r="F3211" t="s">
        <v>2942</v>
      </c>
      <c r="G3211" t="s">
        <v>2943</v>
      </c>
      <c r="H3211" t="s">
        <v>3161</v>
      </c>
      <c r="I3211" t="s">
        <v>6474</v>
      </c>
    </row>
    <row r="3212" customHeight="1" ht="14.0">
      <c r="A3212" t="s">
        <v>6475</v>
      </c>
      <c r="B3212" s="153" t="s">
        <v>6476</v>
      </c>
      <c r="C3212">
        <v>2.0</v>
      </c>
      <c r="D3212">
        <v>2.0</v>
      </c>
      <c r="E3212">
        <v>1.0</v>
      </c>
      <c r="F3212" t="s">
        <v>2942</v>
      </c>
      <c r="G3212" t="s">
        <v>2943</v>
      </c>
      <c r="H3212" t="s">
        <v>3161</v>
      </c>
      <c r="I3212" t="s">
        <v>83</v>
      </c>
    </row>
    <row r="3213" customHeight="1" ht="14.0">
      <c r="A3213" t="s">
        <v>6477</v>
      </c>
      <c r="B3213" s="153" t="s">
        <v>6478</v>
      </c>
      <c r="C3213">
        <v>0.0</v>
      </c>
      <c r="D3213">
        <v>0.0</v>
      </c>
      <c r="F3213" t="s">
        <v>2942</v>
      </c>
      <c r="G3213" t="s">
        <v>2943</v>
      </c>
      <c r="H3213" t="s">
        <v>3161</v>
      </c>
      <c r="I3213" t="s">
        <v>3167</v>
      </c>
    </row>
    <row r="3214" customHeight="1" ht="14.0">
      <c r="A3214" t="s">
        <v>6479</v>
      </c>
      <c r="B3214" s="153" t="s">
        <v>6480</v>
      </c>
      <c r="C3214">
        <v>0.0</v>
      </c>
      <c r="D3214">
        <v>0.0</v>
      </c>
      <c r="F3214" t="s">
        <v>2942</v>
      </c>
      <c r="G3214" t="s">
        <v>2943</v>
      </c>
      <c r="H3214" t="s">
        <v>3161</v>
      </c>
      <c r="I3214" t="s">
        <v>3447</v>
      </c>
    </row>
    <row r="3215" customHeight="1" ht="14.0">
      <c r="A3215" t="s">
        <v>6481</v>
      </c>
      <c r="B3215" s="153" t="s">
        <v>6482</v>
      </c>
      <c r="C3215">
        <v>0.0</v>
      </c>
      <c r="D3215">
        <v>0.0</v>
      </c>
      <c r="F3215" t="s">
        <v>2942</v>
      </c>
      <c r="G3215" t="s">
        <v>2943</v>
      </c>
      <c r="H3215" t="s">
        <v>3161</v>
      </c>
      <c r="I3215" t="s">
        <v>3366</v>
      </c>
    </row>
    <row r="3216" customHeight="1" ht="14.0">
      <c r="A3216" t="s">
        <v>6483</v>
      </c>
      <c r="B3216" s="153" t="s">
        <v>6484</v>
      </c>
      <c r="C3216">
        <v>126.0</v>
      </c>
      <c r="D3216">
        <v>702.47</v>
      </c>
      <c r="E3216">
        <v>5.5752</v>
      </c>
      <c r="F3216" t="s">
        <v>2942</v>
      </c>
      <c r="G3216" t="s">
        <v>2943</v>
      </c>
      <c r="H3216" t="s">
        <v>3161</v>
      </c>
      <c r="I3216" t="s">
        <v>197</v>
      </c>
    </row>
    <row r="3217" customHeight="1" ht="14.0">
      <c r="A3217" t="s">
        <v>6485</v>
      </c>
      <c r="B3217" s="153" t="s">
        <v>6486</v>
      </c>
      <c r="C3217">
        <v>0.0</v>
      </c>
      <c r="D3217">
        <v>0.0</v>
      </c>
      <c r="F3217" t="s">
        <v>2942</v>
      </c>
      <c r="G3217" t="s">
        <v>2943</v>
      </c>
      <c r="H3217" t="s">
        <v>3161</v>
      </c>
      <c r="I3217" t="s">
        <v>83</v>
      </c>
    </row>
    <row r="3218" customHeight="1" ht="14.0">
      <c r="A3218" t="s">
        <v>6487</v>
      </c>
      <c r="B3218" s="153" t="s">
        <v>6488</v>
      </c>
      <c r="C3218">
        <v>0.0</v>
      </c>
      <c r="D3218">
        <v>0.0</v>
      </c>
      <c r="F3218" t="s">
        <v>2942</v>
      </c>
      <c r="G3218" t="s">
        <v>2943</v>
      </c>
      <c r="H3218" t="s">
        <v>3161</v>
      </c>
      <c r="I3218" t="s">
        <v>83</v>
      </c>
    </row>
    <row r="3219" customHeight="1" ht="14.0">
      <c r="A3219" t="s">
        <v>6489</v>
      </c>
      <c r="B3219" s="153" t="s">
        <v>6490</v>
      </c>
      <c r="C3219">
        <v>0.0</v>
      </c>
      <c r="D3219">
        <v>0.0</v>
      </c>
      <c r="F3219" t="s">
        <v>2942</v>
      </c>
      <c r="G3219" t="s">
        <v>2943</v>
      </c>
      <c r="H3219" t="s">
        <v>3161</v>
      </c>
      <c r="I3219" t="s">
        <v>647</v>
      </c>
    </row>
    <row r="3220" customHeight="1" ht="14.0">
      <c r="A3220" t="s">
        <v>6491</v>
      </c>
      <c r="B3220" s="153" t="s">
        <v>6492</v>
      </c>
      <c r="C3220">
        <v>1.0</v>
      </c>
      <c r="D3220">
        <v>1.0</v>
      </c>
      <c r="E3220">
        <v>1.0</v>
      </c>
      <c r="F3220" t="s">
        <v>2942</v>
      </c>
      <c r="G3220" t="s">
        <v>2943</v>
      </c>
      <c r="H3220" t="s">
        <v>3161</v>
      </c>
      <c r="I3220" t="s">
        <v>83</v>
      </c>
    </row>
    <row r="3221" customHeight="1" ht="14.0">
      <c r="A3221" t="s">
        <v>6493</v>
      </c>
      <c r="B3221" s="153" t="s">
        <v>6494</v>
      </c>
      <c r="C3221">
        <v>0.0</v>
      </c>
      <c r="D3221">
        <v>0.0</v>
      </c>
      <c r="F3221" t="s">
        <v>2942</v>
      </c>
      <c r="G3221" t="s">
        <v>2943</v>
      </c>
      <c r="H3221" t="s">
        <v>3161</v>
      </c>
      <c r="I3221" t="s">
        <v>3167</v>
      </c>
    </row>
    <row r="3222" customHeight="1" ht="14.0">
      <c r="A3222" t="s">
        <v>6495</v>
      </c>
      <c r="B3222" s="153" t="s">
        <v>6496</v>
      </c>
      <c r="C3222">
        <v>0.0</v>
      </c>
      <c r="D3222">
        <v>0.0</v>
      </c>
      <c r="F3222" t="s">
        <v>2942</v>
      </c>
      <c r="G3222" t="s">
        <v>2943</v>
      </c>
      <c r="H3222" t="s">
        <v>3161</v>
      </c>
      <c r="I3222" t="s">
        <v>3447</v>
      </c>
    </row>
    <row r="3223" customHeight="1" ht="14.0">
      <c r="A3223" t="s">
        <v>6497</v>
      </c>
      <c r="B3223" s="153" t="s">
        <v>6498</v>
      </c>
      <c r="C3223">
        <v>0.0</v>
      </c>
      <c r="D3223">
        <v>0.0</v>
      </c>
      <c r="F3223" t="s">
        <v>2942</v>
      </c>
      <c r="G3223" t="s">
        <v>2943</v>
      </c>
      <c r="H3223" t="s">
        <v>3161</v>
      </c>
      <c r="I3223" t="s">
        <v>3366</v>
      </c>
    </row>
    <row r="3224" customHeight="1" ht="14.0">
      <c r="A3224" t="s">
        <v>6499</v>
      </c>
      <c r="B3224" s="153" t="s">
        <v>6500</v>
      </c>
      <c r="C3224">
        <v>0.0</v>
      </c>
      <c r="D3224">
        <v>0.0</v>
      </c>
      <c r="F3224" t="s">
        <v>2942</v>
      </c>
      <c r="G3224" t="s">
        <v>2943</v>
      </c>
      <c r="H3224" t="s">
        <v>3161</v>
      </c>
      <c r="I3224" t="s">
        <v>197</v>
      </c>
    </row>
    <row r="3225" customHeight="1" ht="14.0">
      <c r="A3225" t="s">
        <v>6501</v>
      </c>
      <c r="B3225" s="153" t="s">
        <v>6502</v>
      </c>
      <c r="C3225">
        <v>0.0</v>
      </c>
      <c r="D3225">
        <v>0.0</v>
      </c>
      <c r="F3225" t="s">
        <v>2942</v>
      </c>
      <c r="G3225" t="s">
        <v>2943</v>
      </c>
      <c r="H3225" t="s">
        <v>3161</v>
      </c>
      <c r="I3225" t="s">
        <v>197</v>
      </c>
    </row>
    <row r="3226" customHeight="1" ht="14.0">
      <c r="A3226" t="s">
        <v>6503</v>
      </c>
      <c r="B3226" s="153" t="s">
        <v>6504</v>
      </c>
      <c r="C3226">
        <v>1.0</v>
      </c>
      <c r="D3226">
        <v>1.0</v>
      </c>
      <c r="E3226">
        <v>1.0</v>
      </c>
      <c r="F3226" t="s">
        <v>2942</v>
      </c>
      <c r="G3226" t="s">
        <v>2943</v>
      </c>
      <c r="H3226" t="s">
        <v>3161</v>
      </c>
      <c r="I3226" t="s">
        <v>83</v>
      </c>
    </row>
    <row r="3227" customHeight="1" ht="14.0">
      <c r="A3227" t="s">
        <v>6505</v>
      </c>
      <c r="B3227" s="153" t="s">
        <v>6506</v>
      </c>
      <c r="C3227">
        <v>0.0</v>
      </c>
      <c r="D3227">
        <v>0.0</v>
      </c>
      <c r="F3227" t="s">
        <v>2942</v>
      </c>
      <c r="G3227" t="s">
        <v>2943</v>
      </c>
      <c r="H3227" t="s">
        <v>3161</v>
      </c>
      <c r="I3227" t="s">
        <v>3167</v>
      </c>
    </row>
    <row r="3228" customHeight="1" ht="14.0">
      <c r="A3228" t="s">
        <v>6507</v>
      </c>
      <c r="B3228" s="153" t="s">
        <v>6508</v>
      </c>
      <c r="C3228">
        <v>0.0</v>
      </c>
      <c r="D3228">
        <v>0.0</v>
      </c>
      <c r="F3228" t="s">
        <v>2942</v>
      </c>
      <c r="G3228" t="s">
        <v>2943</v>
      </c>
      <c r="H3228" t="s">
        <v>3161</v>
      </c>
      <c r="I3228" t="s">
        <v>3447</v>
      </c>
    </row>
    <row r="3229" customHeight="1" ht="14.0">
      <c r="A3229" t="s">
        <v>6509</v>
      </c>
      <c r="B3229" s="153" t="s">
        <v>6510</v>
      </c>
      <c r="C3229">
        <v>0.0</v>
      </c>
      <c r="D3229">
        <v>0.0</v>
      </c>
      <c r="F3229" t="s">
        <v>2942</v>
      </c>
      <c r="G3229" t="s">
        <v>2943</v>
      </c>
      <c r="H3229" t="s">
        <v>3161</v>
      </c>
      <c r="I3229" t="s">
        <v>83</v>
      </c>
    </row>
    <row r="3230" customHeight="1" ht="14.0">
      <c r="A3230" t="s">
        <v>6511</v>
      </c>
      <c r="B3230" s="153" t="s">
        <v>6512</v>
      </c>
      <c r="C3230">
        <v>0.0</v>
      </c>
      <c r="D3230">
        <v>0.0</v>
      </c>
      <c r="F3230" t="s">
        <v>2942</v>
      </c>
      <c r="G3230" t="s">
        <v>2943</v>
      </c>
      <c r="H3230" t="s">
        <v>3161</v>
      </c>
      <c r="I3230" t="s">
        <v>197</v>
      </c>
    </row>
    <row r="3231" customHeight="1" ht="14.0">
      <c r="A3231" t="s">
        <v>6513</v>
      </c>
      <c r="B3231" s="153" t="s">
        <v>6514</v>
      </c>
      <c r="C3231">
        <v>1.0</v>
      </c>
      <c r="D3231">
        <v>0.01</v>
      </c>
      <c r="E3231">
        <v>0.01</v>
      </c>
      <c r="F3231" t="s">
        <v>2942</v>
      </c>
      <c r="G3231" t="s">
        <v>2943</v>
      </c>
      <c r="H3231" t="s">
        <v>3161</v>
      </c>
      <c r="I3231" t="s">
        <v>197</v>
      </c>
    </row>
    <row r="3232" customHeight="1" ht="14.0">
      <c r="A3232" t="s">
        <v>6515</v>
      </c>
      <c r="B3232" s="153" t="s">
        <v>6516</v>
      </c>
      <c r="C3232">
        <v>0.0</v>
      </c>
      <c r="D3232">
        <v>0.0</v>
      </c>
      <c r="F3232" t="s">
        <v>2942</v>
      </c>
      <c r="G3232" t="s">
        <v>2943</v>
      </c>
      <c r="H3232" t="s">
        <v>3161</v>
      </c>
      <c r="I3232" t="s">
        <v>83</v>
      </c>
    </row>
    <row r="3233" customHeight="1" ht="14.0">
      <c r="A3233" t="s">
        <v>6517</v>
      </c>
      <c r="B3233" s="153" t="s">
        <v>6518</v>
      </c>
      <c r="C3233">
        <v>0.0</v>
      </c>
      <c r="D3233">
        <v>0.0</v>
      </c>
      <c r="F3233" t="s">
        <v>2942</v>
      </c>
      <c r="G3233" t="s">
        <v>2943</v>
      </c>
      <c r="H3233" t="s">
        <v>3161</v>
      </c>
      <c r="I3233" t="s">
        <v>83</v>
      </c>
    </row>
    <row r="3234" customHeight="1" ht="14.0">
      <c r="A3234" t="s">
        <v>6519</v>
      </c>
      <c r="B3234" s="153" t="s">
        <v>6520</v>
      </c>
      <c r="C3234">
        <v>0.0</v>
      </c>
      <c r="D3234">
        <v>0.0</v>
      </c>
      <c r="F3234" t="s">
        <v>2942</v>
      </c>
      <c r="G3234" t="s">
        <v>2943</v>
      </c>
      <c r="H3234" t="s">
        <v>3161</v>
      </c>
      <c r="I3234" t="s">
        <v>83</v>
      </c>
    </row>
    <row r="3235" customHeight="1" ht="14.0">
      <c r="A3235" t="s">
        <v>6521</v>
      </c>
      <c r="B3235" s="153" t="s">
        <v>6522</v>
      </c>
      <c r="C3235">
        <v>0.0</v>
      </c>
      <c r="D3235">
        <v>0.0</v>
      </c>
      <c r="F3235" t="s">
        <v>2942</v>
      </c>
      <c r="G3235" t="s">
        <v>2943</v>
      </c>
      <c r="H3235" t="s">
        <v>3161</v>
      </c>
      <c r="I3235" t="s">
        <v>83</v>
      </c>
    </row>
    <row r="3236" customHeight="1" ht="14.0">
      <c r="A3236" t="s">
        <v>6523</v>
      </c>
      <c r="B3236" s="153" t="s">
        <v>6524</v>
      </c>
      <c r="C3236">
        <v>0.0</v>
      </c>
      <c r="D3236">
        <v>0.0</v>
      </c>
      <c r="F3236" t="s">
        <v>2942</v>
      </c>
      <c r="G3236" t="s">
        <v>2943</v>
      </c>
      <c r="H3236" t="s">
        <v>3161</v>
      </c>
      <c r="I3236" t="s">
        <v>83</v>
      </c>
    </row>
    <row r="3237" customHeight="1" ht="14.0">
      <c r="A3237" t="s">
        <v>6525</v>
      </c>
      <c r="B3237" s="153" t="s">
        <v>6526</v>
      </c>
      <c r="C3237">
        <v>0.0</v>
      </c>
      <c r="D3237">
        <v>0.0</v>
      </c>
      <c r="F3237" t="s">
        <v>2942</v>
      </c>
      <c r="G3237" t="s">
        <v>2943</v>
      </c>
      <c r="H3237" t="s">
        <v>3161</v>
      </c>
      <c r="I3237" t="s">
        <v>83</v>
      </c>
    </row>
    <row r="3238" customHeight="1" ht="14.0">
      <c r="A3238" t="s">
        <v>6527</v>
      </c>
      <c r="B3238" s="153" t="s">
        <v>6528</v>
      </c>
      <c r="C3238">
        <v>0.0</v>
      </c>
      <c r="D3238">
        <v>0.0</v>
      </c>
      <c r="F3238" t="s">
        <v>2942</v>
      </c>
      <c r="G3238" t="s">
        <v>2943</v>
      </c>
      <c r="H3238" t="s">
        <v>3161</v>
      </c>
      <c r="I3238" t="s">
        <v>6529</v>
      </c>
    </row>
    <row r="3239" customHeight="1" ht="14.0">
      <c r="A3239" t="s">
        <v>6530</v>
      </c>
      <c r="B3239" s="153" t="s">
        <v>6531</v>
      </c>
      <c r="C3239">
        <v>0.0</v>
      </c>
      <c r="D3239">
        <v>0.0</v>
      </c>
      <c r="F3239" t="s">
        <v>2942</v>
      </c>
      <c r="G3239" t="s">
        <v>2943</v>
      </c>
      <c r="H3239" t="s">
        <v>3161</v>
      </c>
      <c r="I3239" t="s">
        <v>83</v>
      </c>
    </row>
    <row r="3240" customHeight="1" ht="14.0">
      <c r="A3240" t="s">
        <v>6532</v>
      </c>
      <c r="B3240" s="153" t="s">
        <v>6533</v>
      </c>
      <c r="C3240">
        <v>0.0</v>
      </c>
      <c r="D3240">
        <v>0.0</v>
      </c>
      <c r="F3240" t="s">
        <v>2942</v>
      </c>
      <c r="G3240" t="s">
        <v>2943</v>
      </c>
      <c r="H3240" t="s">
        <v>3161</v>
      </c>
      <c r="I3240" t="s">
        <v>3167</v>
      </c>
    </row>
    <row r="3241" customHeight="1" ht="14.0">
      <c r="A3241" t="s">
        <v>6534</v>
      </c>
      <c r="B3241" s="153" t="s">
        <v>6535</v>
      </c>
      <c r="C3241">
        <v>0.0</v>
      </c>
      <c r="D3241">
        <v>0.0</v>
      </c>
      <c r="F3241" t="s">
        <v>2942</v>
      </c>
      <c r="G3241" t="s">
        <v>2943</v>
      </c>
      <c r="H3241" t="s">
        <v>3161</v>
      </c>
      <c r="I3241" t="s">
        <v>3447</v>
      </c>
    </row>
    <row r="3242" customHeight="1" ht="14.0">
      <c r="A3242" t="s">
        <v>6536</v>
      </c>
      <c r="B3242" s="153" t="s">
        <v>6537</v>
      </c>
      <c r="C3242">
        <v>0.0</v>
      </c>
      <c r="D3242">
        <v>0.0</v>
      </c>
      <c r="F3242" t="s">
        <v>2942</v>
      </c>
      <c r="G3242" t="s">
        <v>2943</v>
      </c>
      <c r="H3242" t="s">
        <v>3161</v>
      </c>
    </row>
    <row r="3243" customHeight="1" ht="14.0">
      <c r="A3243" t="s">
        <v>6538</v>
      </c>
      <c r="B3243" s="153" t="s">
        <v>6539</v>
      </c>
      <c r="C3243">
        <v>0.0</v>
      </c>
      <c r="D3243">
        <v>0.0</v>
      </c>
      <c r="F3243" t="s">
        <v>2942</v>
      </c>
      <c r="G3243" t="s">
        <v>2943</v>
      </c>
      <c r="H3243" t="s">
        <v>3161</v>
      </c>
      <c r="I3243" t="s">
        <v>83</v>
      </c>
    </row>
    <row r="3244" customHeight="1" ht="14.0">
      <c r="A3244" t="s">
        <v>6540</v>
      </c>
      <c r="B3244" s="153" t="s">
        <v>6541</v>
      </c>
      <c r="C3244">
        <v>0.0</v>
      </c>
      <c r="D3244">
        <v>0.0</v>
      </c>
      <c r="F3244" t="s">
        <v>2942</v>
      </c>
      <c r="G3244" t="s">
        <v>2943</v>
      </c>
      <c r="H3244" t="s">
        <v>3161</v>
      </c>
      <c r="I3244" t="s">
        <v>83</v>
      </c>
    </row>
    <row r="3245" customHeight="1" ht="14.0">
      <c r="A3245" t="s">
        <v>6542</v>
      </c>
      <c r="B3245" s="153" t="s">
        <v>6543</v>
      </c>
      <c r="C3245">
        <v>0.0</v>
      </c>
      <c r="D3245">
        <v>0.0</v>
      </c>
      <c r="F3245" t="s">
        <v>2942</v>
      </c>
      <c r="G3245" t="s">
        <v>2943</v>
      </c>
      <c r="H3245" t="s">
        <v>3161</v>
      </c>
      <c r="I3245" t="s">
        <v>83</v>
      </c>
    </row>
    <row r="3246" customHeight="1" ht="14.0">
      <c r="A3246" t="s">
        <v>6544</v>
      </c>
      <c r="B3246" s="153" t="s">
        <v>6545</v>
      </c>
      <c r="C3246">
        <v>1.0</v>
      </c>
      <c r="D3246">
        <v>1.0</v>
      </c>
      <c r="E3246">
        <v>1.0</v>
      </c>
      <c r="F3246" t="s">
        <v>2942</v>
      </c>
      <c r="G3246" t="s">
        <v>2943</v>
      </c>
      <c r="H3246" t="s">
        <v>3161</v>
      </c>
      <c r="I3246" t="s">
        <v>83</v>
      </c>
    </row>
    <row r="3247" customHeight="1" ht="14.0">
      <c r="A3247" t="s">
        <v>6546</v>
      </c>
      <c r="B3247" s="153" t="s">
        <v>6547</v>
      </c>
      <c r="C3247">
        <v>0.0</v>
      </c>
      <c r="D3247">
        <v>0.0</v>
      </c>
      <c r="F3247" t="s">
        <v>2942</v>
      </c>
      <c r="G3247" t="s">
        <v>2943</v>
      </c>
      <c r="H3247" t="s">
        <v>3161</v>
      </c>
      <c r="I3247" t="s">
        <v>3167</v>
      </c>
    </row>
    <row r="3248" customHeight="1" ht="14.0">
      <c r="A3248" t="s">
        <v>6548</v>
      </c>
      <c r="B3248" s="153" t="s">
        <v>6549</v>
      </c>
      <c r="C3248">
        <v>0.0</v>
      </c>
      <c r="D3248">
        <v>0.0</v>
      </c>
      <c r="F3248" t="s">
        <v>2942</v>
      </c>
      <c r="G3248" t="s">
        <v>2943</v>
      </c>
      <c r="H3248" t="s">
        <v>3161</v>
      </c>
      <c r="I3248" t="s">
        <v>3447</v>
      </c>
    </row>
    <row r="3249" customHeight="1" ht="14.0">
      <c r="A3249" t="s">
        <v>6550</v>
      </c>
      <c r="B3249" s="153" t="s">
        <v>6551</v>
      </c>
      <c r="C3249">
        <v>0.0</v>
      </c>
      <c r="D3249">
        <v>0.0</v>
      </c>
      <c r="F3249" t="s">
        <v>2942</v>
      </c>
      <c r="G3249" t="s">
        <v>2943</v>
      </c>
      <c r="H3249" t="s">
        <v>3161</v>
      </c>
      <c r="I3249" t="s">
        <v>3366</v>
      </c>
    </row>
    <row r="3250" customHeight="1" ht="14.0">
      <c r="A3250" t="s">
        <v>6552</v>
      </c>
      <c r="B3250" s="153" t="s">
        <v>6553</v>
      </c>
      <c r="C3250">
        <v>0.0</v>
      </c>
      <c r="D3250">
        <v>0.0</v>
      </c>
      <c r="F3250" t="s">
        <v>2942</v>
      </c>
      <c r="G3250" t="s">
        <v>2943</v>
      </c>
      <c r="H3250" t="s">
        <v>3161</v>
      </c>
      <c r="I3250" t="s">
        <v>3366</v>
      </c>
    </row>
    <row r="3251" customHeight="1" ht="14.0">
      <c r="A3251" t="s">
        <v>6554</v>
      </c>
      <c r="B3251" s="153" t="s">
        <v>6555</v>
      </c>
      <c r="C3251">
        <v>1.0</v>
      </c>
      <c r="D3251">
        <v>1.0</v>
      </c>
      <c r="E3251">
        <v>1.0</v>
      </c>
      <c r="F3251" t="s">
        <v>2942</v>
      </c>
      <c r="G3251" t="s">
        <v>2943</v>
      </c>
      <c r="H3251" t="s">
        <v>3161</v>
      </c>
      <c r="I3251" t="s">
        <v>83</v>
      </c>
    </row>
    <row r="3252" customHeight="1" ht="14.0">
      <c r="A3252" t="s">
        <v>6556</v>
      </c>
      <c r="B3252" s="153" t="s">
        <v>6557</v>
      </c>
      <c r="C3252">
        <v>0.0</v>
      </c>
      <c r="D3252">
        <v>0.0</v>
      </c>
      <c r="F3252" t="s">
        <v>2942</v>
      </c>
      <c r="G3252" t="s">
        <v>2943</v>
      </c>
      <c r="H3252" t="s">
        <v>3161</v>
      </c>
      <c r="I3252" t="s">
        <v>3167</v>
      </c>
    </row>
    <row r="3253" customHeight="1" ht="14.0">
      <c r="A3253" t="s">
        <v>6558</v>
      </c>
      <c r="B3253" s="153" t="s">
        <v>6559</v>
      </c>
      <c r="C3253">
        <v>0.0</v>
      </c>
      <c r="D3253">
        <v>0.0</v>
      </c>
      <c r="F3253" t="s">
        <v>2942</v>
      </c>
      <c r="G3253" t="s">
        <v>2943</v>
      </c>
      <c r="H3253" t="s">
        <v>3161</v>
      </c>
      <c r="I3253" t="s">
        <v>3447</v>
      </c>
    </row>
    <row r="3254" customHeight="1" ht="14.0">
      <c r="A3254" t="s">
        <v>6560</v>
      </c>
      <c r="B3254" s="153" t="s">
        <v>6561</v>
      </c>
      <c r="C3254">
        <v>0.0</v>
      </c>
      <c r="D3254">
        <v>0.0</v>
      </c>
      <c r="F3254" t="s">
        <v>2942</v>
      </c>
      <c r="G3254" t="s">
        <v>2943</v>
      </c>
      <c r="H3254" t="s">
        <v>3161</v>
      </c>
      <c r="I3254" t="s">
        <v>3366</v>
      </c>
    </row>
    <row r="3255" customHeight="1" ht="14.0">
      <c r="A3255" t="s">
        <v>6562</v>
      </c>
      <c r="B3255" s="153" t="s">
        <v>6563</v>
      </c>
      <c r="C3255">
        <v>0.0</v>
      </c>
      <c r="D3255">
        <v>0.0</v>
      </c>
      <c r="F3255" t="s">
        <v>2942</v>
      </c>
      <c r="G3255" t="s">
        <v>2943</v>
      </c>
      <c r="H3255" t="s">
        <v>3161</v>
      </c>
      <c r="I3255" t="s">
        <v>3164</v>
      </c>
    </row>
    <row r="3256" customHeight="1" ht="14.0">
      <c r="A3256" t="s">
        <v>6564</v>
      </c>
      <c r="B3256" s="153" t="s">
        <v>6565</v>
      </c>
      <c r="C3256">
        <v>0.0</v>
      </c>
      <c r="D3256">
        <v>0.0</v>
      </c>
      <c r="F3256" t="s">
        <v>2942</v>
      </c>
      <c r="G3256" t="s">
        <v>2943</v>
      </c>
      <c r="H3256" t="s">
        <v>3161</v>
      </c>
      <c r="I3256" t="s">
        <v>3366</v>
      </c>
    </row>
    <row r="3257" customHeight="1" ht="14.0">
      <c r="A3257" t="s">
        <v>6566</v>
      </c>
      <c r="B3257" s="153" t="s">
        <v>6567</v>
      </c>
      <c r="C3257">
        <v>0.0</v>
      </c>
      <c r="D3257">
        <v>0.0</v>
      </c>
      <c r="F3257" t="s">
        <v>2942</v>
      </c>
      <c r="G3257" t="s">
        <v>2943</v>
      </c>
      <c r="H3257" t="s">
        <v>3161</v>
      </c>
      <c r="I3257" t="s">
        <v>83</v>
      </c>
    </row>
    <row r="3258" customHeight="1" ht="14.0">
      <c r="A3258" t="s">
        <v>6568</v>
      </c>
      <c r="B3258" s="153" t="s">
        <v>6569</v>
      </c>
      <c r="C3258">
        <v>0.0</v>
      </c>
      <c r="D3258">
        <v>0.0</v>
      </c>
      <c r="F3258" t="s">
        <v>2942</v>
      </c>
      <c r="G3258" t="s">
        <v>2943</v>
      </c>
      <c r="H3258" t="s">
        <v>3161</v>
      </c>
      <c r="I3258" t="s">
        <v>3167</v>
      </c>
    </row>
    <row r="3259" customHeight="1" ht="14.0">
      <c r="A3259" t="s">
        <v>6570</v>
      </c>
      <c r="B3259" s="153" t="s">
        <v>6571</v>
      </c>
      <c r="C3259">
        <v>0.0</v>
      </c>
      <c r="D3259">
        <v>0.0</v>
      </c>
      <c r="F3259" t="s">
        <v>2942</v>
      </c>
      <c r="G3259" t="s">
        <v>2943</v>
      </c>
      <c r="H3259" t="s">
        <v>3161</v>
      </c>
      <c r="I3259" t="s">
        <v>3447</v>
      </c>
    </row>
    <row r="3260" customHeight="1" ht="14.0">
      <c r="A3260" t="s">
        <v>6572</v>
      </c>
      <c r="B3260" s="153" t="s">
        <v>6573</v>
      </c>
      <c r="C3260">
        <v>0.0</v>
      </c>
      <c r="D3260">
        <v>0.0</v>
      </c>
      <c r="F3260" t="s">
        <v>2942</v>
      </c>
      <c r="G3260" t="s">
        <v>2943</v>
      </c>
      <c r="H3260" t="s">
        <v>3161</v>
      </c>
      <c r="I3260" t="s">
        <v>3366</v>
      </c>
    </row>
    <row r="3261" customHeight="1" ht="14.0">
      <c r="A3261" t="s">
        <v>6574</v>
      </c>
      <c r="B3261" s="153" t="s">
        <v>6575</v>
      </c>
      <c r="C3261">
        <v>0.0</v>
      </c>
      <c r="D3261">
        <v>0.0</v>
      </c>
      <c r="F3261" t="s">
        <v>2942</v>
      </c>
      <c r="G3261" t="s">
        <v>2943</v>
      </c>
      <c r="H3261" t="s">
        <v>3161</v>
      </c>
      <c r="I3261" t="s">
        <v>3366</v>
      </c>
    </row>
    <row r="3262" customHeight="1" ht="14.0">
      <c r="A3262" t="s">
        <v>6576</v>
      </c>
      <c r="B3262" s="153" t="s">
        <v>6577</v>
      </c>
      <c r="C3262">
        <v>0.0</v>
      </c>
      <c r="D3262">
        <v>0.0</v>
      </c>
      <c r="F3262" t="s">
        <v>2942</v>
      </c>
      <c r="G3262" t="s">
        <v>2943</v>
      </c>
      <c r="H3262" t="s">
        <v>3161</v>
      </c>
      <c r="I3262" t="s">
        <v>3366</v>
      </c>
    </row>
    <row r="3263" customHeight="1" ht="14.0">
      <c r="A3263" t="s">
        <v>6578</v>
      </c>
      <c r="B3263" s="153" t="s">
        <v>6579</v>
      </c>
      <c r="C3263">
        <v>0.0</v>
      </c>
      <c r="D3263">
        <v>0.0</v>
      </c>
      <c r="F3263" t="s">
        <v>2942</v>
      </c>
      <c r="G3263" t="s">
        <v>2943</v>
      </c>
      <c r="H3263" t="s">
        <v>3161</v>
      </c>
      <c r="I3263" t="s">
        <v>83</v>
      </c>
    </row>
    <row r="3264" customHeight="1" ht="14.0">
      <c r="A3264" t="s">
        <v>6580</v>
      </c>
      <c r="B3264" s="153" t="s">
        <v>6581</v>
      </c>
      <c r="C3264">
        <v>0.0</v>
      </c>
      <c r="D3264">
        <v>0.0</v>
      </c>
      <c r="F3264" t="s">
        <v>2942</v>
      </c>
      <c r="G3264" t="s">
        <v>2943</v>
      </c>
      <c r="H3264" t="s">
        <v>3161</v>
      </c>
      <c r="I3264" t="s">
        <v>3167</v>
      </c>
    </row>
    <row r="3265" customHeight="1" ht="14.0">
      <c r="A3265" t="s">
        <v>6582</v>
      </c>
      <c r="B3265" s="153" t="s">
        <v>6583</v>
      </c>
      <c r="C3265">
        <v>0.0</v>
      </c>
      <c r="D3265">
        <v>0.0</v>
      </c>
      <c r="F3265" t="s">
        <v>2942</v>
      </c>
      <c r="G3265" t="s">
        <v>2943</v>
      </c>
      <c r="H3265" t="s">
        <v>3161</v>
      </c>
      <c r="I3265" t="s">
        <v>3366</v>
      </c>
    </row>
    <row r="3266" customHeight="1" ht="14.0">
      <c r="A3266" t="s">
        <v>6584</v>
      </c>
      <c r="B3266" s="153" t="s">
        <v>6585</v>
      </c>
      <c r="C3266">
        <v>0.0</v>
      </c>
      <c r="D3266">
        <v>0.0</v>
      </c>
      <c r="F3266" t="s">
        <v>2942</v>
      </c>
      <c r="G3266" t="s">
        <v>2943</v>
      </c>
      <c r="H3266" t="s">
        <v>3161</v>
      </c>
      <c r="I3266" t="s">
        <v>197</v>
      </c>
    </row>
    <row r="3267" customHeight="1" ht="14.0">
      <c r="A3267" t="s">
        <v>6586</v>
      </c>
      <c r="B3267" s="153" t="s">
        <v>6587</v>
      </c>
      <c r="C3267">
        <v>0.0</v>
      </c>
      <c r="D3267">
        <v>0.0</v>
      </c>
      <c r="F3267" t="s">
        <v>2942</v>
      </c>
      <c r="G3267" t="s">
        <v>2943</v>
      </c>
      <c r="H3267" t="s">
        <v>3161</v>
      </c>
      <c r="I3267" t="s">
        <v>197</v>
      </c>
    </row>
    <row r="3268" customHeight="1" ht="14.0">
      <c r="A3268" t="s">
        <v>6588</v>
      </c>
      <c r="B3268" s="153" t="s">
        <v>6589</v>
      </c>
      <c r="C3268">
        <v>0.0</v>
      </c>
      <c r="D3268">
        <v>0.0</v>
      </c>
      <c r="F3268" t="s">
        <v>2942</v>
      </c>
      <c r="G3268" t="s">
        <v>2943</v>
      </c>
      <c r="H3268" t="s">
        <v>3161</v>
      </c>
      <c r="I3268" t="s">
        <v>197</v>
      </c>
    </row>
    <row r="3269" customHeight="1" ht="14.0">
      <c r="A3269" t="s">
        <v>6590</v>
      </c>
      <c r="B3269" s="153" t="s">
        <v>6591</v>
      </c>
      <c r="C3269">
        <v>0.0</v>
      </c>
      <c r="D3269">
        <v>0.0</v>
      </c>
      <c r="F3269" t="s">
        <v>2942</v>
      </c>
      <c r="G3269" t="s">
        <v>2943</v>
      </c>
      <c r="H3269" t="s">
        <v>3161</v>
      </c>
      <c r="I3269" t="s">
        <v>6592</v>
      </c>
    </row>
    <row r="3270" customHeight="1" ht="14.0">
      <c r="A3270" t="s">
        <v>6593</v>
      </c>
      <c r="B3270" s="153" t="s">
        <v>6594</v>
      </c>
      <c r="C3270">
        <v>0.0</v>
      </c>
      <c r="D3270">
        <v>0.0</v>
      </c>
      <c r="F3270" t="s">
        <v>2942</v>
      </c>
      <c r="G3270" t="s">
        <v>2943</v>
      </c>
      <c r="H3270" t="s">
        <v>3161</v>
      </c>
      <c r="I3270" t="s">
        <v>3167</v>
      </c>
    </row>
    <row r="3271" customHeight="1" ht="14.0">
      <c r="A3271" t="s">
        <v>6595</v>
      </c>
      <c r="B3271" s="153" t="s">
        <v>6596</v>
      </c>
      <c r="C3271">
        <v>0.0</v>
      </c>
      <c r="D3271">
        <v>0.0</v>
      </c>
      <c r="F3271" t="s">
        <v>2942</v>
      </c>
      <c r="G3271" t="s">
        <v>2943</v>
      </c>
      <c r="H3271" t="s">
        <v>3161</v>
      </c>
      <c r="I3271" t="s">
        <v>3447</v>
      </c>
    </row>
    <row r="3272" customHeight="1" ht="14.0">
      <c r="A3272" t="s">
        <v>6597</v>
      </c>
      <c r="B3272" s="153" t="s">
        <v>6598</v>
      </c>
      <c r="C3272">
        <v>0.0</v>
      </c>
      <c r="D3272">
        <v>0.0</v>
      </c>
      <c r="F3272" t="s">
        <v>2942</v>
      </c>
      <c r="G3272" t="s">
        <v>2943</v>
      </c>
      <c r="H3272" t="s">
        <v>3161</v>
      </c>
      <c r="I3272" t="s">
        <v>3167</v>
      </c>
    </row>
    <row r="3273" customHeight="1" ht="14.0">
      <c r="A3273" t="s">
        <v>6599</v>
      </c>
      <c r="B3273" s="153" t="s">
        <v>6600</v>
      </c>
      <c r="C3273">
        <v>0.0</v>
      </c>
      <c r="D3273">
        <v>0.0</v>
      </c>
      <c r="F3273" t="s">
        <v>2942</v>
      </c>
      <c r="G3273" t="s">
        <v>2943</v>
      </c>
      <c r="H3273" t="s">
        <v>3161</v>
      </c>
      <c r="I3273" t="s">
        <v>3447</v>
      </c>
    </row>
    <row r="3274" customHeight="1" ht="14.0">
      <c r="A3274" t="s">
        <v>6601</v>
      </c>
      <c r="B3274" s="153" t="s">
        <v>6602</v>
      </c>
      <c r="C3274">
        <v>0.0</v>
      </c>
      <c r="D3274">
        <v>0.0</v>
      </c>
      <c r="F3274" t="s">
        <v>2942</v>
      </c>
      <c r="G3274" t="s">
        <v>2943</v>
      </c>
      <c r="H3274" t="s">
        <v>3161</v>
      </c>
      <c r="I3274" t="s">
        <v>83</v>
      </c>
    </row>
    <row r="3275" customHeight="1" ht="14.0">
      <c r="A3275" t="s">
        <v>6603</v>
      </c>
      <c r="B3275" s="153" t="s">
        <v>6604</v>
      </c>
      <c r="C3275">
        <v>0.0</v>
      </c>
      <c r="D3275">
        <v>0.0</v>
      </c>
      <c r="F3275" t="s">
        <v>2942</v>
      </c>
      <c r="G3275" t="s">
        <v>2943</v>
      </c>
      <c r="H3275" t="s">
        <v>3161</v>
      </c>
      <c r="I3275" t="s">
        <v>3366</v>
      </c>
    </row>
    <row r="3276" customHeight="1" ht="14.0">
      <c r="A3276" t="s">
        <v>6605</v>
      </c>
      <c r="B3276" s="153" t="s">
        <v>6606</v>
      </c>
      <c r="C3276">
        <v>0.0</v>
      </c>
      <c r="D3276">
        <v>0.0</v>
      </c>
      <c r="F3276" t="s">
        <v>2942</v>
      </c>
      <c r="G3276" t="s">
        <v>2943</v>
      </c>
      <c r="H3276" t="s">
        <v>3161</v>
      </c>
      <c r="I3276" t="s">
        <v>3366</v>
      </c>
    </row>
    <row r="3277" customHeight="1" ht="14.0">
      <c r="A3277" t="s">
        <v>6607</v>
      </c>
      <c r="B3277" s="153" t="s">
        <v>6608</v>
      </c>
      <c r="C3277">
        <v>0.0</v>
      </c>
      <c r="D3277">
        <v>0.0</v>
      </c>
      <c r="F3277" t="s">
        <v>2942</v>
      </c>
      <c r="G3277" t="s">
        <v>2943</v>
      </c>
      <c r="H3277" t="s">
        <v>3161</v>
      </c>
      <c r="I3277" t="s">
        <v>83</v>
      </c>
    </row>
    <row r="3278" customHeight="1" ht="14.0">
      <c r="A3278" t="s">
        <v>6609</v>
      </c>
      <c r="B3278" s="153" t="s">
        <v>6610</v>
      </c>
      <c r="C3278">
        <v>0.0</v>
      </c>
      <c r="D3278">
        <v>0.0</v>
      </c>
      <c r="F3278" t="s">
        <v>2942</v>
      </c>
      <c r="G3278" t="s">
        <v>2943</v>
      </c>
      <c r="H3278" t="s">
        <v>3161</v>
      </c>
      <c r="I3278" t="s">
        <v>3167</v>
      </c>
    </row>
    <row r="3279" customHeight="1" ht="14.0">
      <c r="A3279" t="s">
        <v>6611</v>
      </c>
      <c r="B3279" s="153" t="s">
        <v>6612</v>
      </c>
      <c r="C3279">
        <v>0.0</v>
      </c>
      <c r="D3279">
        <v>0.0</v>
      </c>
      <c r="F3279" t="s">
        <v>2942</v>
      </c>
      <c r="G3279" t="s">
        <v>2943</v>
      </c>
      <c r="H3279" t="s">
        <v>3161</v>
      </c>
      <c r="I3279" t="s">
        <v>3447</v>
      </c>
    </row>
    <row r="3280" customHeight="1" ht="14.0">
      <c r="A3280" t="s">
        <v>6613</v>
      </c>
      <c r="B3280" s="153" t="s">
        <v>6614</v>
      </c>
      <c r="C3280">
        <v>0.0</v>
      </c>
      <c r="D3280">
        <v>0.0</v>
      </c>
      <c r="F3280" t="s">
        <v>2942</v>
      </c>
      <c r="G3280" t="s">
        <v>2943</v>
      </c>
      <c r="H3280" t="s">
        <v>3161</v>
      </c>
      <c r="I3280" t="s">
        <v>83</v>
      </c>
    </row>
    <row r="3281" customHeight="1" ht="14.0">
      <c r="A3281" t="s">
        <v>6615</v>
      </c>
      <c r="B3281" s="153" t="s">
        <v>6616</v>
      </c>
      <c r="C3281">
        <v>0.0</v>
      </c>
      <c r="D3281">
        <v>0.0</v>
      </c>
      <c r="F3281" t="s">
        <v>2942</v>
      </c>
      <c r="G3281" t="s">
        <v>2943</v>
      </c>
      <c r="H3281" t="s">
        <v>3161</v>
      </c>
      <c r="I3281" t="s">
        <v>3167</v>
      </c>
    </row>
    <row r="3282" customHeight="1" ht="14.0">
      <c r="A3282" t="s">
        <v>6617</v>
      </c>
      <c r="B3282" s="153" t="s">
        <v>6618</v>
      </c>
      <c r="C3282">
        <v>0.0</v>
      </c>
      <c r="D3282">
        <v>0.0</v>
      </c>
      <c r="F3282" t="s">
        <v>2942</v>
      </c>
      <c r="G3282" t="s">
        <v>2943</v>
      </c>
      <c r="H3282" t="s">
        <v>3161</v>
      </c>
      <c r="I3282" t="s">
        <v>3447</v>
      </c>
    </row>
    <row r="3283" customHeight="1" ht="14.0">
      <c r="A3283" t="s">
        <v>6619</v>
      </c>
      <c r="B3283" s="153" t="s">
        <v>6620</v>
      </c>
      <c r="C3283">
        <v>0.0</v>
      </c>
      <c r="D3283">
        <v>0.0</v>
      </c>
      <c r="F3283" t="s">
        <v>2942</v>
      </c>
      <c r="G3283" t="s">
        <v>2943</v>
      </c>
      <c r="H3283" t="s">
        <v>3161</v>
      </c>
      <c r="I3283" t="s">
        <v>3366</v>
      </c>
    </row>
    <row r="3284" customHeight="1" ht="14.0">
      <c r="A3284" t="s">
        <v>6621</v>
      </c>
      <c r="B3284" s="153" t="s">
        <v>6622</v>
      </c>
      <c r="C3284">
        <v>0.0</v>
      </c>
      <c r="D3284">
        <v>0.0</v>
      </c>
      <c r="F3284" t="s">
        <v>2942</v>
      </c>
      <c r="G3284" t="s">
        <v>2943</v>
      </c>
      <c r="H3284" t="s">
        <v>3161</v>
      </c>
      <c r="I3284" t="s">
        <v>622</v>
      </c>
    </row>
    <row r="3285" customHeight="1" ht="14.0">
      <c r="A3285" t="s">
        <v>6623</v>
      </c>
      <c r="B3285" s="153" t="s">
        <v>6624</v>
      </c>
      <c r="C3285">
        <v>0.0</v>
      </c>
      <c r="D3285">
        <v>0.0</v>
      </c>
      <c r="F3285" t="s">
        <v>2942</v>
      </c>
      <c r="G3285" t="s">
        <v>2943</v>
      </c>
      <c r="H3285" t="s">
        <v>3161</v>
      </c>
      <c r="I3285" t="s">
        <v>3366</v>
      </c>
    </row>
    <row r="3286" customHeight="1" ht="14.0">
      <c r="A3286" t="s">
        <v>6625</v>
      </c>
      <c r="B3286" s="153" t="s">
        <v>6626</v>
      </c>
      <c r="C3286">
        <v>0.0</v>
      </c>
      <c r="D3286">
        <v>0.0</v>
      </c>
      <c r="F3286" t="s">
        <v>2942</v>
      </c>
      <c r="G3286" t="s">
        <v>2943</v>
      </c>
      <c r="H3286" t="s">
        <v>3161</v>
      </c>
      <c r="I3286" t="s">
        <v>83</v>
      </c>
    </row>
    <row r="3287" customHeight="1" ht="14.0">
      <c r="A3287" t="s">
        <v>6627</v>
      </c>
      <c r="B3287" s="153" t="s">
        <v>6628</v>
      </c>
      <c r="C3287">
        <v>0.0</v>
      </c>
      <c r="D3287">
        <v>0.0</v>
      </c>
      <c r="F3287" t="s">
        <v>2942</v>
      </c>
      <c r="G3287" t="s">
        <v>2943</v>
      </c>
      <c r="H3287" t="s">
        <v>3161</v>
      </c>
      <c r="I3287" t="s">
        <v>3167</v>
      </c>
    </row>
    <row r="3288" customHeight="1" ht="14.0">
      <c r="A3288" t="s">
        <v>6629</v>
      </c>
      <c r="B3288" s="153" t="s">
        <v>6630</v>
      </c>
      <c r="C3288">
        <v>0.0</v>
      </c>
      <c r="D3288">
        <v>0.0</v>
      </c>
      <c r="F3288" t="s">
        <v>2942</v>
      </c>
      <c r="G3288" t="s">
        <v>2943</v>
      </c>
      <c r="H3288" t="s">
        <v>3161</v>
      </c>
      <c r="I3288" t="s">
        <v>3447</v>
      </c>
    </row>
    <row r="3289" customHeight="1" ht="14.0">
      <c r="A3289" t="s">
        <v>6631</v>
      </c>
      <c r="B3289" s="153" t="s">
        <v>6632</v>
      </c>
      <c r="C3289">
        <v>0.0</v>
      </c>
      <c r="D3289">
        <v>0.0</v>
      </c>
      <c r="F3289" t="s">
        <v>2942</v>
      </c>
      <c r="G3289" t="s">
        <v>2943</v>
      </c>
      <c r="H3289" t="s">
        <v>3161</v>
      </c>
      <c r="I3289" t="s">
        <v>3366</v>
      </c>
    </row>
    <row r="3290" customHeight="1" ht="14.0">
      <c r="A3290" t="s">
        <v>6633</v>
      </c>
      <c r="B3290" s="153" t="s">
        <v>6634</v>
      </c>
      <c r="C3290">
        <v>0.0</v>
      </c>
      <c r="D3290">
        <v>0.0</v>
      </c>
      <c r="F3290" t="s">
        <v>2942</v>
      </c>
      <c r="G3290" t="s">
        <v>2943</v>
      </c>
      <c r="H3290" t="s">
        <v>3161</v>
      </c>
      <c r="I3290" t="s">
        <v>6096</v>
      </c>
    </row>
    <row r="3291" customHeight="1" ht="14.0">
      <c r="A3291" t="s">
        <v>6635</v>
      </c>
      <c r="B3291" s="153" t="s">
        <v>6636</v>
      </c>
      <c r="C3291">
        <v>0.0</v>
      </c>
      <c r="D3291">
        <v>0.0</v>
      </c>
      <c r="F3291" t="s">
        <v>2942</v>
      </c>
      <c r="G3291" t="s">
        <v>2943</v>
      </c>
      <c r="H3291" t="s">
        <v>3161</v>
      </c>
      <c r="I3291" t="s">
        <v>197</v>
      </c>
    </row>
    <row r="3292" customHeight="1" ht="14.0">
      <c r="A3292" t="s">
        <v>6637</v>
      </c>
      <c r="B3292" s="153" t="s">
        <v>6638</v>
      </c>
      <c r="C3292">
        <v>0.0</v>
      </c>
      <c r="D3292">
        <v>0.0</v>
      </c>
      <c r="F3292" t="s">
        <v>2942</v>
      </c>
      <c r="G3292" t="s">
        <v>2943</v>
      </c>
      <c r="H3292" t="s">
        <v>3161</v>
      </c>
      <c r="I3292" t="s">
        <v>6639</v>
      </c>
    </row>
    <row r="3293" customHeight="1" ht="14.0">
      <c r="A3293" t="s">
        <v>6640</v>
      </c>
      <c r="B3293" s="153" t="s">
        <v>6641</v>
      </c>
      <c r="C3293">
        <v>0.0</v>
      </c>
      <c r="D3293">
        <v>0.0</v>
      </c>
      <c r="F3293" t="s">
        <v>2942</v>
      </c>
      <c r="G3293" t="s">
        <v>2943</v>
      </c>
      <c r="H3293" t="s">
        <v>3161</v>
      </c>
      <c r="I3293" t="s">
        <v>3691</v>
      </c>
    </row>
    <row r="3294" customHeight="1" ht="14.0">
      <c r="A3294" t="s">
        <v>6642</v>
      </c>
      <c r="B3294" s="153" t="s">
        <v>6643</v>
      </c>
      <c r="C3294">
        <v>0.0</v>
      </c>
      <c r="D3294">
        <v>0.0</v>
      </c>
      <c r="F3294" t="s">
        <v>2942</v>
      </c>
      <c r="G3294" t="s">
        <v>2943</v>
      </c>
      <c r="H3294" t="s">
        <v>3161</v>
      </c>
      <c r="I3294" t="s">
        <v>83</v>
      </c>
    </row>
    <row r="3295" customHeight="1" ht="14.0">
      <c r="A3295" t="s">
        <v>6644</v>
      </c>
      <c r="B3295" s="153" t="s">
        <v>6645</v>
      </c>
      <c r="C3295">
        <v>0.0</v>
      </c>
      <c r="D3295">
        <v>0.0</v>
      </c>
      <c r="F3295" t="s">
        <v>2942</v>
      </c>
      <c r="G3295" t="s">
        <v>2943</v>
      </c>
      <c r="H3295" t="s">
        <v>3161</v>
      </c>
      <c r="I3295" t="s">
        <v>3167</v>
      </c>
    </row>
    <row r="3296" customHeight="1" ht="14.0">
      <c r="A3296" t="s">
        <v>6646</v>
      </c>
      <c r="B3296" s="153" t="s">
        <v>6647</v>
      </c>
      <c r="C3296">
        <v>0.0</v>
      </c>
      <c r="D3296">
        <v>0.0</v>
      </c>
      <c r="F3296" t="s">
        <v>2942</v>
      </c>
      <c r="G3296" t="s">
        <v>2943</v>
      </c>
      <c r="H3296" t="s">
        <v>3161</v>
      </c>
      <c r="I3296" t="s">
        <v>3447</v>
      </c>
    </row>
    <row r="3297" customHeight="1" ht="14.0">
      <c r="A3297" t="s">
        <v>6648</v>
      </c>
      <c r="B3297" s="153" t="s">
        <v>6649</v>
      </c>
      <c r="C3297">
        <v>0.0</v>
      </c>
      <c r="D3297">
        <v>0.0</v>
      </c>
      <c r="F3297" t="s">
        <v>2942</v>
      </c>
      <c r="G3297" t="s">
        <v>2943</v>
      </c>
      <c r="H3297" t="s">
        <v>3161</v>
      </c>
      <c r="I3297" t="s">
        <v>3366</v>
      </c>
    </row>
    <row r="3298" customHeight="1" ht="14.0">
      <c r="A3298" t="s">
        <v>6650</v>
      </c>
      <c r="B3298" s="153" t="s">
        <v>6651</v>
      </c>
      <c r="C3298">
        <v>0.0</v>
      </c>
      <c r="D3298">
        <v>0.0</v>
      </c>
      <c r="F3298" t="s">
        <v>2942</v>
      </c>
      <c r="G3298" t="s">
        <v>2943</v>
      </c>
      <c r="H3298" t="s">
        <v>3161</v>
      </c>
      <c r="I3298" t="s">
        <v>3366</v>
      </c>
    </row>
    <row r="3299" customHeight="1" ht="14.0">
      <c r="A3299" t="s">
        <v>6652</v>
      </c>
      <c r="B3299" s="153" t="s">
        <v>6653</v>
      </c>
      <c r="C3299">
        <v>0.0</v>
      </c>
      <c r="D3299">
        <v>0.0</v>
      </c>
      <c r="F3299" t="s">
        <v>2942</v>
      </c>
      <c r="G3299" t="s">
        <v>2943</v>
      </c>
      <c r="H3299" t="s">
        <v>3161</v>
      </c>
      <c r="I3299" t="s">
        <v>3687</v>
      </c>
    </row>
    <row r="3300" customHeight="1" ht="14.0">
      <c r="A3300" t="s">
        <v>6654</v>
      </c>
      <c r="B3300" s="153" t="s">
        <v>6655</v>
      </c>
      <c r="C3300">
        <v>0.0</v>
      </c>
      <c r="D3300">
        <v>0.0</v>
      </c>
      <c r="F3300" t="s">
        <v>2942</v>
      </c>
      <c r="G3300" t="s">
        <v>2943</v>
      </c>
      <c r="H3300" t="s">
        <v>3161</v>
      </c>
      <c r="I3300" t="s">
        <v>3366</v>
      </c>
    </row>
    <row r="3301" customHeight="1" ht="14.0">
      <c r="A3301" t="s">
        <v>6656</v>
      </c>
      <c r="B3301" s="153" t="s">
        <v>6657</v>
      </c>
      <c r="C3301">
        <v>0.0</v>
      </c>
      <c r="D3301">
        <v>0.0</v>
      </c>
      <c r="F3301" t="s">
        <v>2942</v>
      </c>
      <c r="G3301" t="s">
        <v>2943</v>
      </c>
      <c r="H3301" t="s">
        <v>3161</v>
      </c>
      <c r="I3301" t="s">
        <v>83</v>
      </c>
    </row>
    <row r="3302" customHeight="1" ht="14.0">
      <c r="A3302" t="s">
        <v>6658</v>
      </c>
      <c r="B3302" s="153" t="s">
        <v>6659</v>
      </c>
      <c r="C3302">
        <v>0.0</v>
      </c>
      <c r="D3302">
        <v>0.0</v>
      </c>
      <c r="F3302" t="s">
        <v>2942</v>
      </c>
      <c r="G3302" t="s">
        <v>2943</v>
      </c>
      <c r="H3302" t="s">
        <v>3161</v>
      </c>
      <c r="I3302" t="s">
        <v>83</v>
      </c>
    </row>
    <row r="3303" customHeight="1" ht="14.0">
      <c r="A3303" t="s">
        <v>6660</v>
      </c>
      <c r="B3303" s="153" t="s">
        <v>6661</v>
      </c>
      <c r="C3303">
        <v>0.0</v>
      </c>
      <c r="D3303">
        <v>0.0</v>
      </c>
      <c r="F3303" t="s">
        <v>2942</v>
      </c>
      <c r="G3303" t="s">
        <v>2943</v>
      </c>
      <c r="H3303" t="s">
        <v>3161</v>
      </c>
      <c r="I3303" t="s">
        <v>3167</v>
      </c>
    </row>
    <row r="3304" customHeight="1" ht="14.0">
      <c r="A3304" t="s">
        <v>6662</v>
      </c>
      <c r="B3304" s="153" t="s">
        <v>6663</v>
      </c>
      <c r="C3304">
        <v>0.0</v>
      </c>
      <c r="D3304">
        <v>0.0</v>
      </c>
      <c r="F3304" t="s">
        <v>2942</v>
      </c>
      <c r="G3304" t="s">
        <v>2943</v>
      </c>
      <c r="H3304" t="s">
        <v>3161</v>
      </c>
      <c r="I3304" t="s">
        <v>3447</v>
      </c>
    </row>
    <row r="3305" customHeight="1" ht="14.0">
      <c r="A3305" t="s">
        <v>6664</v>
      </c>
      <c r="B3305" s="153" t="s">
        <v>6665</v>
      </c>
      <c r="C3305">
        <v>0.0</v>
      </c>
      <c r="D3305">
        <v>0.0</v>
      </c>
      <c r="F3305" t="s">
        <v>2942</v>
      </c>
      <c r="G3305" t="s">
        <v>2943</v>
      </c>
      <c r="H3305" t="s">
        <v>3161</v>
      </c>
      <c r="I3305" t="s">
        <v>3366</v>
      </c>
    </row>
    <row r="3306" customHeight="1" ht="14.0">
      <c r="A3306" t="s">
        <v>6666</v>
      </c>
      <c r="B3306" s="153" t="s">
        <v>6667</v>
      </c>
      <c r="C3306">
        <v>0.0</v>
      </c>
      <c r="D3306">
        <v>0.0</v>
      </c>
      <c r="F3306" t="s">
        <v>2942</v>
      </c>
      <c r="G3306" t="s">
        <v>2943</v>
      </c>
      <c r="H3306" t="s">
        <v>3161</v>
      </c>
      <c r="I3306" t="s">
        <v>83</v>
      </c>
    </row>
    <row r="3307" customHeight="1" ht="14.0">
      <c r="A3307" t="s">
        <v>6668</v>
      </c>
      <c r="B3307" s="153" t="s">
        <v>6669</v>
      </c>
      <c r="C3307">
        <v>0.0</v>
      </c>
      <c r="D3307">
        <v>0.0</v>
      </c>
      <c r="F3307" t="s">
        <v>2942</v>
      </c>
      <c r="G3307" t="s">
        <v>2943</v>
      </c>
      <c r="H3307" t="s">
        <v>3161</v>
      </c>
      <c r="I3307" t="s">
        <v>83</v>
      </c>
    </row>
    <row r="3308" customHeight="1" ht="14.0">
      <c r="A3308" t="s">
        <v>6670</v>
      </c>
      <c r="B3308" s="153" t="s">
        <v>6671</v>
      </c>
      <c r="C3308">
        <v>0.0</v>
      </c>
      <c r="D3308">
        <v>0.0</v>
      </c>
      <c r="F3308" t="s">
        <v>2942</v>
      </c>
      <c r="G3308" t="s">
        <v>2943</v>
      </c>
      <c r="H3308" t="s">
        <v>3161</v>
      </c>
      <c r="I3308" t="s">
        <v>83</v>
      </c>
    </row>
    <row r="3309">
      <c r="A3309" t="s">
        <v>6672</v>
      </c>
      <c r="B3309" s="153" t="s">
        <v>6673</v>
      </c>
      <c r="C3309">
        <v>0.0</v>
      </c>
      <c r="D3309">
        <v>0.0</v>
      </c>
      <c r="F3309" t="s">
        <v>2942</v>
      </c>
      <c r="G3309" t="s">
        <v>2943</v>
      </c>
      <c r="H3309" t="s">
        <v>3161</v>
      </c>
      <c r="I3309" t="s">
        <v>83</v>
      </c>
    </row>
    <row r="3310">
      <c r="A3310" t="s">
        <v>6674</v>
      </c>
      <c r="B3310" s="153" t="s">
        <v>6675</v>
      </c>
      <c r="C3310">
        <v>0.0</v>
      </c>
      <c r="D3310">
        <v>0.0</v>
      </c>
      <c r="F3310" t="s">
        <v>2942</v>
      </c>
      <c r="G3310" t="s">
        <v>2943</v>
      </c>
      <c r="H3310" t="s">
        <v>3161</v>
      </c>
      <c r="I3310" t="s">
        <v>3167</v>
      </c>
    </row>
    <row r="3311">
      <c r="A3311" t="s">
        <v>6676</v>
      </c>
      <c r="B3311" s="153" t="s">
        <v>6677</v>
      </c>
      <c r="C3311">
        <v>1.0</v>
      </c>
      <c r="D3311">
        <v>1.0</v>
      </c>
      <c r="E3311">
        <v>1.0</v>
      </c>
      <c r="F3311" t="s">
        <v>2942</v>
      </c>
      <c r="G3311" t="s">
        <v>2943</v>
      </c>
      <c r="H3311" t="s">
        <v>3161</v>
      </c>
      <c r="I3311" t="s">
        <v>3447</v>
      </c>
    </row>
    <row r="3312">
      <c r="A3312" t="s">
        <v>6678</v>
      </c>
      <c r="B3312" s="153" t="s">
        <v>6679</v>
      </c>
      <c r="C3312">
        <v>0.0</v>
      </c>
      <c r="D3312">
        <v>0.0</v>
      </c>
      <c r="F3312" t="s">
        <v>2942</v>
      </c>
      <c r="G3312" t="s">
        <v>2943</v>
      </c>
      <c r="H3312" t="s">
        <v>3161</v>
      </c>
      <c r="I3312" t="s">
        <v>3366</v>
      </c>
    </row>
    <row r="3313">
      <c r="A3313" t="s">
        <v>6680</v>
      </c>
      <c r="B3313" s="153" t="s">
        <v>6681</v>
      </c>
      <c r="C3313">
        <v>0.0</v>
      </c>
      <c r="D3313">
        <v>0.0</v>
      </c>
      <c r="F3313" t="s">
        <v>2942</v>
      </c>
      <c r="G3313" t="s">
        <v>2943</v>
      </c>
      <c r="H3313" t="s">
        <v>3161</v>
      </c>
      <c r="I3313" t="s">
        <v>3366</v>
      </c>
    </row>
    <row r="3314">
      <c r="A3314" t="s">
        <v>6682</v>
      </c>
      <c r="B3314" s="153" t="s">
        <v>6683</v>
      </c>
      <c r="C3314">
        <v>0.0</v>
      </c>
      <c r="D3314">
        <v>0.0</v>
      </c>
      <c r="F3314" t="s">
        <v>2942</v>
      </c>
      <c r="G3314" t="s">
        <v>2943</v>
      </c>
      <c r="H3314" t="s">
        <v>3161</v>
      </c>
      <c r="I3314" t="s">
        <v>83</v>
      </c>
    </row>
    <row r="3315">
      <c r="A3315" t="s">
        <v>6684</v>
      </c>
      <c r="B3315" s="153" t="s">
        <v>6685</v>
      </c>
      <c r="C3315">
        <v>0.0</v>
      </c>
      <c r="D3315">
        <v>0.0</v>
      </c>
      <c r="F3315" t="s">
        <v>2942</v>
      </c>
      <c r="G3315" t="s">
        <v>2943</v>
      </c>
      <c r="H3315" t="s">
        <v>3161</v>
      </c>
      <c r="I3315" t="s">
        <v>83</v>
      </c>
    </row>
    <row r="3316">
      <c r="A3316" t="s">
        <v>6686</v>
      </c>
      <c r="B3316" s="153" t="s">
        <v>6687</v>
      </c>
      <c r="C3316">
        <v>0.0</v>
      </c>
      <c r="D3316">
        <v>0.0</v>
      </c>
      <c r="F3316" t="s">
        <v>2942</v>
      </c>
      <c r="G3316" t="s">
        <v>2943</v>
      </c>
      <c r="H3316" t="s">
        <v>3161</v>
      </c>
      <c r="I3316" t="s">
        <v>83</v>
      </c>
    </row>
    <row r="3317">
      <c r="A3317" t="s">
        <v>6688</v>
      </c>
      <c r="B3317" s="153" t="s">
        <v>6689</v>
      </c>
      <c r="C3317">
        <v>0.0</v>
      </c>
      <c r="D3317">
        <v>0.0</v>
      </c>
      <c r="F3317" t="s">
        <v>2942</v>
      </c>
      <c r="G3317" t="s">
        <v>2943</v>
      </c>
      <c r="H3317" t="s">
        <v>3161</v>
      </c>
      <c r="I3317" t="s">
        <v>3366</v>
      </c>
    </row>
    <row r="3318">
      <c r="A3318" t="s">
        <v>6690</v>
      </c>
      <c r="B3318" s="153" t="s">
        <v>6691</v>
      </c>
      <c r="C3318">
        <v>0.0</v>
      </c>
      <c r="D3318">
        <v>0.0</v>
      </c>
      <c r="F3318" t="s">
        <v>2942</v>
      </c>
      <c r="G3318" t="s">
        <v>2943</v>
      </c>
      <c r="H3318" t="s">
        <v>3161</v>
      </c>
      <c r="I3318" t="s">
        <v>3366</v>
      </c>
    </row>
    <row r="3319">
      <c r="A3319" t="s">
        <v>6692</v>
      </c>
      <c r="B3319" s="153" t="s">
        <v>6693</v>
      </c>
      <c r="C3319">
        <v>0.0</v>
      </c>
      <c r="D3319">
        <v>0.0</v>
      </c>
      <c r="F3319" t="s">
        <v>2942</v>
      </c>
      <c r="G3319" t="s">
        <v>2943</v>
      </c>
      <c r="H3319" t="s">
        <v>3161</v>
      </c>
      <c r="I3319" t="s">
        <v>272</v>
      </c>
    </row>
    <row r="3320">
      <c r="A3320" t="s">
        <v>6694</v>
      </c>
      <c r="B3320" s="153" t="s">
        <v>6695</v>
      </c>
      <c r="C3320">
        <v>0.0</v>
      </c>
      <c r="D3320">
        <v>0.0</v>
      </c>
      <c r="F3320" t="s">
        <v>2942</v>
      </c>
      <c r="G3320" t="s">
        <v>2943</v>
      </c>
      <c r="H3320" t="s">
        <v>3161</v>
      </c>
      <c r="I3320" t="s">
        <v>83</v>
      </c>
    </row>
    <row r="3321">
      <c r="A3321" t="s">
        <v>6696</v>
      </c>
      <c r="B3321" s="153" t="s">
        <v>6697</v>
      </c>
      <c r="C3321">
        <v>0.0</v>
      </c>
      <c r="D3321">
        <v>0.0</v>
      </c>
      <c r="F3321" t="s">
        <v>2942</v>
      </c>
      <c r="G3321" t="s">
        <v>2943</v>
      </c>
      <c r="H3321" t="s">
        <v>3161</v>
      </c>
      <c r="I3321" t="s">
        <v>3167</v>
      </c>
    </row>
    <row r="3322">
      <c r="A3322" t="s">
        <v>6698</v>
      </c>
      <c r="B3322" s="153" t="s">
        <v>6699</v>
      </c>
      <c r="C3322">
        <v>0.0</v>
      </c>
      <c r="D3322">
        <v>0.0</v>
      </c>
      <c r="F3322" t="s">
        <v>2942</v>
      </c>
      <c r="G3322" t="s">
        <v>2943</v>
      </c>
      <c r="H3322" t="s">
        <v>3161</v>
      </c>
      <c r="I3322" t="s">
        <v>3447</v>
      </c>
    </row>
    <row r="3323">
      <c r="A3323" t="s">
        <v>6700</v>
      </c>
      <c r="B3323" s="153" t="s">
        <v>6701</v>
      </c>
      <c r="C3323">
        <v>0.0</v>
      </c>
      <c r="D3323">
        <v>0.0</v>
      </c>
      <c r="F3323" t="s">
        <v>2942</v>
      </c>
      <c r="G3323" t="s">
        <v>2943</v>
      </c>
      <c r="H3323" t="s">
        <v>3161</v>
      </c>
      <c r="I3323" t="s">
        <v>83</v>
      </c>
    </row>
    <row r="3324">
      <c r="A3324" t="s">
        <v>6702</v>
      </c>
      <c r="B3324" s="153" t="s">
        <v>6703</v>
      </c>
      <c r="C3324">
        <v>0.0</v>
      </c>
      <c r="D3324">
        <v>0.0</v>
      </c>
      <c r="F3324" t="s">
        <v>2942</v>
      </c>
      <c r="G3324" t="s">
        <v>2943</v>
      </c>
      <c r="H3324" t="s">
        <v>3161</v>
      </c>
      <c r="I3324" t="s">
        <v>83</v>
      </c>
    </row>
    <row r="3325">
      <c r="A3325" t="s">
        <v>6704</v>
      </c>
      <c r="B3325" s="153" t="s">
        <v>6705</v>
      </c>
      <c r="C3325">
        <v>0.0</v>
      </c>
      <c r="D3325">
        <v>0.0</v>
      </c>
      <c r="F3325" t="s">
        <v>2942</v>
      </c>
      <c r="G3325" t="s">
        <v>2943</v>
      </c>
      <c r="H3325" t="s">
        <v>3161</v>
      </c>
      <c r="I3325" t="s">
        <v>3366</v>
      </c>
    </row>
    <row r="3326">
      <c r="A3326" t="s">
        <v>6706</v>
      </c>
      <c r="B3326" s="153" t="s">
        <v>6707</v>
      </c>
      <c r="C3326">
        <v>0.0</v>
      </c>
      <c r="D3326">
        <v>0.0</v>
      </c>
      <c r="F3326" t="s">
        <v>2942</v>
      </c>
      <c r="G3326" t="s">
        <v>2943</v>
      </c>
      <c r="H3326" t="s">
        <v>3161</v>
      </c>
      <c r="I3326" t="s">
        <v>83</v>
      </c>
    </row>
    <row r="3327">
      <c r="A3327" t="s">
        <v>6708</v>
      </c>
      <c r="B3327" s="153" t="s">
        <v>6709</v>
      </c>
      <c r="C3327">
        <v>0.0</v>
      </c>
      <c r="D3327">
        <v>0.0</v>
      </c>
      <c r="F3327" t="s">
        <v>2942</v>
      </c>
      <c r="G3327" t="s">
        <v>2943</v>
      </c>
      <c r="H3327" t="s">
        <v>3161</v>
      </c>
      <c r="I3327" t="s">
        <v>3167</v>
      </c>
    </row>
    <row r="3328">
      <c r="A3328" t="s">
        <v>6710</v>
      </c>
      <c r="B3328" s="153" t="s">
        <v>6711</v>
      </c>
      <c r="C3328">
        <v>0.0</v>
      </c>
      <c r="D3328">
        <v>0.0</v>
      </c>
      <c r="F3328" t="s">
        <v>2942</v>
      </c>
      <c r="G3328" t="s">
        <v>2943</v>
      </c>
      <c r="H3328" t="s">
        <v>3161</v>
      </c>
      <c r="I3328" t="s">
        <v>3447</v>
      </c>
    </row>
    <row r="3329">
      <c r="A3329" t="s">
        <v>6712</v>
      </c>
      <c r="B3329" s="153" t="s">
        <v>6713</v>
      </c>
      <c r="C3329">
        <v>0.0</v>
      </c>
      <c r="D3329">
        <v>0.0</v>
      </c>
      <c r="F3329" t="s">
        <v>2942</v>
      </c>
      <c r="G3329" t="s">
        <v>2943</v>
      </c>
      <c r="H3329" t="s">
        <v>3161</v>
      </c>
      <c r="I3329" t="s">
        <v>3366</v>
      </c>
    </row>
    <row r="3330">
      <c r="A3330" t="s">
        <v>6714</v>
      </c>
      <c r="B3330" s="153" t="s">
        <v>6715</v>
      </c>
      <c r="C3330">
        <v>0.0</v>
      </c>
      <c r="D3330">
        <v>0.0</v>
      </c>
      <c r="F3330" t="s">
        <v>2942</v>
      </c>
      <c r="G3330" t="s">
        <v>2943</v>
      </c>
      <c r="H3330" t="s">
        <v>3161</v>
      </c>
      <c r="I3330" t="s">
        <v>197</v>
      </c>
    </row>
    <row r="3331">
      <c r="A3331" t="s">
        <v>6716</v>
      </c>
      <c r="B3331" s="153" t="s">
        <v>6717</v>
      </c>
      <c r="C3331">
        <v>0.0</v>
      </c>
      <c r="D3331">
        <v>0.0</v>
      </c>
      <c r="F3331" t="s">
        <v>2942</v>
      </c>
      <c r="G3331" t="s">
        <v>2943</v>
      </c>
      <c r="H3331" t="s">
        <v>3161</v>
      </c>
      <c r="I3331" t="s">
        <v>289</v>
      </c>
    </row>
    <row r="3332">
      <c r="A3332" t="s">
        <v>2716</v>
      </c>
      <c r="B3332" s="153" t="s">
        <v>2717</v>
      </c>
      <c r="C3332">
        <v>348.0</v>
      </c>
      <c r="D3332">
        <v>1645.24</v>
      </c>
      <c r="E3332">
        <v>4.7277</v>
      </c>
      <c r="F3332" t="s">
        <v>2942</v>
      </c>
      <c r="G3332" t="s">
        <v>2962</v>
      </c>
      <c r="H3332" t="s">
        <v>3005</v>
      </c>
      <c r="I3332" t="s">
        <v>3006</v>
      </c>
    </row>
    <row r="3333">
      <c r="A3333" t="s">
        <v>2718</v>
      </c>
      <c r="B3333" s="153" t="s">
        <v>2719</v>
      </c>
      <c r="C3333">
        <v>0.0</v>
      </c>
      <c r="D3333">
        <v>0.0</v>
      </c>
      <c r="F3333" t="s">
        <v>2942</v>
      </c>
      <c r="G3333" t="s">
        <v>2943</v>
      </c>
      <c r="H3333" t="s">
        <v>2944</v>
      </c>
      <c r="I3333" t="s">
        <v>453</v>
      </c>
    </row>
    <row r="3334">
      <c r="A3334" t="s">
        <v>2720</v>
      </c>
      <c r="B3334" s="153" t="s">
        <v>2721</v>
      </c>
      <c r="C3334">
        <v>0.0</v>
      </c>
      <c r="D3334">
        <v>0.0</v>
      </c>
      <c r="F3334" t="s">
        <v>2942</v>
      </c>
      <c r="G3334" t="s">
        <v>2943</v>
      </c>
      <c r="H3334" t="s">
        <v>2944</v>
      </c>
      <c r="I3334" t="s">
        <v>453</v>
      </c>
    </row>
    <row r="3335">
      <c r="A3335" t="s">
        <v>2722</v>
      </c>
      <c r="B3335" s="153" t="s">
        <v>2723</v>
      </c>
      <c r="C3335">
        <v>0.0</v>
      </c>
      <c r="D3335">
        <v>0.0</v>
      </c>
      <c r="F3335" t="s">
        <v>2942</v>
      </c>
      <c r="G3335" t="s">
        <v>2943</v>
      </c>
      <c r="H3335" t="s">
        <v>2963</v>
      </c>
      <c r="I3335" t="s">
        <v>453</v>
      </c>
    </row>
    <row r="3336">
      <c r="A3336" t="s">
        <v>6718</v>
      </c>
      <c r="B3336" s="153" t="s">
        <v>6719</v>
      </c>
      <c r="C3336">
        <v>0.0</v>
      </c>
      <c r="D3336">
        <v>0.0</v>
      </c>
      <c r="F3336" t="s">
        <v>2942</v>
      </c>
      <c r="G3336" t="s">
        <v>2943</v>
      </c>
      <c r="H3336" t="s">
        <v>2944</v>
      </c>
      <c r="I3336" t="s">
        <v>453</v>
      </c>
    </row>
    <row r="3337">
      <c r="A3337" t="s">
        <v>6720</v>
      </c>
      <c r="B3337" s="153" t="s">
        <v>6721</v>
      </c>
      <c r="C3337">
        <v>0.0</v>
      </c>
      <c r="D3337">
        <v>0.0</v>
      </c>
      <c r="F3337" t="s">
        <v>2942</v>
      </c>
      <c r="G3337" t="s">
        <v>2943</v>
      </c>
      <c r="H3337" t="s">
        <v>2944</v>
      </c>
      <c r="I3337" t="s">
        <v>453</v>
      </c>
    </row>
    <row r="3338">
      <c r="A3338" t="s">
        <v>2724</v>
      </c>
      <c r="B3338" s="153" t="s">
        <v>2725</v>
      </c>
      <c r="C3338">
        <v>0.0</v>
      </c>
      <c r="D3338">
        <v>0.0</v>
      </c>
      <c r="F3338" t="s">
        <v>2942</v>
      </c>
      <c r="G3338" t="s">
        <v>2943</v>
      </c>
      <c r="H3338" t="s">
        <v>2944</v>
      </c>
      <c r="I3338" t="s">
        <v>453</v>
      </c>
    </row>
    <row r="3339">
      <c r="A3339" t="s">
        <v>6722</v>
      </c>
      <c r="B3339" s="153" t="s">
        <v>6723</v>
      </c>
      <c r="C3339">
        <v>0.0</v>
      </c>
      <c r="D3339">
        <v>0.0</v>
      </c>
      <c r="F3339" t="s">
        <v>2942</v>
      </c>
      <c r="G3339" t="s">
        <v>2943</v>
      </c>
      <c r="H3339" t="s">
        <v>2944</v>
      </c>
      <c r="I3339" t="s">
        <v>453</v>
      </c>
    </row>
    <row r="3340">
      <c r="A3340" t="s">
        <v>2726</v>
      </c>
      <c r="B3340" s="153" t="s">
        <v>2727</v>
      </c>
      <c r="C3340">
        <v>0.0</v>
      </c>
      <c r="D3340">
        <v>0.0</v>
      </c>
      <c r="F3340" t="s">
        <v>2942</v>
      </c>
      <c r="G3340" t="s">
        <v>2943</v>
      </c>
      <c r="H3340" t="s">
        <v>2944</v>
      </c>
      <c r="I3340" t="s">
        <v>453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2026-02-26T09:02:21Z</dcterms:created>
</cp:coreProperties>
</file>